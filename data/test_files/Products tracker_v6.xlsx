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worldhealthorg.sharepoint.com/sites/PublicHealthIntelligence/Shared Documents/Product_tracker/"/>
    </mc:Choice>
  </mc:AlternateContent>
  <xr:revisionPtr revIDLastSave="13471" documentId="13_ncr:1_{5F5871BA-05AD-42FB-AC43-EEA232D6E242}" xr6:coauthVersionLast="47" xr6:coauthVersionMax="47" xr10:uidLastSave="{880471FB-0C16-415F-9E96-16F8057D0F76}"/>
  <bookViews>
    <workbookView xWindow="28680" yWindow="2655" windowWidth="29040" windowHeight="15720" firstSheet="1" activeTab="1" xr2:uid="{3E997C7B-8E13-4117-A9AD-D7DA06E01A99}"/>
  </bookViews>
  <sheets>
    <sheet name="Dropdownlist" sheetId="5" r:id="rId1"/>
    <sheet name="product tracker" sheetId="1" r:id="rId2"/>
    <sheet name="Countrycode" sheetId="7" state="hidden" r:id="rId3"/>
    <sheet name="Data dictionary" sheetId="2" r:id="rId4"/>
    <sheet name="PHI disease FPs" sheetId="8" r:id="rId5"/>
    <sheet name="project tracker" sheetId="4" r:id="rId6"/>
    <sheet name="Regular hazard specific mtgs" sheetId="9" r:id="rId7"/>
  </sheets>
  <definedNames>
    <definedName name="_xlnm._FilterDatabase" localSheetId="1" hidden="1">'product tracker'!$A$1:$A$618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618" i="1" l="1"/>
  <c r="AN618" i="1"/>
  <c r="AO618" i="1"/>
  <c r="AP618" i="1"/>
  <c r="AQ618" i="1"/>
  <c r="AM617" i="1"/>
  <c r="AN617" i="1"/>
  <c r="AO617" i="1"/>
  <c r="AP617" i="1"/>
  <c r="AQ617" i="1"/>
  <c r="AQ616" i="1"/>
  <c r="AP616" i="1"/>
  <c r="AO616" i="1"/>
  <c r="AN616" i="1"/>
  <c r="AM616" i="1"/>
  <c r="AQ615" i="1"/>
  <c r="AP615" i="1"/>
  <c r="AO615" i="1"/>
  <c r="AN615" i="1"/>
  <c r="AM615" i="1"/>
  <c r="AM614" i="1"/>
  <c r="AN614" i="1"/>
  <c r="AO614" i="1"/>
  <c r="AP614" i="1"/>
  <c r="AQ614" i="1"/>
  <c r="AM613" i="1"/>
  <c r="AN613" i="1"/>
  <c r="AO613" i="1"/>
  <c r="AP613" i="1"/>
  <c r="AQ613" i="1"/>
  <c r="AQ612" i="1"/>
  <c r="AP612" i="1"/>
  <c r="AO612" i="1"/>
  <c r="AN612" i="1"/>
  <c r="AM612" i="1"/>
  <c r="AQ611" i="1"/>
  <c r="AP611" i="1"/>
  <c r="AO611" i="1"/>
  <c r="AN611" i="1"/>
  <c r="AM611" i="1"/>
  <c r="AQ610" i="1"/>
  <c r="AP610" i="1"/>
  <c r="AO610" i="1"/>
  <c r="AN610" i="1"/>
  <c r="AM610" i="1"/>
  <c r="AQ609" i="1"/>
  <c r="AP609" i="1"/>
  <c r="AO609" i="1"/>
  <c r="AN609" i="1"/>
  <c r="AM609" i="1"/>
  <c r="AQ608" i="1"/>
  <c r="AP608" i="1"/>
  <c r="AO608" i="1"/>
  <c r="AN608" i="1"/>
  <c r="AM608" i="1"/>
  <c r="AQ607" i="1"/>
  <c r="AP607" i="1"/>
  <c r="AO607" i="1"/>
  <c r="AN607" i="1"/>
  <c r="AM607" i="1"/>
  <c r="AQ606" i="1"/>
  <c r="AP606" i="1"/>
  <c r="AO606" i="1"/>
  <c r="AN606" i="1"/>
  <c r="AM606" i="1"/>
  <c r="AQ605" i="1"/>
  <c r="AP605" i="1"/>
  <c r="AO605" i="1"/>
  <c r="AN605" i="1"/>
  <c r="AM605" i="1"/>
  <c r="AM604" i="1"/>
  <c r="AN604" i="1"/>
  <c r="AO604" i="1"/>
  <c r="AP604" i="1"/>
  <c r="AQ604" i="1"/>
  <c r="AM603" i="1"/>
  <c r="AN603" i="1"/>
  <c r="AO603" i="1"/>
  <c r="AP603" i="1"/>
  <c r="AQ603" i="1"/>
  <c r="AM602" i="1"/>
  <c r="AN602" i="1"/>
  <c r="AO602" i="1"/>
  <c r="AP602" i="1"/>
  <c r="AQ602" i="1"/>
  <c r="AQ601" i="1"/>
  <c r="AP601" i="1"/>
  <c r="AO601" i="1"/>
  <c r="AN601" i="1"/>
  <c r="AM601" i="1"/>
  <c r="AM600" i="1"/>
  <c r="AN600" i="1"/>
  <c r="AO600" i="1"/>
  <c r="AP600" i="1"/>
  <c r="AQ600" i="1"/>
  <c r="AM599" i="1"/>
  <c r="AN599" i="1"/>
  <c r="AO599" i="1"/>
  <c r="AP599" i="1"/>
  <c r="AQ599" i="1"/>
  <c r="AM598" i="1"/>
  <c r="AN598" i="1"/>
  <c r="AO598" i="1"/>
  <c r="AP598" i="1"/>
  <c r="AQ598" i="1"/>
  <c r="AM597" i="1"/>
  <c r="AN597" i="1"/>
  <c r="AO597" i="1"/>
  <c r="AP597" i="1"/>
  <c r="AQ597" i="1"/>
  <c r="AM596" i="1"/>
  <c r="AN596" i="1"/>
  <c r="AO596" i="1"/>
  <c r="AP596" i="1"/>
  <c r="AQ596" i="1"/>
  <c r="AM595" i="1"/>
  <c r="AN595" i="1"/>
  <c r="AO595" i="1"/>
  <c r="AP595" i="1"/>
  <c r="AQ595" i="1"/>
  <c r="AM594" i="1"/>
  <c r="AN594" i="1"/>
  <c r="AO594" i="1"/>
  <c r="AP594" i="1"/>
  <c r="AQ594" i="1"/>
  <c r="AM593" i="1"/>
  <c r="AN593" i="1"/>
  <c r="AO593" i="1"/>
  <c r="AP593" i="1"/>
  <c r="AQ593" i="1"/>
  <c r="AM592" i="1"/>
  <c r="AN592" i="1"/>
  <c r="AO592" i="1"/>
  <c r="AP592" i="1"/>
  <c r="AQ592" i="1"/>
  <c r="AM591" i="1"/>
  <c r="AN591" i="1"/>
  <c r="AO591" i="1"/>
  <c r="AP591" i="1"/>
  <c r="AQ591" i="1"/>
  <c r="AM590" i="1"/>
  <c r="AN590" i="1"/>
  <c r="AO590" i="1"/>
  <c r="AP590" i="1"/>
  <c r="AQ590" i="1"/>
  <c r="AM589" i="1"/>
  <c r="AN589" i="1"/>
  <c r="AO589" i="1"/>
  <c r="AP589" i="1"/>
  <c r="AQ589" i="1"/>
  <c r="AM588" i="1"/>
  <c r="AN588" i="1"/>
  <c r="AO588" i="1"/>
  <c r="AP588" i="1"/>
  <c r="AQ588" i="1"/>
  <c r="AM587" i="1"/>
  <c r="AN587" i="1"/>
  <c r="AO587" i="1"/>
  <c r="AP587" i="1"/>
  <c r="AQ587" i="1"/>
  <c r="AM586" i="1"/>
  <c r="AN586" i="1"/>
  <c r="AO586" i="1"/>
  <c r="AP586" i="1"/>
  <c r="AQ586" i="1"/>
  <c r="AM584" i="1"/>
  <c r="AM585" i="1"/>
  <c r="AN584" i="1"/>
  <c r="AN585" i="1"/>
  <c r="AO584" i="1"/>
  <c r="AO585" i="1"/>
  <c r="AP584" i="1"/>
  <c r="AP585" i="1"/>
  <c r="AQ584" i="1"/>
  <c r="AQ585" i="1"/>
  <c r="AQ583" i="1"/>
  <c r="AP583" i="1"/>
  <c r="AO583" i="1"/>
  <c r="AN583" i="1"/>
  <c r="AM583" i="1"/>
  <c r="AM582" i="1"/>
  <c r="AN582" i="1"/>
  <c r="AO582" i="1"/>
  <c r="AP582" i="1"/>
  <c r="AQ582" i="1"/>
  <c r="AM581" i="1"/>
  <c r="AN581" i="1"/>
  <c r="AO581" i="1"/>
  <c r="AP581" i="1"/>
  <c r="AQ581" i="1"/>
  <c r="AM580" i="1"/>
  <c r="AN580" i="1"/>
  <c r="AO580" i="1"/>
  <c r="AP580" i="1"/>
  <c r="AQ580" i="1"/>
  <c r="AQ579" i="1"/>
  <c r="AP579" i="1"/>
  <c r="AO579" i="1"/>
  <c r="AN579" i="1"/>
  <c r="AM579" i="1"/>
  <c r="AM578" i="1"/>
  <c r="AN578" i="1"/>
  <c r="AO578" i="1"/>
  <c r="AP578" i="1"/>
  <c r="AQ578" i="1"/>
  <c r="AM577" i="1"/>
  <c r="AN577" i="1"/>
  <c r="AO577" i="1"/>
  <c r="AP577" i="1"/>
  <c r="AQ577" i="1"/>
  <c r="AM574" i="1"/>
  <c r="AM575" i="1"/>
  <c r="AM576" i="1"/>
  <c r="AN574" i="1"/>
  <c r="AN575" i="1"/>
  <c r="AN576" i="1"/>
  <c r="AO574" i="1"/>
  <c r="AO575" i="1"/>
  <c r="AO576" i="1"/>
  <c r="AP574" i="1"/>
  <c r="AP575" i="1"/>
  <c r="AP576" i="1"/>
  <c r="AQ574" i="1"/>
  <c r="AQ575" i="1"/>
  <c r="AQ576" i="1"/>
  <c r="AQ573" i="1"/>
  <c r="AP573" i="1"/>
  <c r="AO573" i="1"/>
  <c r="AN573" i="1"/>
  <c r="AM573" i="1"/>
  <c r="AM572" i="1"/>
  <c r="AN572" i="1"/>
  <c r="AO572" i="1"/>
  <c r="AP572" i="1"/>
  <c r="AQ572" i="1"/>
  <c r="AM571" i="1"/>
  <c r="AN571" i="1"/>
  <c r="AO571" i="1"/>
  <c r="AP571" i="1"/>
  <c r="AQ571" i="1"/>
  <c r="AM570" i="1"/>
  <c r="AN570" i="1"/>
  <c r="AO570" i="1"/>
  <c r="AP570" i="1"/>
  <c r="AQ570" i="1"/>
  <c r="AM569" i="1"/>
  <c r="AN569" i="1"/>
  <c r="AO569" i="1"/>
  <c r="AP569" i="1"/>
  <c r="AQ569" i="1"/>
  <c r="AM568" i="1"/>
  <c r="AN568" i="1"/>
  <c r="AO568" i="1"/>
  <c r="AP568" i="1"/>
  <c r="AQ568" i="1"/>
  <c r="AM567" i="1"/>
  <c r="AN567" i="1"/>
  <c r="AO567" i="1"/>
  <c r="AP567" i="1"/>
  <c r="AQ567" i="1"/>
  <c r="AM566" i="1"/>
  <c r="AN566" i="1"/>
  <c r="AO566" i="1"/>
  <c r="AP566" i="1"/>
  <c r="AQ566" i="1"/>
  <c r="AM565" i="1"/>
  <c r="AN565" i="1"/>
  <c r="AO565" i="1"/>
  <c r="AP565" i="1"/>
  <c r="AQ565" i="1"/>
  <c r="AM564" i="1"/>
  <c r="AN564" i="1"/>
  <c r="AO564" i="1"/>
  <c r="AP564" i="1"/>
  <c r="AQ564" i="1"/>
  <c r="AM563" i="1"/>
  <c r="AN563" i="1"/>
  <c r="AO563" i="1"/>
  <c r="AP563" i="1"/>
  <c r="AQ563" i="1"/>
  <c r="AM562" i="1"/>
  <c r="AN562" i="1"/>
  <c r="AO562" i="1"/>
  <c r="AP562" i="1"/>
  <c r="AQ562" i="1"/>
  <c r="AM561" i="1"/>
  <c r="AN561" i="1"/>
  <c r="AO561" i="1"/>
  <c r="AP561" i="1"/>
  <c r="AQ561" i="1"/>
  <c r="AM558" i="1"/>
  <c r="AN558" i="1"/>
  <c r="AO558" i="1"/>
  <c r="AP558" i="1"/>
  <c r="AQ558" i="1"/>
  <c r="AM560" i="1"/>
  <c r="AN560" i="1"/>
  <c r="AO560" i="1"/>
  <c r="AP560" i="1"/>
  <c r="AQ560" i="1"/>
  <c r="K536" i="1" a="1"/>
  <c r="K536" i="1" s="1"/>
  <c r="K549" i="1" a="1"/>
  <c r="K549" i="1" s="1"/>
  <c r="K555" i="1" a="1"/>
  <c r="K555" i="1" s="1"/>
  <c r="K556" i="1" a="1"/>
  <c r="K556" i="1" s="1"/>
  <c r="K557" i="1" a="1"/>
  <c r="K557" i="1" s="1"/>
  <c r="K559" i="1" a="1"/>
  <c r="K559" i="1" s="1"/>
  <c r="AM559" i="1"/>
  <c r="AN559" i="1"/>
  <c r="AO559" i="1"/>
  <c r="AP559" i="1"/>
  <c r="AQ559" i="1"/>
  <c r="AM557" i="1"/>
  <c r="AN557" i="1"/>
  <c r="AO557" i="1"/>
  <c r="AP557" i="1"/>
  <c r="AQ557" i="1"/>
  <c r="AM556" i="1"/>
  <c r="AN556" i="1"/>
  <c r="AO556" i="1"/>
  <c r="AP556" i="1"/>
  <c r="AQ556" i="1"/>
  <c r="AM555" i="1"/>
  <c r="AN555" i="1"/>
  <c r="AO555" i="1"/>
  <c r="AP555" i="1"/>
  <c r="AQ555" i="1"/>
  <c r="AM554" i="1"/>
  <c r="AN554" i="1"/>
  <c r="AO554" i="1"/>
  <c r="AP554" i="1"/>
  <c r="AQ554" i="1"/>
  <c r="AM553" i="1"/>
  <c r="AN553" i="1"/>
  <c r="AO553" i="1"/>
  <c r="AP553" i="1"/>
  <c r="AQ553" i="1"/>
  <c r="AM551" i="1"/>
  <c r="AN551" i="1"/>
  <c r="AO551" i="1"/>
  <c r="AP551" i="1"/>
  <c r="AQ551" i="1"/>
  <c r="AM549" i="1"/>
  <c r="AN549" i="1"/>
  <c r="AO549" i="1"/>
  <c r="AP549" i="1"/>
  <c r="AQ549" i="1"/>
  <c r="AM550" i="1"/>
  <c r="AN550" i="1"/>
  <c r="AO550" i="1"/>
  <c r="AP550" i="1"/>
  <c r="AQ550" i="1"/>
  <c r="AM552" i="1"/>
  <c r="AN552" i="1"/>
  <c r="AO552" i="1"/>
  <c r="AP552" i="1"/>
  <c r="AQ552" i="1"/>
  <c r="AM548" i="1"/>
  <c r="AN548" i="1"/>
  <c r="AO548" i="1"/>
  <c r="AP548" i="1"/>
  <c r="AQ548" i="1"/>
  <c r="AM522" i="1"/>
  <c r="AN522" i="1"/>
  <c r="AO522" i="1"/>
  <c r="AP522" i="1"/>
  <c r="AQ522" i="1"/>
  <c r="AM538" i="1"/>
  <c r="AN538" i="1"/>
  <c r="AO538" i="1"/>
  <c r="AP538" i="1"/>
  <c r="AQ538" i="1"/>
  <c r="AM547" i="1"/>
  <c r="AN547" i="1"/>
  <c r="AO547" i="1"/>
  <c r="AP547" i="1"/>
  <c r="AQ547" i="1"/>
  <c r="AM535" i="1"/>
  <c r="AN535" i="1"/>
  <c r="AO535" i="1"/>
  <c r="AP535" i="1"/>
  <c r="AQ535" i="1"/>
  <c r="AM541" i="1"/>
  <c r="AM546" i="1"/>
  <c r="AN546" i="1"/>
  <c r="AO546" i="1"/>
  <c r="AP546" i="1"/>
  <c r="AQ546" i="1"/>
  <c r="AN541" i="1"/>
  <c r="AO541" i="1"/>
  <c r="AP541" i="1"/>
  <c r="AQ541" i="1"/>
  <c r="AM533" i="1"/>
  <c r="AN533" i="1"/>
  <c r="AO533" i="1"/>
  <c r="AP533" i="1"/>
  <c r="AQ533" i="1"/>
  <c r="AM545" i="1"/>
  <c r="AN545" i="1"/>
  <c r="AO545" i="1"/>
  <c r="AP545" i="1"/>
  <c r="AQ545" i="1"/>
  <c r="AM542" i="1"/>
  <c r="AN542" i="1"/>
  <c r="AO542" i="1"/>
  <c r="AP542" i="1"/>
  <c r="AQ542" i="1"/>
  <c r="AM543" i="1"/>
  <c r="AN543" i="1"/>
  <c r="AO543" i="1"/>
  <c r="AP543" i="1"/>
  <c r="AQ543" i="1"/>
  <c r="AM544" i="1"/>
  <c r="AN544" i="1"/>
  <c r="AO544" i="1"/>
  <c r="AP544" i="1"/>
  <c r="AQ544" i="1"/>
  <c r="AM536" i="1"/>
  <c r="AN536" i="1"/>
  <c r="AO536" i="1"/>
  <c r="AP536" i="1"/>
  <c r="AQ536" i="1"/>
  <c r="AM540" i="1"/>
  <c r="AN540" i="1"/>
  <c r="AO540" i="1"/>
  <c r="AP540" i="1"/>
  <c r="AQ540" i="1"/>
  <c r="AM539" i="1"/>
  <c r="AN539" i="1"/>
  <c r="AO539" i="1"/>
  <c r="AP539" i="1"/>
  <c r="AQ539" i="1"/>
  <c r="AQ537" i="1"/>
  <c r="AP537" i="1"/>
  <c r="AO537" i="1"/>
  <c r="AN537" i="1"/>
  <c r="AM537" i="1"/>
  <c r="AM532" i="1"/>
  <c r="AN532" i="1"/>
  <c r="AO532" i="1"/>
  <c r="AP532" i="1"/>
  <c r="AQ532" i="1"/>
  <c r="AM534" i="1"/>
  <c r="AN534" i="1"/>
  <c r="AO534" i="1"/>
  <c r="AP534" i="1"/>
  <c r="AQ534" i="1"/>
  <c r="AM529" i="1"/>
  <c r="AN529" i="1"/>
  <c r="AO529" i="1"/>
  <c r="AP529" i="1"/>
  <c r="AQ529" i="1"/>
  <c r="AM530" i="1"/>
  <c r="AN530" i="1"/>
  <c r="AO530" i="1"/>
  <c r="AP530" i="1"/>
  <c r="AQ530" i="1"/>
  <c r="AM528" i="1"/>
  <c r="AN528" i="1"/>
  <c r="AO528" i="1"/>
  <c r="AP528" i="1"/>
  <c r="AQ528" i="1"/>
  <c r="AM527" i="1"/>
  <c r="AN527" i="1"/>
  <c r="AO527" i="1"/>
  <c r="AP527" i="1"/>
  <c r="AQ527" i="1"/>
  <c r="AM526" i="1"/>
  <c r="AN526" i="1"/>
  <c r="AO526" i="1"/>
  <c r="AP526" i="1"/>
  <c r="AQ526" i="1"/>
  <c r="AQ525" i="1"/>
  <c r="AQ524" i="1"/>
  <c r="AP525" i="1"/>
  <c r="AP524" i="1"/>
  <c r="AO525" i="1"/>
  <c r="AO524" i="1"/>
  <c r="AN525" i="1"/>
  <c r="AN524" i="1"/>
  <c r="AM525" i="1"/>
  <c r="AM524" i="1"/>
  <c r="AM523" i="1"/>
  <c r="AN523" i="1"/>
  <c r="AO523" i="1"/>
  <c r="AP523" i="1"/>
  <c r="AQ523" i="1"/>
  <c r="AQ521" i="1"/>
  <c r="AP521" i="1"/>
  <c r="AO521" i="1"/>
  <c r="AN521" i="1"/>
  <c r="AM521" i="1"/>
  <c r="AM520" i="1"/>
  <c r="AN520" i="1"/>
  <c r="AO520" i="1"/>
  <c r="AP520" i="1"/>
  <c r="AQ520" i="1"/>
  <c r="AM519" i="1"/>
  <c r="AN519" i="1"/>
  <c r="AO519" i="1"/>
  <c r="AP519" i="1"/>
  <c r="AQ519" i="1"/>
  <c r="AM518" i="1"/>
  <c r="AN518" i="1"/>
  <c r="AO518" i="1"/>
  <c r="AP518" i="1"/>
  <c r="AQ518" i="1"/>
  <c r="AQ517" i="1"/>
  <c r="AP517" i="1"/>
  <c r="AO517" i="1"/>
  <c r="AN517" i="1"/>
  <c r="AM517" i="1"/>
  <c r="AQ516" i="1"/>
  <c r="AP516" i="1"/>
  <c r="AO516" i="1"/>
  <c r="AN516" i="1"/>
  <c r="AM516" i="1"/>
  <c r="AM515" i="1"/>
  <c r="AN515" i="1"/>
  <c r="AO515" i="1"/>
  <c r="AP515" i="1"/>
  <c r="AQ515" i="1"/>
  <c r="AQ513" i="1"/>
  <c r="AQ514" i="1"/>
  <c r="AP513" i="1"/>
  <c r="AP514" i="1"/>
  <c r="AO513" i="1"/>
  <c r="AO514" i="1"/>
  <c r="AN513" i="1"/>
  <c r="AN514" i="1"/>
  <c r="AM513" i="1"/>
  <c r="AM514" i="1"/>
  <c r="AQ509" i="1"/>
  <c r="AQ510" i="1"/>
  <c r="AQ512" i="1"/>
  <c r="AQ508" i="1"/>
  <c r="AP509" i="1"/>
  <c r="AP510" i="1"/>
  <c r="AP512" i="1"/>
  <c r="AP508" i="1"/>
  <c r="AO509" i="1"/>
  <c r="AO510" i="1"/>
  <c r="AO512" i="1"/>
  <c r="AO508" i="1"/>
  <c r="AN509" i="1"/>
  <c r="AN510" i="1"/>
  <c r="AN512" i="1"/>
  <c r="AN508" i="1"/>
  <c r="AM509" i="1"/>
  <c r="AM510" i="1"/>
  <c r="AM512" i="1"/>
  <c r="AM508" i="1"/>
  <c r="AQ511" i="1"/>
  <c r="AP511" i="1"/>
  <c r="AO511" i="1"/>
  <c r="AN511" i="1"/>
  <c r="AM511" i="1"/>
  <c r="AQ531" i="1"/>
  <c r="AP531" i="1"/>
  <c r="AO531" i="1"/>
  <c r="AN531" i="1"/>
  <c r="AM531" i="1"/>
  <c r="AQ507" i="1"/>
  <c r="AP507" i="1"/>
  <c r="AO507" i="1"/>
  <c r="AN507" i="1"/>
  <c r="AM507" i="1"/>
  <c r="AQ504" i="1"/>
  <c r="AP504" i="1"/>
  <c r="AO504" i="1"/>
  <c r="AN504" i="1"/>
  <c r="AM504" i="1"/>
  <c r="AM505" i="1"/>
  <c r="AN505" i="1"/>
  <c r="AO505" i="1"/>
  <c r="AP505" i="1"/>
  <c r="AQ505" i="1"/>
  <c r="AQ506" i="1"/>
  <c r="AP506" i="1"/>
  <c r="AO506" i="1"/>
  <c r="AN506" i="1"/>
  <c r="AM506" i="1"/>
  <c r="AQ502" i="1"/>
  <c r="AP502" i="1"/>
  <c r="AO502" i="1"/>
  <c r="AN502" i="1"/>
  <c r="AM502" i="1"/>
  <c r="AM501" i="1"/>
  <c r="AN501" i="1"/>
  <c r="AO501" i="1"/>
  <c r="AP501" i="1"/>
  <c r="AQ501" i="1"/>
  <c r="AM503" i="1"/>
  <c r="AN503" i="1"/>
  <c r="AO503" i="1"/>
  <c r="AP503" i="1"/>
  <c r="AQ503" i="1"/>
  <c r="AM500" i="1"/>
  <c r="AN500" i="1"/>
  <c r="AO500" i="1"/>
  <c r="AP500" i="1"/>
  <c r="AQ500" i="1"/>
  <c r="AQ499" i="1"/>
  <c r="AP499" i="1"/>
  <c r="AO499" i="1"/>
  <c r="AN499" i="1"/>
  <c r="AM499" i="1"/>
  <c r="AQ498" i="1"/>
  <c r="AP498" i="1"/>
  <c r="AO498" i="1"/>
  <c r="AN498" i="1"/>
  <c r="AM498" i="1"/>
  <c r="AQ477" i="1"/>
  <c r="AP477" i="1"/>
  <c r="AO477" i="1"/>
  <c r="AN477" i="1"/>
  <c r="AM477" i="1"/>
  <c r="AM497" i="1"/>
  <c r="AN497" i="1"/>
  <c r="AO497" i="1"/>
  <c r="AP497" i="1"/>
  <c r="AQ497" i="1"/>
  <c r="AM496" i="1"/>
  <c r="AN496" i="1"/>
  <c r="AO496" i="1"/>
  <c r="AP496" i="1"/>
  <c r="AQ496" i="1"/>
  <c r="AQ494" i="1"/>
  <c r="AP494" i="1"/>
  <c r="AO494" i="1"/>
  <c r="AN494" i="1"/>
  <c r="AM494" i="1"/>
  <c r="AQ491" i="1"/>
  <c r="AP491" i="1"/>
  <c r="AO491" i="1"/>
  <c r="AN491" i="1"/>
  <c r="AM491" i="1"/>
  <c r="AM493" i="1"/>
  <c r="AN493" i="1"/>
  <c r="AO493" i="1"/>
  <c r="AP493" i="1"/>
  <c r="AQ493" i="1"/>
  <c r="AQ492" i="1"/>
  <c r="AP492" i="1"/>
  <c r="AO492" i="1"/>
  <c r="AN492" i="1"/>
  <c r="AM492" i="1"/>
  <c r="AQ495" i="1"/>
  <c r="AP495" i="1"/>
  <c r="AO495" i="1"/>
  <c r="AN495" i="1"/>
  <c r="AM495" i="1"/>
  <c r="AQ486" i="1"/>
  <c r="AP486" i="1"/>
  <c r="AO486" i="1"/>
  <c r="AN486" i="1"/>
  <c r="AM486" i="1"/>
  <c r="AQ490" i="1"/>
  <c r="AP490" i="1"/>
  <c r="AO490" i="1"/>
  <c r="AN490" i="1"/>
  <c r="AM490" i="1"/>
  <c r="AQ489" i="1"/>
  <c r="AP489" i="1"/>
  <c r="AO489" i="1"/>
  <c r="AN489" i="1"/>
  <c r="AM489" i="1"/>
  <c r="AM488" i="1"/>
  <c r="AN488" i="1"/>
  <c r="AO488" i="1"/>
  <c r="AP488" i="1"/>
  <c r="AQ488" i="1"/>
  <c r="AQ485" i="1"/>
  <c r="AP485" i="1"/>
  <c r="AO485" i="1"/>
  <c r="AN485" i="1"/>
  <c r="AM485" i="1"/>
  <c r="AM487" i="1"/>
  <c r="AN487" i="1"/>
  <c r="AO487" i="1"/>
  <c r="AP487" i="1"/>
  <c r="AQ487" i="1"/>
  <c r="AM482" i="1"/>
  <c r="AN482" i="1"/>
  <c r="AO482" i="1"/>
  <c r="AP482" i="1"/>
  <c r="AQ482" i="1"/>
  <c r="AM484" i="1"/>
  <c r="AN484" i="1"/>
  <c r="AO484" i="1"/>
  <c r="AP484" i="1"/>
  <c r="AQ484" i="1"/>
  <c r="AQ483" i="1"/>
  <c r="AP483" i="1"/>
  <c r="AO483" i="1"/>
  <c r="AN483" i="1"/>
  <c r="AM483" i="1"/>
  <c r="AM478" i="1"/>
  <c r="AN478" i="1"/>
  <c r="AO478" i="1"/>
  <c r="AP478" i="1"/>
  <c r="AQ478" i="1"/>
  <c r="AM480" i="1"/>
  <c r="AN480" i="1"/>
  <c r="AO480" i="1"/>
  <c r="AP480" i="1"/>
  <c r="AQ480" i="1"/>
  <c r="AM481" i="1"/>
  <c r="AN481" i="1"/>
  <c r="AO481" i="1"/>
  <c r="AP481" i="1"/>
  <c r="AQ481" i="1"/>
  <c r="AM479" i="1"/>
  <c r="AN479" i="1"/>
  <c r="AO479" i="1"/>
  <c r="AP479" i="1"/>
  <c r="AQ479" i="1"/>
  <c r="AM475" i="1"/>
  <c r="AN475" i="1"/>
  <c r="AO475" i="1"/>
  <c r="AP475" i="1"/>
  <c r="AQ475" i="1"/>
  <c r="AM476" i="1"/>
  <c r="AN476" i="1"/>
  <c r="AO476" i="1"/>
  <c r="AP476" i="1"/>
  <c r="AQ476" i="1"/>
  <c r="AQ473" i="1"/>
  <c r="AP473" i="1"/>
  <c r="AO473" i="1"/>
  <c r="AN473" i="1"/>
  <c r="AM473" i="1"/>
  <c r="AQ463" i="1"/>
  <c r="AP463" i="1"/>
  <c r="AO463" i="1"/>
  <c r="AN463" i="1"/>
  <c r="AM463" i="1"/>
  <c r="AM472" i="1"/>
  <c r="AN472" i="1"/>
  <c r="AO472" i="1"/>
  <c r="AP472" i="1"/>
  <c r="AQ472" i="1"/>
  <c r="AQ469" i="1"/>
  <c r="AP469" i="1"/>
  <c r="AO469" i="1"/>
  <c r="AN469" i="1"/>
  <c r="AM469" i="1"/>
  <c r="AM471" i="1"/>
  <c r="AN471" i="1"/>
  <c r="AO471" i="1"/>
  <c r="AP471" i="1"/>
  <c r="AQ471" i="1"/>
  <c r="AM474" i="1"/>
  <c r="AN474" i="1"/>
  <c r="AO474" i="1"/>
  <c r="AP474" i="1"/>
  <c r="AQ474" i="1"/>
  <c r="AM470" i="1"/>
  <c r="AN470" i="1"/>
  <c r="AO470" i="1"/>
  <c r="AP470" i="1"/>
  <c r="AQ470" i="1"/>
  <c r="AM466" i="1"/>
  <c r="AN466" i="1"/>
  <c r="AO466" i="1"/>
  <c r="AP466" i="1"/>
  <c r="AQ466" i="1"/>
  <c r="AM459" i="1"/>
  <c r="AN459" i="1"/>
  <c r="AO459" i="1"/>
  <c r="AP459" i="1"/>
  <c r="AQ459" i="1"/>
  <c r="AQ460" i="1"/>
  <c r="AP460" i="1"/>
  <c r="AO460" i="1"/>
  <c r="AN460" i="1"/>
  <c r="AM460" i="1"/>
  <c r="AM468" i="1"/>
  <c r="AN468" i="1"/>
  <c r="AO468" i="1"/>
  <c r="AP468" i="1"/>
  <c r="AQ468" i="1"/>
  <c r="AQ467" i="1"/>
  <c r="AP467" i="1"/>
  <c r="AO467" i="1"/>
  <c r="AN467" i="1"/>
  <c r="AM467" i="1"/>
  <c r="AM465" i="1"/>
  <c r="AN465" i="1"/>
  <c r="AO465" i="1"/>
  <c r="AP465" i="1"/>
  <c r="AQ465" i="1"/>
  <c r="AM464" i="1"/>
  <c r="AM462" i="1"/>
  <c r="AN464" i="1"/>
  <c r="AN462" i="1"/>
  <c r="AO464" i="1"/>
  <c r="AO462" i="1"/>
  <c r="AP464" i="1"/>
  <c r="AP462" i="1"/>
  <c r="AQ464" i="1"/>
  <c r="AQ462" i="1"/>
  <c r="AM458" i="1"/>
  <c r="AN458" i="1"/>
  <c r="AO458" i="1"/>
  <c r="AP458" i="1"/>
  <c r="AQ458" i="1"/>
  <c r="AM461" i="1"/>
  <c r="AN461" i="1"/>
  <c r="AO461" i="1"/>
  <c r="AP461" i="1"/>
  <c r="AQ461" i="1"/>
  <c r="AM457" i="1"/>
  <c r="AN457" i="1"/>
  <c r="AO457" i="1"/>
  <c r="AP457" i="1"/>
  <c r="AQ457" i="1"/>
  <c r="AM455" i="1"/>
  <c r="AN455" i="1"/>
  <c r="AO455" i="1"/>
  <c r="AP455" i="1"/>
  <c r="AQ455" i="1"/>
  <c r="AQ448" i="1"/>
  <c r="AP448" i="1"/>
  <c r="AO448" i="1"/>
  <c r="AN448" i="1"/>
  <c r="AM448" i="1"/>
  <c r="AQ456" i="1"/>
  <c r="AP456" i="1"/>
  <c r="AO456" i="1"/>
  <c r="AN456" i="1"/>
  <c r="AM456" i="1"/>
  <c r="AQ452" i="1"/>
  <c r="AQ453" i="1"/>
  <c r="AQ454" i="1"/>
  <c r="AP452" i="1"/>
  <c r="AP453" i="1"/>
  <c r="AP454" i="1"/>
  <c r="AO452" i="1"/>
  <c r="AO453" i="1"/>
  <c r="AO454" i="1"/>
  <c r="AN452" i="1"/>
  <c r="AN453" i="1"/>
  <c r="AN454" i="1"/>
  <c r="AM452" i="1"/>
  <c r="AM453" i="1"/>
  <c r="AM454" i="1"/>
  <c r="AQ447" i="1"/>
  <c r="AP447" i="1"/>
  <c r="AO447" i="1"/>
  <c r="AN447" i="1"/>
  <c r="AM447" i="1"/>
  <c r="AM441" i="1"/>
  <c r="AN441" i="1"/>
  <c r="AO441" i="1"/>
  <c r="AP441" i="1"/>
  <c r="AQ441" i="1"/>
  <c r="AM450" i="1"/>
  <c r="AN450" i="1"/>
  <c r="AO450" i="1"/>
  <c r="AP450" i="1"/>
  <c r="AQ450" i="1"/>
  <c r="AM451" i="1"/>
  <c r="AN451" i="1"/>
  <c r="AO451" i="1"/>
  <c r="AP451" i="1"/>
  <c r="AQ451" i="1"/>
  <c r="AO442" i="1"/>
  <c r="AM446" i="1"/>
  <c r="AN446" i="1"/>
  <c r="AO446" i="1"/>
  <c r="AP446" i="1"/>
  <c r="AQ446" i="1"/>
  <c r="AM445" i="1"/>
  <c r="AN445" i="1"/>
  <c r="AO445" i="1"/>
  <c r="AP445" i="1"/>
  <c r="AQ445" i="1"/>
  <c r="AQ449" i="1"/>
  <c r="AP449" i="1"/>
  <c r="AO449" i="1"/>
  <c r="AN449" i="1"/>
  <c r="AM449" i="1"/>
  <c r="AQ444" i="1"/>
  <c r="AP444" i="1"/>
  <c r="AO444" i="1"/>
  <c r="AN444" i="1"/>
  <c r="AM443" i="1"/>
  <c r="AN443" i="1"/>
  <c r="AO443" i="1"/>
  <c r="AP443" i="1"/>
  <c r="AQ443" i="1"/>
  <c r="AM442" i="1"/>
  <c r="AN442" i="1"/>
  <c r="AP442" i="1"/>
  <c r="AQ442" i="1"/>
  <c r="AM439" i="1"/>
  <c r="AM438" i="1"/>
  <c r="AN439" i="1"/>
  <c r="AN438" i="1"/>
  <c r="AO439" i="1"/>
  <c r="AO438" i="1"/>
  <c r="AP439" i="1"/>
  <c r="AP438" i="1"/>
  <c r="AQ439" i="1"/>
  <c r="AQ438" i="1"/>
  <c r="AM440" i="1"/>
  <c r="AN440" i="1"/>
  <c r="AO440" i="1"/>
  <c r="AP440" i="1"/>
  <c r="AQ440" i="1"/>
  <c r="AQ435" i="1"/>
  <c r="AP435" i="1"/>
  <c r="AO435" i="1"/>
  <c r="AN435" i="1"/>
  <c r="AM435" i="1"/>
  <c r="AQ434" i="1"/>
  <c r="AQ433" i="1"/>
  <c r="AQ430" i="1"/>
  <c r="AQ437" i="1"/>
  <c r="AP434" i="1"/>
  <c r="AP433" i="1"/>
  <c r="AP430" i="1"/>
  <c r="AP437" i="1"/>
  <c r="AO434" i="1"/>
  <c r="AO433" i="1"/>
  <c r="AO430" i="1"/>
  <c r="AO437" i="1"/>
  <c r="AN434" i="1"/>
  <c r="AN433" i="1"/>
  <c r="AN430" i="1"/>
  <c r="AN437" i="1"/>
  <c r="AM434" i="1"/>
  <c r="AM433" i="1"/>
  <c r="AM430" i="1"/>
  <c r="AM437" i="1"/>
  <c r="AQ436" i="1"/>
  <c r="AP436" i="1"/>
  <c r="AO436" i="1"/>
  <c r="AN436" i="1"/>
  <c r="AM436" i="1"/>
  <c r="AM431" i="1"/>
  <c r="AM432" i="1"/>
  <c r="AN431" i="1"/>
  <c r="AN432" i="1"/>
  <c r="AO431" i="1"/>
  <c r="AO432" i="1"/>
  <c r="AP431" i="1"/>
  <c r="AP432" i="1"/>
  <c r="AQ431" i="1"/>
  <c r="AQ432" i="1"/>
  <c r="AM429" i="1"/>
  <c r="AN429" i="1"/>
  <c r="AO429" i="1"/>
  <c r="AP429" i="1"/>
  <c r="AQ429" i="1"/>
  <c r="AM426" i="1"/>
  <c r="AN426" i="1"/>
  <c r="AO426" i="1"/>
  <c r="AP426" i="1"/>
  <c r="AQ426" i="1"/>
  <c r="AQ425" i="1"/>
  <c r="AP425" i="1"/>
  <c r="AO425" i="1"/>
  <c r="AN425" i="1"/>
  <c r="AM425" i="1"/>
  <c r="AM421" i="1"/>
  <c r="AN421" i="1"/>
  <c r="AO421" i="1"/>
  <c r="AP421" i="1"/>
  <c r="AQ421" i="1"/>
  <c r="AM424" i="1"/>
  <c r="AN424" i="1"/>
  <c r="AO424" i="1"/>
  <c r="AP424" i="1"/>
  <c r="AQ424" i="1"/>
  <c r="AQ422" i="1"/>
  <c r="AQ423" i="1"/>
  <c r="AP422" i="1"/>
  <c r="AP423" i="1"/>
  <c r="AO422" i="1"/>
  <c r="AO423" i="1"/>
  <c r="AN422" i="1"/>
  <c r="AN423" i="1"/>
  <c r="AM422" i="1"/>
  <c r="AM423" i="1"/>
  <c r="AM428" i="1"/>
  <c r="AN428" i="1"/>
  <c r="AO428" i="1"/>
  <c r="AP428" i="1"/>
  <c r="AQ428" i="1"/>
  <c r="AM420" i="1"/>
  <c r="AN420" i="1"/>
  <c r="AO420" i="1"/>
  <c r="AP420" i="1"/>
  <c r="AQ420" i="1"/>
  <c r="AM427" i="1"/>
  <c r="AM418" i="1"/>
  <c r="AM419" i="1"/>
  <c r="AN427" i="1"/>
  <c r="AN418" i="1"/>
  <c r="AN419" i="1"/>
  <c r="AO427" i="1"/>
  <c r="AO418" i="1"/>
  <c r="AO419" i="1"/>
  <c r="AP427" i="1"/>
  <c r="AP418" i="1"/>
  <c r="AP419" i="1"/>
  <c r="AQ427" i="1"/>
  <c r="AQ418" i="1"/>
  <c r="AQ419" i="1"/>
  <c r="AM416" i="1"/>
  <c r="AN416" i="1"/>
  <c r="AO416" i="1"/>
  <c r="AP416" i="1"/>
  <c r="AQ416" i="1"/>
  <c r="AM417" i="1"/>
  <c r="AN417" i="1"/>
  <c r="AO417" i="1"/>
  <c r="AP417" i="1"/>
  <c r="AQ417" i="1"/>
  <c r="AM415" i="1"/>
  <c r="AN415" i="1"/>
  <c r="AO415" i="1"/>
  <c r="AP415" i="1"/>
  <c r="AQ415" i="1"/>
  <c r="AM411" i="1"/>
  <c r="AM412" i="1"/>
  <c r="AM413" i="1"/>
  <c r="AM414" i="1"/>
  <c r="AN411" i="1"/>
  <c r="AN412" i="1"/>
  <c r="AN413" i="1"/>
  <c r="AN414" i="1"/>
  <c r="AO411" i="1"/>
  <c r="AO412" i="1"/>
  <c r="AO413" i="1"/>
  <c r="AO414" i="1"/>
  <c r="AP411" i="1"/>
  <c r="AP412" i="1"/>
  <c r="AP413" i="1"/>
  <c r="AP414" i="1"/>
  <c r="AQ411" i="1"/>
  <c r="AQ412" i="1"/>
  <c r="AQ413" i="1"/>
  <c r="AQ414" i="1"/>
  <c r="AM395" i="1"/>
  <c r="AM410" i="1"/>
  <c r="AM409" i="1"/>
  <c r="AN395" i="1"/>
  <c r="AN410" i="1"/>
  <c r="AN409" i="1"/>
  <c r="AO395" i="1"/>
  <c r="AO410" i="1"/>
  <c r="AO409" i="1"/>
  <c r="AP395" i="1"/>
  <c r="AP410" i="1"/>
  <c r="AP409" i="1"/>
  <c r="AQ395" i="1"/>
  <c r="AQ410" i="1"/>
  <c r="AQ409" i="1"/>
  <c r="AM407" i="1"/>
  <c r="AN407" i="1"/>
  <c r="AO407" i="1"/>
  <c r="AP407" i="1"/>
  <c r="AQ407" i="1"/>
  <c r="AM408" i="1"/>
  <c r="AN408" i="1"/>
  <c r="AO408" i="1"/>
  <c r="AP408" i="1"/>
  <c r="AQ408" i="1"/>
  <c r="AM405" i="1"/>
  <c r="AM398" i="1"/>
  <c r="AM406" i="1"/>
  <c r="AN405" i="1"/>
  <c r="AN398" i="1"/>
  <c r="AN406" i="1"/>
  <c r="AO405" i="1"/>
  <c r="AO398" i="1"/>
  <c r="AO406" i="1"/>
  <c r="AP405" i="1"/>
  <c r="AP398" i="1"/>
  <c r="AP406" i="1"/>
  <c r="AQ405" i="1"/>
  <c r="AQ398" i="1"/>
  <c r="AQ406" i="1"/>
  <c r="AQ404" i="1"/>
  <c r="AP404" i="1"/>
  <c r="AO404" i="1"/>
  <c r="AN404" i="1"/>
  <c r="AM404" i="1"/>
  <c r="AQ402" i="1"/>
  <c r="AP402" i="1"/>
  <c r="AO402" i="1"/>
  <c r="AN402" i="1"/>
  <c r="AM402" i="1"/>
  <c r="AQ403" i="1"/>
  <c r="AP403" i="1"/>
  <c r="AO403" i="1"/>
  <c r="AN403" i="1"/>
  <c r="AM403" i="1"/>
  <c r="AM401" i="1"/>
  <c r="AN401" i="1"/>
  <c r="AO401" i="1"/>
  <c r="AP401" i="1"/>
  <c r="AQ401" i="1"/>
  <c r="AM400" i="1"/>
  <c r="AN400" i="1"/>
  <c r="AO400" i="1"/>
  <c r="AP400" i="1"/>
  <c r="AQ400" i="1"/>
  <c r="AM328" i="1"/>
  <c r="AN328" i="1"/>
  <c r="AO328" i="1"/>
  <c r="AP328" i="1"/>
  <c r="AQ328" i="1"/>
  <c r="AQ397" i="1"/>
  <c r="AQ399" i="1"/>
  <c r="AP397" i="1"/>
  <c r="AP399" i="1"/>
  <c r="AO397" i="1"/>
  <c r="AO399" i="1"/>
  <c r="AN397" i="1"/>
  <c r="AN399" i="1"/>
  <c r="AM397" i="1"/>
  <c r="AM399" i="1"/>
  <c r="AM394" i="1"/>
  <c r="AN394" i="1"/>
  <c r="AO394" i="1"/>
  <c r="AP394" i="1"/>
  <c r="AQ394" i="1"/>
  <c r="AM393" i="1"/>
  <c r="AN393" i="1"/>
  <c r="AO393" i="1"/>
  <c r="AP393" i="1"/>
  <c r="AQ393" i="1"/>
  <c r="AM396" i="1"/>
  <c r="AN396" i="1"/>
  <c r="AO396" i="1"/>
  <c r="AP396" i="1"/>
  <c r="AQ396" i="1"/>
  <c r="AM390" i="1"/>
  <c r="AN390" i="1"/>
  <c r="AO390" i="1"/>
  <c r="AP390" i="1"/>
  <c r="AQ390" i="1"/>
  <c r="AQ391" i="1"/>
  <c r="AP391" i="1"/>
  <c r="AO391" i="1"/>
  <c r="AN391" i="1"/>
  <c r="AM391" i="1"/>
  <c r="AM392" i="1"/>
  <c r="AN392" i="1"/>
  <c r="AO392" i="1"/>
  <c r="AP392" i="1"/>
  <c r="AQ392" i="1"/>
  <c r="AM389" i="1"/>
  <c r="AN389" i="1"/>
  <c r="AO389" i="1"/>
  <c r="AP389" i="1"/>
  <c r="AQ389" i="1"/>
  <c r="AM381" i="1"/>
  <c r="AN381" i="1"/>
  <c r="AO381" i="1"/>
  <c r="AP381" i="1"/>
  <c r="AQ381" i="1"/>
  <c r="AM387" i="1"/>
  <c r="AN387" i="1"/>
  <c r="AO387" i="1"/>
  <c r="AP387" i="1"/>
  <c r="AQ387" i="1"/>
  <c r="AM388" i="1"/>
  <c r="AN388" i="1"/>
  <c r="AO388" i="1"/>
  <c r="AP388" i="1"/>
  <c r="AQ388" i="1"/>
  <c r="AQ375" i="1"/>
  <c r="AP375" i="1"/>
  <c r="AO375" i="1"/>
  <c r="AN375" i="1"/>
  <c r="AM375" i="1"/>
  <c r="AM386" i="1"/>
  <c r="AN386" i="1"/>
  <c r="AO386" i="1"/>
  <c r="AP386" i="1"/>
  <c r="AQ386" i="1"/>
  <c r="AM385" i="1"/>
  <c r="AN385" i="1"/>
  <c r="AO385" i="1"/>
  <c r="AP385" i="1"/>
  <c r="AQ385" i="1"/>
  <c r="AM377" i="1"/>
  <c r="AN377" i="1"/>
  <c r="AO377" i="1"/>
  <c r="AP377" i="1"/>
  <c r="AQ377" i="1"/>
  <c r="AM380" i="1"/>
  <c r="AN380" i="1"/>
  <c r="AO380" i="1"/>
  <c r="AP380" i="1"/>
  <c r="AQ380" i="1"/>
  <c r="AM384" i="1"/>
  <c r="AN384" i="1"/>
  <c r="AO384" i="1"/>
  <c r="AP384" i="1"/>
  <c r="AQ384" i="1"/>
  <c r="AM383" i="1"/>
  <c r="AN383" i="1"/>
  <c r="AO383" i="1"/>
  <c r="AP383" i="1"/>
  <c r="AQ383" i="1"/>
  <c r="AM382" i="1"/>
  <c r="AN382" i="1"/>
  <c r="AO382" i="1"/>
  <c r="AP382" i="1"/>
  <c r="AQ382" i="1"/>
  <c r="AM379" i="1"/>
  <c r="AN379" i="1"/>
  <c r="AO379" i="1"/>
  <c r="AP379" i="1"/>
  <c r="AQ379" i="1"/>
  <c r="AM378" i="1"/>
  <c r="AN378" i="1"/>
  <c r="AO378" i="1"/>
  <c r="AP378" i="1"/>
  <c r="AQ378" i="1"/>
  <c r="AM376" i="1"/>
  <c r="AN376" i="1"/>
  <c r="AO376" i="1"/>
  <c r="AP376" i="1"/>
  <c r="AQ376" i="1"/>
  <c r="AM373" i="1"/>
  <c r="AM256" i="1"/>
  <c r="AM374" i="1"/>
  <c r="AM262" i="1"/>
  <c r="AN373" i="1"/>
  <c r="AN256" i="1"/>
  <c r="AN374" i="1"/>
  <c r="AN262" i="1"/>
  <c r="AO373" i="1"/>
  <c r="AO256" i="1"/>
  <c r="AO374" i="1"/>
  <c r="AO262" i="1"/>
  <c r="AP373" i="1"/>
  <c r="AP256" i="1"/>
  <c r="AP374" i="1"/>
  <c r="AP262" i="1"/>
  <c r="AQ373" i="1"/>
  <c r="AQ256" i="1"/>
  <c r="AQ374" i="1"/>
  <c r="AQ262" i="1"/>
  <c r="AQ372" i="1"/>
  <c r="AP372" i="1"/>
  <c r="AO372" i="1"/>
  <c r="AN372" i="1"/>
  <c r="AM372" i="1"/>
  <c r="AM370" i="1"/>
  <c r="AM369" i="1"/>
  <c r="AM371" i="1"/>
  <c r="AN370" i="1"/>
  <c r="AN369" i="1"/>
  <c r="AN371" i="1"/>
  <c r="AO370" i="1"/>
  <c r="AO369" i="1"/>
  <c r="AO371" i="1"/>
  <c r="AP370" i="1"/>
  <c r="AP369" i="1"/>
  <c r="AP371" i="1"/>
  <c r="AQ370" i="1"/>
  <c r="AQ369" i="1"/>
  <c r="AQ371" i="1"/>
  <c r="AM367" i="1"/>
  <c r="AN367" i="1"/>
  <c r="AO367" i="1"/>
  <c r="AP367" i="1"/>
  <c r="AQ367" i="1"/>
  <c r="AM362" i="1"/>
  <c r="AM366" i="1"/>
  <c r="AM368" i="1"/>
  <c r="AM365" i="1"/>
  <c r="AN362" i="1"/>
  <c r="AN366" i="1"/>
  <c r="AN368" i="1"/>
  <c r="AN365" i="1"/>
  <c r="AO362" i="1"/>
  <c r="AO366" i="1"/>
  <c r="AO368" i="1"/>
  <c r="AO365" i="1"/>
  <c r="AP362" i="1"/>
  <c r="AP366" i="1"/>
  <c r="AP368" i="1"/>
  <c r="AP365" i="1"/>
  <c r="AQ362" i="1"/>
  <c r="AQ366" i="1"/>
  <c r="AQ368" i="1"/>
  <c r="AQ365" i="1"/>
  <c r="AM363" i="1"/>
  <c r="AN363" i="1"/>
  <c r="AO363" i="1"/>
  <c r="AP363" i="1"/>
  <c r="AQ363" i="1"/>
  <c r="AM361" i="1"/>
  <c r="AN361" i="1"/>
  <c r="AO361" i="1"/>
  <c r="AP361" i="1"/>
  <c r="AQ361" i="1"/>
  <c r="AM359" i="1"/>
  <c r="AM360" i="1"/>
  <c r="AN359" i="1"/>
  <c r="AN360" i="1"/>
  <c r="AO359" i="1"/>
  <c r="AO360" i="1"/>
  <c r="AP359" i="1"/>
  <c r="AP360" i="1"/>
  <c r="AQ359" i="1"/>
  <c r="AQ360" i="1"/>
  <c r="AM358" i="1"/>
  <c r="AN358" i="1"/>
  <c r="AO358" i="1"/>
  <c r="AP358" i="1"/>
  <c r="AQ358" i="1"/>
  <c r="AM357" i="1"/>
  <c r="AM356" i="1"/>
  <c r="AM364" i="1"/>
  <c r="AN357" i="1"/>
  <c r="AN356" i="1"/>
  <c r="AN364" i="1"/>
  <c r="AO357" i="1"/>
  <c r="AO356" i="1"/>
  <c r="AO364" i="1"/>
  <c r="AP357" i="1"/>
  <c r="AP356" i="1"/>
  <c r="AP364" i="1"/>
  <c r="AQ357" i="1"/>
  <c r="AQ356" i="1"/>
  <c r="AQ364" i="1"/>
  <c r="AQ355" i="1"/>
  <c r="AP355" i="1"/>
  <c r="AO355" i="1"/>
  <c r="AN355" i="1"/>
  <c r="AM355" i="1"/>
  <c r="AQ334" i="1"/>
  <c r="AP334" i="1"/>
  <c r="AO334" i="1"/>
  <c r="AN334" i="1"/>
  <c r="AM334" i="1"/>
  <c r="AM353" i="1"/>
  <c r="AN353" i="1"/>
  <c r="AO353" i="1"/>
  <c r="AP353" i="1"/>
  <c r="AQ353" i="1"/>
  <c r="AM354" i="1"/>
  <c r="AN354" i="1"/>
  <c r="AO354" i="1"/>
  <c r="AP354" i="1"/>
  <c r="AQ354" i="1"/>
  <c r="AM318" i="1"/>
  <c r="AN318" i="1"/>
  <c r="AO318" i="1"/>
  <c r="AP318" i="1"/>
  <c r="AQ318" i="1"/>
  <c r="AM351" i="1"/>
  <c r="AN351" i="1"/>
  <c r="AO351" i="1"/>
  <c r="AP351" i="1"/>
  <c r="AQ351" i="1"/>
  <c r="AM348" i="1"/>
  <c r="AN348" i="1"/>
  <c r="AO348" i="1"/>
  <c r="AP348" i="1"/>
  <c r="AQ348" i="1"/>
  <c r="AQ347" i="1"/>
  <c r="AP347" i="1"/>
  <c r="AO347" i="1"/>
  <c r="AN347" i="1"/>
  <c r="AM347" i="1"/>
  <c r="AQ350" i="1"/>
  <c r="AP350" i="1"/>
  <c r="AO350" i="1"/>
  <c r="AN350" i="1"/>
  <c r="AM350" i="1"/>
  <c r="AQ349" i="1"/>
  <c r="AP349" i="1"/>
  <c r="AO349" i="1"/>
  <c r="AN349" i="1"/>
  <c r="AM349" i="1"/>
  <c r="AM346" i="1"/>
  <c r="AN346" i="1"/>
  <c r="AO346" i="1"/>
  <c r="AP346" i="1"/>
  <c r="AQ346" i="1"/>
  <c r="AM345" i="1"/>
  <c r="AN345" i="1"/>
  <c r="AO345" i="1"/>
  <c r="AP345" i="1"/>
  <c r="AQ345" i="1"/>
  <c r="AM343" i="1"/>
  <c r="AN343" i="1"/>
  <c r="AO343" i="1"/>
  <c r="AP343" i="1"/>
  <c r="AQ343" i="1"/>
  <c r="AM342" i="1"/>
  <c r="AN342" i="1"/>
  <c r="AO342" i="1"/>
  <c r="AP342" i="1"/>
  <c r="AQ342" i="1"/>
  <c r="AQ337" i="1"/>
  <c r="AP337" i="1"/>
  <c r="AO337" i="1"/>
  <c r="AN337" i="1"/>
  <c r="AM337" i="1"/>
  <c r="AM341" i="1"/>
  <c r="AN341" i="1"/>
  <c r="AO341" i="1"/>
  <c r="AP341" i="1"/>
  <c r="AQ341" i="1"/>
  <c r="AM340" i="1"/>
  <c r="AN340" i="1"/>
  <c r="AO340" i="1"/>
  <c r="AP340" i="1"/>
  <c r="AQ340" i="1"/>
  <c r="AM352" i="1"/>
  <c r="AN352" i="1"/>
  <c r="AO352" i="1"/>
  <c r="AP352" i="1"/>
  <c r="AQ352" i="1"/>
  <c r="AM4" i="1"/>
  <c r="AM8" i="1"/>
  <c r="AM13" i="1"/>
  <c r="AM7" i="1"/>
  <c r="AM15" i="1"/>
  <c r="AM11" i="1"/>
  <c r="AM21" i="1"/>
  <c r="AM9" i="1"/>
  <c r="AM12" i="1"/>
  <c r="AM14" i="1"/>
  <c r="AM2" i="1"/>
  <c r="AM16" i="1"/>
  <c r="AM3" i="1"/>
  <c r="AM19" i="1"/>
  <c r="AM17" i="1"/>
  <c r="AM18" i="1"/>
  <c r="AM20" i="1"/>
  <c r="AM22" i="1"/>
  <c r="AM23" i="1"/>
  <c r="AM24" i="1"/>
  <c r="AM26" i="1"/>
  <c r="AM27" i="1"/>
  <c r="AM30" i="1"/>
  <c r="AM29" i="1"/>
  <c r="AM32" i="1"/>
  <c r="AM33" i="1"/>
  <c r="AM35" i="1"/>
  <c r="AM25" i="1"/>
  <c r="AM38" i="1"/>
  <c r="AM28" i="1"/>
  <c r="AM34" i="1"/>
  <c r="AM42" i="1"/>
  <c r="AM31" i="1"/>
  <c r="AM36" i="1"/>
  <c r="AM37" i="1"/>
  <c r="AM39" i="1"/>
  <c r="AM10" i="1"/>
  <c r="AM44" i="1"/>
  <c r="AM40" i="1"/>
  <c r="AM41" i="1"/>
  <c r="AM45" i="1"/>
  <c r="AM43" i="1"/>
  <c r="AM46" i="1"/>
  <c r="AM47" i="1"/>
  <c r="AM48" i="1"/>
  <c r="AM50" i="1"/>
  <c r="AM54" i="1"/>
  <c r="AM51" i="1"/>
  <c r="AM5" i="1"/>
  <c r="AM56" i="1"/>
  <c r="AM49" i="1"/>
  <c r="AM52" i="1"/>
  <c r="AM60" i="1"/>
  <c r="AM55" i="1"/>
  <c r="AM62" i="1"/>
  <c r="AM71" i="1"/>
  <c r="AM58" i="1"/>
  <c r="AM59" i="1"/>
  <c r="AM74" i="1"/>
  <c r="AM66" i="1"/>
  <c r="AM61" i="1"/>
  <c r="AM63" i="1"/>
  <c r="AM68" i="1"/>
  <c r="AM69" i="1"/>
  <c r="AM75" i="1"/>
  <c r="AM67" i="1"/>
  <c r="AM73" i="1"/>
  <c r="AM76" i="1"/>
  <c r="AM81" i="1"/>
  <c r="AM77" i="1"/>
  <c r="AM65" i="1"/>
  <c r="AM70" i="1"/>
  <c r="AM64" i="1"/>
  <c r="AM83" i="1"/>
  <c r="AM82" i="1"/>
  <c r="AM84" i="1"/>
  <c r="AM53" i="1"/>
  <c r="AM87" i="1"/>
  <c r="AM88" i="1"/>
  <c r="AM92" i="1"/>
  <c r="AM80" i="1"/>
  <c r="AM79" i="1"/>
  <c r="AM91" i="1"/>
  <c r="AM78" i="1"/>
  <c r="AM57" i="1"/>
  <c r="AM95" i="1"/>
  <c r="AM102" i="1"/>
  <c r="AM89" i="1"/>
  <c r="AM99" i="1"/>
  <c r="AM90" i="1"/>
  <c r="AM94" i="1"/>
  <c r="AM93" i="1"/>
  <c r="AM113" i="1"/>
  <c r="AM119" i="1"/>
  <c r="AM108" i="1"/>
  <c r="AM96" i="1"/>
  <c r="AM97" i="1"/>
  <c r="AM123" i="1"/>
  <c r="AM100" i="1"/>
  <c r="AM101" i="1"/>
  <c r="AM103" i="1"/>
  <c r="AM104" i="1"/>
  <c r="AM105" i="1"/>
  <c r="AM106" i="1"/>
  <c r="AM107" i="1"/>
  <c r="AM126" i="1"/>
  <c r="AM110" i="1"/>
  <c r="AM130" i="1"/>
  <c r="AM133" i="1"/>
  <c r="AM116" i="1"/>
  <c r="AM137" i="1"/>
  <c r="AM115" i="1"/>
  <c r="AM118" i="1"/>
  <c r="AM117" i="1"/>
  <c r="AM129" i="1"/>
  <c r="AM120" i="1"/>
  <c r="AM121" i="1"/>
  <c r="AM122" i="1"/>
  <c r="AM147" i="1"/>
  <c r="AM124" i="1"/>
  <c r="AM125" i="1"/>
  <c r="AM148" i="1"/>
  <c r="AM131" i="1"/>
  <c r="AM128" i="1"/>
  <c r="AM135" i="1"/>
  <c r="AM145" i="1"/>
  <c r="AM132" i="1"/>
  <c r="AM153" i="1"/>
  <c r="AM138" i="1"/>
  <c r="AM158" i="1"/>
  <c r="AM156" i="1"/>
  <c r="AM139" i="1"/>
  <c r="AM143" i="1"/>
  <c r="AM98" i="1"/>
  <c r="AM154" i="1"/>
  <c r="AM142" i="1"/>
  <c r="AM144" i="1"/>
  <c r="AM146" i="1"/>
  <c r="AM157" i="1"/>
  <c r="AM160" i="1"/>
  <c r="AM114" i="1"/>
  <c r="AM150" i="1"/>
  <c r="AM152" i="1"/>
  <c r="AM161" i="1"/>
  <c r="AM163" i="1"/>
  <c r="AM168" i="1"/>
  <c r="AM155" i="1"/>
  <c r="AM159" i="1"/>
  <c r="AM136" i="1"/>
  <c r="AM173" i="1"/>
  <c r="AM111" i="1"/>
  <c r="AM165" i="1"/>
  <c r="AM140" i="1"/>
  <c r="AM151" i="1"/>
  <c r="AM166" i="1"/>
  <c r="AM164" i="1"/>
  <c r="AM170" i="1"/>
  <c r="AM162" i="1"/>
  <c r="AM180" i="1"/>
  <c r="AM167" i="1"/>
  <c r="AM184" i="1"/>
  <c r="AM172" i="1"/>
  <c r="AM171" i="1"/>
  <c r="AM169" i="1"/>
  <c r="AM178" i="1"/>
  <c r="AM185" i="1"/>
  <c r="AM174" i="1"/>
  <c r="AM175" i="1"/>
  <c r="AM176" i="1"/>
  <c r="AM179" i="1"/>
  <c r="AM177" i="1"/>
  <c r="AM186" i="1"/>
  <c r="AM149" i="1"/>
  <c r="AM189" i="1"/>
  <c r="AM204" i="1"/>
  <c r="AM181" i="1"/>
  <c r="AM198" i="1"/>
  <c r="AM183" i="1"/>
  <c r="AM127" i="1"/>
  <c r="AM182" i="1"/>
  <c r="AM188" i="1"/>
  <c r="AM208" i="1"/>
  <c r="AM187" i="1"/>
  <c r="AM213" i="1"/>
  <c r="AM216" i="1"/>
  <c r="AM190" i="1"/>
  <c r="AM194" i="1"/>
  <c r="AM195" i="1"/>
  <c r="AM196" i="1"/>
  <c r="AM199" i="1"/>
  <c r="AM201" i="1"/>
  <c r="AM200" i="1"/>
  <c r="AM197" i="1"/>
  <c r="AM202" i="1"/>
  <c r="AM203" i="1"/>
  <c r="AM206" i="1"/>
  <c r="AM211" i="1"/>
  <c r="AM205" i="1"/>
  <c r="AM209" i="1"/>
  <c r="AM212" i="1"/>
  <c r="AM218" i="1"/>
  <c r="AM221" i="1"/>
  <c r="AM210" i="1"/>
  <c r="AM227" i="1"/>
  <c r="AM217" i="1"/>
  <c r="AM192" i="1"/>
  <c r="AM207" i="1"/>
  <c r="AM193" i="1"/>
  <c r="AM134" i="1"/>
  <c r="AM215" i="1"/>
  <c r="AM141" i="1"/>
  <c r="AM233" i="1"/>
  <c r="AM236" i="1"/>
  <c r="AM239" i="1"/>
  <c r="AM219" i="1"/>
  <c r="AM220" i="1"/>
  <c r="AM223" i="1"/>
  <c r="AM222" i="1"/>
  <c r="AM241" i="1"/>
  <c r="AM224" i="1"/>
  <c r="AM225" i="1"/>
  <c r="AM242" i="1"/>
  <c r="AM214" i="1"/>
  <c r="AM235" i="1"/>
  <c r="AM249" i="1"/>
  <c r="AM231" i="1"/>
  <c r="AM230" i="1"/>
  <c r="AM228" i="1"/>
  <c r="AM260" i="1"/>
  <c r="AM234" i="1"/>
  <c r="AM237" i="1"/>
  <c r="AM238" i="1"/>
  <c r="AM263" i="1"/>
  <c r="AM258" i="1"/>
  <c r="AM252" i="1"/>
  <c r="AM253" i="1"/>
  <c r="AM268" i="1"/>
  <c r="AM248" i="1"/>
  <c r="AM243" i="1"/>
  <c r="AM264" i="1"/>
  <c r="AM245" i="1"/>
  <c r="AM265" i="1"/>
  <c r="AM246" i="1"/>
  <c r="AM254" i="1"/>
  <c r="AM251" i="1"/>
  <c r="AM247" i="1"/>
  <c r="AM240" i="1"/>
  <c r="AM259" i="1"/>
  <c r="AM266" i="1"/>
  <c r="AM255" i="1"/>
  <c r="AM250" i="1"/>
  <c r="AM261" i="1"/>
  <c r="AM275" i="1"/>
  <c r="AM280" i="1"/>
  <c r="AM272" i="1"/>
  <c r="AM273" i="1"/>
  <c r="AM257" i="1"/>
  <c r="AM290" i="1"/>
  <c r="AM229" i="1"/>
  <c r="AM191" i="1"/>
  <c r="AM244" i="1"/>
  <c r="AM276" i="1"/>
  <c r="AM278" i="1"/>
  <c r="AM270" i="1"/>
  <c r="AM286" i="1"/>
  <c r="AM288" i="1"/>
  <c r="AM283" i="1"/>
  <c r="AM293" i="1"/>
  <c r="AM279" i="1"/>
  <c r="AM294" i="1"/>
  <c r="AM72" i="1"/>
  <c r="AM282" i="1"/>
  <c r="AM269" i="1"/>
  <c r="AM277" i="1"/>
  <c r="AM267" i="1"/>
  <c r="AM226" i="1"/>
  <c r="AM284" i="1"/>
  <c r="AM285" i="1"/>
  <c r="AM271" i="1"/>
  <c r="AM85" i="1"/>
  <c r="AM6" i="1"/>
  <c r="AM86" i="1"/>
  <c r="AM287" i="1"/>
  <c r="AM232" i="1"/>
  <c r="AM291" i="1"/>
  <c r="AM109" i="1"/>
  <c r="AM292" i="1"/>
  <c r="AM112" i="1"/>
  <c r="AM296" i="1"/>
  <c r="AM281" i="1"/>
  <c r="AM298" i="1"/>
  <c r="AM299" i="1"/>
  <c r="AM303" i="1"/>
  <c r="AM300" i="1"/>
  <c r="AM301" i="1"/>
  <c r="AM302" i="1"/>
  <c r="AM304" i="1"/>
  <c r="AM297" i="1"/>
  <c r="AM306" i="1"/>
  <c r="AM305" i="1"/>
  <c r="AM307" i="1"/>
  <c r="AM308" i="1"/>
  <c r="AM309" i="1"/>
  <c r="AM310" i="1"/>
  <c r="AM289" i="1"/>
  <c r="AM311" i="1"/>
  <c r="AM295" i="1"/>
  <c r="AM312" i="1"/>
  <c r="AM314" i="1"/>
  <c r="AM313" i="1"/>
  <c r="AM315" i="1"/>
  <c r="AM316" i="1"/>
  <c r="AM317" i="1"/>
  <c r="AM321" i="1"/>
  <c r="AM319" i="1"/>
  <c r="AM320" i="1"/>
  <c r="AM322" i="1"/>
  <c r="AM323" i="1"/>
  <c r="AM324" i="1"/>
  <c r="AM331" i="1"/>
  <c r="AM325" i="1"/>
  <c r="AM327" i="1"/>
  <c r="AM326" i="1"/>
  <c r="AM274" i="1"/>
  <c r="AM330" i="1"/>
  <c r="AM329" i="1"/>
  <c r="AM332" i="1"/>
  <c r="AM333" i="1"/>
  <c r="AM344" i="1"/>
  <c r="AM335" i="1"/>
  <c r="AM336" i="1"/>
  <c r="AM339" i="1"/>
  <c r="AM338" i="1"/>
  <c r="AN336" i="1"/>
  <c r="AO336" i="1"/>
  <c r="AN339" i="1"/>
  <c r="AO339" i="1"/>
  <c r="AN338" i="1"/>
  <c r="AO338" i="1"/>
  <c r="AQ338" i="1"/>
  <c r="AP338" i="1"/>
  <c r="AQ339" i="1"/>
  <c r="AP339" i="1"/>
  <c r="AQ336" i="1"/>
  <c r="AP336" i="1"/>
  <c r="AN335" i="1"/>
  <c r="AO335" i="1"/>
  <c r="AP335" i="1"/>
  <c r="AQ335" i="1"/>
  <c r="AN344" i="1"/>
  <c r="AO344" i="1"/>
  <c r="AP344" i="1"/>
  <c r="AQ344" i="1"/>
  <c r="AQ333" i="1"/>
  <c r="AP333" i="1"/>
  <c r="AO333" i="1"/>
  <c r="AN333" i="1"/>
  <c r="AN332" i="1"/>
  <c r="AO332" i="1"/>
  <c r="AP332" i="1"/>
  <c r="AQ332" i="1"/>
  <c r="AN329" i="1"/>
  <c r="AO329" i="1"/>
  <c r="AP329" i="1"/>
  <c r="AQ329" i="1"/>
  <c r="AN330" i="1"/>
  <c r="AO330" i="1"/>
  <c r="AP330" i="1"/>
  <c r="AQ330" i="1"/>
  <c r="L274" i="1"/>
  <c r="L331" i="1"/>
  <c r="AN331" i="1"/>
  <c r="AO331" i="1"/>
  <c r="AP331" i="1"/>
  <c r="AQ331" i="1"/>
  <c r="AN326" i="1"/>
  <c r="AO326" i="1"/>
  <c r="AP326" i="1"/>
  <c r="AQ326" i="1"/>
  <c r="AN327" i="1"/>
  <c r="AO327" i="1"/>
  <c r="AP327" i="1"/>
  <c r="AQ327" i="1"/>
  <c r="AN325" i="1"/>
  <c r="AO325" i="1"/>
  <c r="AP325" i="1"/>
  <c r="AQ325" i="1"/>
  <c r="AN274" i="1"/>
  <c r="AO274" i="1"/>
  <c r="AP274" i="1"/>
  <c r="AQ274" i="1"/>
  <c r="AQ324" i="1"/>
  <c r="AP324" i="1"/>
  <c r="AO324" i="1"/>
  <c r="AN324" i="1"/>
  <c r="AN323" i="1"/>
  <c r="AO323" i="1"/>
  <c r="AP323" i="1"/>
  <c r="AQ323" i="1"/>
  <c r="AN322" i="1"/>
  <c r="AO322" i="1"/>
  <c r="AP322" i="1"/>
  <c r="AQ322" i="1"/>
  <c r="AN320" i="1"/>
  <c r="AO320" i="1"/>
  <c r="AP320" i="1"/>
  <c r="AQ320" i="1"/>
  <c r="AN319" i="1"/>
  <c r="AO319" i="1"/>
  <c r="AP319" i="1"/>
  <c r="AQ319" i="1"/>
  <c r="AN321" i="1"/>
  <c r="AO321" i="1"/>
  <c r="AP321" i="1"/>
  <c r="AQ321" i="1"/>
  <c r="AN317" i="1"/>
  <c r="AO317" i="1"/>
  <c r="AP317" i="1"/>
  <c r="AQ317" i="1"/>
  <c r="AN316" i="1"/>
  <c r="AO316" i="1"/>
  <c r="AP316" i="1"/>
  <c r="AQ316" i="1"/>
  <c r="AN315" i="1"/>
  <c r="AO315" i="1"/>
  <c r="AP315" i="1"/>
  <c r="AQ315" i="1"/>
  <c r="AN313" i="1"/>
  <c r="AO313" i="1"/>
  <c r="AP313" i="1"/>
  <c r="AQ313" i="1"/>
  <c r="AN314" i="1"/>
  <c r="AO314" i="1"/>
  <c r="AP314" i="1"/>
  <c r="AQ314" i="1"/>
  <c r="AN312" i="1"/>
  <c r="AO312" i="1"/>
  <c r="AP312" i="1"/>
  <c r="AQ312" i="1"/>
  <c r="AN295" i="1"/>
  <c r="AO295" i="1"/>
  <c r="AP295" i="1"/>
  <c r="AQ295" i="1"/>
  <c r="AN311" i="1"/>
  <c r="AO311" i="1"/>
  <c r="AP311" i="1"/>
  <c r="AQ311" i="1"/>
  <c r="AN289" i="1"/>
  <c r="AO289" i="1"/>
  <c r="AP289" i="1"/>
  <c r="AQ289" i="1"/>
  <c r="AN310" i="1"/>
  <c r="AO310" i="1"/>
  <c r="AP310" i="1"/>
  <c r="AQ310" i="1"/>
  <c r="AN309" i="1"/>
  <c r="AO309" i="1"/>
  <c r="AP309" i="1"/>
  <c r="AQ309" i="1"/>
  <c r="AN308" i="1"/>
  <c r="AO308" i="1"/>
  <c r="AP308" i="1"/>
  <c r="AQ308" i="1"/>
  <c r="AN307" i="1"/>
  <c r="AO307" i="1"/>
  <c r="AP307" i="1"/>
  <c r="AQ307" i="1"/>
  <c r="AN305" i="1"/>
  <c r="AO305" i="1"/>
  <c r="AP305" i="1"/>
  <c r="AQ305" i="1"/>
  <c r="AN306" i="1"/>
  <c r="AO306" i="1"/>
  <c r="AP306" i="1"/>
  <c r="AQ306" i="1"/>
  <c r="AN297" i="1"/>
  <c r="AO297" i="1"/>
  <c r="AP297" i="1"/>
  <c r="AQ297" i="1"/>
  <c r="AN304" i="1"/>
  <c r="AO304" i="1"/>
  <c r="AP304" i="1"/>
  <c r="AQ304" i="1"/>
  <c r="AN302" i="1"/>
  <c r="AO302" i="1"/>
  <c r="AP302" i="1"/>
  <c r="AQ302" i="1"/>
  <c r="AN301" i="1"/>
  <c r="AO301" i="1"/>
  <c r="AP301" i="1"/>
  <c r="AQ301" i="1"/>
  <c r="AN300" i="1"/>
  <c r="AO300" i="1"/>
  <c r="AP300" i="1"/>
  <c r="AQ300" i="1"/>
  <c r="AQ303" i="1"/>
  <c r="AP303" i="1"/>
  <c r="AO303" i="1"/>
  <c r="AN303" i="1"/>
  <c r="AQ299" i="1"/>
  <c r="AP299" i="1"/>
  <c r="AO299" i="1"/>
  <c r="AN299" i="1"/>
  <c r="AQ298" i="1"/>
  <c r="AP298" i="1"/>
  <c r="AO298" i="1"/>
  <c r="AN298" i="1"/>
  <c r="AQ296" i="1"/>
  <c r="AP296" i="1"/>
  <c r="AO296" i="1"/>
  <c r="AN296" i="1"/>
  <c r="AQ293" i="1"/>
  <c r="AP293" i="1"/>
  <c r="AO293" i="1"/>
  <c r="AN293" i="1"/>
  <c r="AQ292" i="1"/>
  <c r="AP292" i="1"/>
  <c r="AO292" i="1"/>
  <c r="AN292" i="1"/>
  <c r="AQ294" i="1"/>
  <c r="AP294" i="1"/>
  <c r="AO294" i="1"/>
  <c r="AN294" i="1"/>
  <c r="AN291" i="1"/>
  <c r="AO291" i="1"/>
  <c r="AP291" i="1"/>
  <c r="AQ291" i="1"/>
  <c r="AN288" i="1"/>
  <c r="AO288" i="1"/>
  <c r="AP288" i="1"/>
  <c r="AQ288" i="1"/>
  <c r="AN277" i="1"/>
  <c r="AO277" i="1"/>
  <c r="AP277" i="1"/>
  <c r="AQ277" i="1"/>
  <c r="AN286" i="1"/>
  <c r="AO286" i="1"/>
  <c r="AP286" i="1"/>
  <c r="AQ286" i="1"/>
  <c r="AN287" i="1"/>
  <c r="AO287" i="1"/>
  <c r="AP287" i="1"/>
  <c r="AQ287" i="1"/>
  <c r="AN278" i="1"/>
  <c r="AO278" i="1"/>
  <c r="AP278" i="1"/>
  <c r="AQ278" i="1"/>
  <c r="AN226" i="1"/>
  <c r="AO226" i="1"/>
  <c r="AP226" i="1"/>
  <c r="AQ226" i="1"/>
  <c r="AQ285" i="1"/>
  <c r="AP285" i="1"/>
  <c r="AO285" i="1"/>
  <c r="AN285" i="1"/>
  <c r="AQ284" i="1"/>
  <c r="AP284" i="1"/>
  <c r="AO284" i="1"/>
  <c r="AN284" i="1"/>
  <c r="AN283" i="1"/>
  <c r="AO283" i="1"/>
  <c r="AP283" i="1"/>
  <c r="AQ283" i="1"/>
  <c r="AN290" i="1"/>
  <c r="AO290" i="1"/>
  <c r="AP290" i="1"/>
  <c r="AQ290" i="1"/>
  <c r="AN281" i="1"/>
  <c r="AO281" i="1"/>
  <c r="AP281" i="1"/>
  <c r="AQ281" i="1"/>
  <c r="AN276" i="1"/>
  <c r="AO276" i="1"/>
  <c r="AP276" i="1"/>
  <c r="AQ276" i="1"/>
  <c r="AN279" i="1"/>
  <c r="AO279" i="1"/>
  <c r="AP279" i="1"/>
  <c r="AQ279" i="1"/>
  <c r="AN282" i="1"/>
  <c r="AO282" i="1"/>
  <c r="AP282" i="1"/>
  <c r="AQ282" i="1"/>
  <c r="AN280" i="1"/>
  <c r="AO280" i="1"/>
  <c r="AP280" i="1"/>
  <c r="AQ280" i="1"/>
  <c r="AN275" i="1"/>
  <c r="AO275" i="1"/>
  <c r="AP275" i="1"/>
  <c r="AQ275" i="1"/>
  <c r="AQ270" i="1"/>
  <c r="AP270" i="1"/>
  <c r="AO270" i="1"/>
  <c r="AN270" i="1"/>
  <c r="AN229" i="1"/>
  <c r="AO229" i="1"/>
  <c r="AP229" i="1"/>
  <c r="AQ229" i="1"/>
  <c r="AN272" i="1"/>
  <c r="AO272" i="1"/>
  <c r="AP272" i="1"/>
  <c r="AQ272" i="1"/>
  <c r="AN273" i="1"/>
  <c r="AO273" i="1"/>
  <c r="AP273" i="1"/>
  <c r="AQ273" i="1"/>
  <c r="AN271" i="1"/>
  <c r="AO271" i="1"/>
  <c r="AP271" i="1"/>
  <c r="AQ271" i="1"/>
  <c r="AN267" i="1"/>
  <c r="AO267" i="1"/>
  <c r="AP267" i="1"/>
  <c r="AQ267" i="1"/>
  <c r="AN269" i="1"/>
  <c r="AO269" i="1"/>
  <c r="AP269" i="1"/>
  <c r="AQ269" i="1"/>
  <c r="AN244" i="1"/>
  <c r="AN268" i="1"/>
  <c r="AO244" i="1"/>
  <c r="AO268" i="1"/>
  <c r="AP244" i="1"/>
  <c r="AP268" i="1"/>
  <c r="AQ244" i="1"/>
  <c r="AQ268" i="1"/>
  <c r="AQ180" i="1"/>
  <c r="AP180" i="1"/>
  <c r="AO180" i="1"/>
  <c r="AN180" i="1"/>
  <c r="AQ191" i="1"/>
  <c r="AP191" i="1"/>
  <c r="AO191" i="1"/>
  <c r="AN191" i="1"/>
  <c r="AN266" i="1"/>
  <c r="AO266" i="1"/>
  <c r="AP266" i="1"/>
  <c r="AQ266" i="1"/>
  <c r="AN265" i="1"/>
  <c r="AO265" i="1"/>
  <c r="AP265" i="1"/>
  <c r="AQ265" i="1"/>
  <c r="AN257" i="1"/>
  <c r="AO257" i="1"/>
  <c r="AP257" i="1"/>
  <c r="AQ257" i="1"/>
  <c r="AN261" i="1"/>
  <c r="AO261" i="1"/>
  <c r="AP261" i="1"/>
  <c r="AQ261" i="1"/>
  <c r="AN263" i="1"/>
  <c r="AO263" i="1"/>
  <c r="AP263" i="1"/>
  <c r="AQ263" i="1"/>
  <c r="AN264" i="1"/>
  <c r="AO264" i="1"/>
  <c r="AP264" i="1"/>
  <c r="AQ264" i="1"/>
  <c r="AN247" i="1"/>
  <c r="AO247" i="1"/>
  <c r="AP247" i="1"/>
  <c r="AQ247" i="1"/>
  <c r="AN250" i="1"/>
  <c r="AO250" i="1"/>
  <c r="AP250" i="1"/>
  <c r="AQ250" i="1"/>
  <c r="AN260" i="1"/>
  <c r="AO260" i="1"/>
  <c r="AP260" i="1"/>
  <c r="AQ260" i="1"/>
  <c r="AN258" i="1"/>
  <c r="AO258" i="1"/>
  <c r="AP258" i="1"/>
  <c r="AQ258" i="1"/>
  <c r="AN259" i="1"/>
  <c r="AO259" i="1"/>
  <c r="AP259" i="1"/>
  <c r="AQ259" i="1"/>
  <c r="AN240" i="1"/>
  <c r="AO240" i="1"/>
  <c r="AP240" i="1"/>
  <c r="AQ240" i="1"/>
  <c r="AN254" i="1"/>
  <c r="AO254" i="1"/>
  <c r="AP254" i="1"/>
  <c r="AQ254" i="1"/>
  <c r="AN251" i="1"/>
  <c r="AO251" i="1"/>
  <c r="AP251" i="1"/>
  <c r="AQ251" i="1"/>
  <c r="AN255" i="1"/>
  <c r="AO255" i="1"/>
  <c r="AP255" i="1"/>
  <c r="AQ255" i="1"/>
  <c r="AN249" i="1"/>
  <c r="AO249" i="1"/>
  <c r="AP249" i="1"/>
  <c r="AQ249" i="1"/>
  <c r="AN246" i="1"/>
  <c r="AO246" i="1"/>
  <c r="AP246" i="1"/>
  <c r="AQ246" i="1"/>
  <c r="AN245" i="1"/>
  <c r="AO245" i="1"/>
  <c r="AP245" i="1"/>
  <c r="AQ245" i="1"/>
  <c r="AN241" i="1"/>
  <c r="AO241" i="1"/>
  <c r="AP241" i="1"/>
  <c r="AQ241" i="1"/>
  <c r="AN243" i="1"/>
  <c r="AO243" i="1"/>
  <c r="AP243" i="1"/>
  <c r="AQ243" i="1"/>
  <c r="AN248" i="1"/>
  <c r="AO248" i="1"/>
  <c r="AP248" i="1"/>
  <c r="AQ248" i="1"/>
  <c r="AQ242" i="1"/>
  <c r="AP242" i="1"/>
  <c r="AO242" i="1"/>
  <c r="AN242" i="1"/>
  <c r="AN253" i="1"/>
  <c r="AO253" i="1"/>
  <c r="AP253" i="1"/>
  <c r="AQ253" i="1"/>
  <c r="AN252" i="1"/>
  <c r="AO252" i="1"/>
  <c r="AP252" i="1"/>
  <c r="AQ252" i="1"/>
  <c r="AN235" i="1"/>
  <c r="AO235" i="1"/>
  <c r="AP235" i="1"/>
  <c r="AQ235" i="1"/>
  <c r="AN239" i="1"/>
  <c r="AO239" i="1"/>
  <c r="AP239" i="1"/>
  <c r="AQ239" i="1"/>
  <c r="AN238" i="1"/>
  <c r="AO238" i="1"/>
  <c r="AP238" i="1"/>
  <c r="AQ238" i="1"/>
  <c r="AN237" i="1"/>
  <c r="AO237" i="1"/>
  <c r="AP237" i="1"/>
  <c r="AQ237" i="1"/>
  <c r="AN234" i="1"/>
  <c r="AO234" i="1"/>
  <c r="AP234" i="1"/>
  <c r="AQ234" i="1"/>
  <c r="AN233" i="1"/>
  <c r="AO233" i="1"/>
  <c r="AP233" i="1"/>
  <c r="AQ233" i="1"/>
  <c r="AQ228" i="1"/>
  <c r="AP228" i="1"/>
  <c r="AO228" i="1"/>
  <c r="AN228" i="1"/>
  <c r="AQ230" i="1"/>
  <c r="AP230" i="1"/>
  <c r="AO230" i="1"/>
  <c r="AN230" i="1"/>
  <c r="AQ231" i="1"/>
  <c r="AP231" i="1"/>
  <c r="AO231" i="1"/>
  <c r="AN231" i="1"/>
  <c r="AQ236" i="1"/>
  <c r="AP236" i="1"/>
  <c r="AO236" i="1"/>
  <c r="AN236" i="1"/>
  <c r="AN232" i="1"/>
  <c r="AO232" i="1"/>
  <c r="AP232" i="1"/>
  <c r="AQ232" i="1"/>
  <c r="AN214" i="1"/>
  <c r="AO214" i="1"/>
  <c r="AP214" i="1"/>
  <c r="AQ214" i="1"/>
  <c r="AN227" i="1"/>
  <c r="AO227" i="1"/>
  <c r="AP227" i="1"/>
  <c r="AQ227" i="1"/>
  <c r="AN225" i="1"/>
  <c r="AO225" i="1"/>
  <c r="AP225" i="1"/>
  <c r="AQ225" i="1"/>
  <c r="AN221" i="1"/>
  <c r="AN224" i="1"/>
  <c r="AO221" i="1"/>
  <c r="AO224" i="1"/>
  <c r="AP221" i="1"/>
  <c r="AP224" i="1"/>
  <c r="AQ221" i="1"/>
  <c r="AQ224" i="1"/>
  <c r="AN222" i="1"/>
  <c r="AO222" i="1"/>
  <c r="AP222" i="1"/>
  <c r="AQ222" i="1"/>
  <c r="AN223" i="1"/>
  <c r="AO223" i="1"/>
  <c r="AP223" i="1"/>
  <c r="AQ223" i="1"/>
  <c r="AN220" i="1"/>
  <c r="AO220" i="1"/>
  <c r="AP220" i="1"/>
  <c r="AQ220" i="1"/>
  <c r="AN219" i="1"/>
  <c r="AO219" i="1"/>
  <c r="AP219" i="1"/>
  <c r="AQ219" i="1"/>
  <c r="AN199" i="1"/>
  <c r="AO199" i="1"/>
  <c r="AP199" i="1"/>
  <c r="AQ199" i="1"/>
  <c r="AN141" i="1"/>
  <c r="AO141" i="1"/>
  <c r="AP141" i="1"/>
  <c r="AQ141" i="1"/>
  <c r="AQ218" i="1"/>
  <c r="AP218" i="1"/>
  <c r="AO218" i="1"/>
  <c r="AN218" i="1"/>
  <c r="AN211" i="1"/>
  <c r="AO211" i="1"/>
  <c r="AP211" i="1"/>
  <c r="AQ211" i="1"/>
  <c r="AN215" i="1"/>
  <c r="AO215" i="1"/>
  <c r="AP215" i="1"/>
  <c r="AQ215" i="1"/>
  <c r="AN134" i="1"/>
  <c r="AO134" i="1"/>
  <c r="AP134" i="1"/>
  <c r="AQ134" i="1"/>
  <c r="AN193" i="1"/>
  <c r="AO193" i="1"/>
  <c r="AP193" i="1"/>
  <c r="AQ193" i="1"/>
  <c r="AN216" i="1"/>
  <c r="AO216" i="1"/>
  <c r="AP216" i="1"/>
  <c r="AQ216" i="1"/>
  <c r="AQ192" i="1"/>
  <c r="AP192" i="1"/>
  <c r="AO192" i="1"/>
  <c r="AN192" i="1"/>
  <c r="AN217" i="1"/>
  <c r="AO217" i="1"/>
  <c r="AP217" i="1"/>
  <c r="AQ217" i="1"/>
  <c r="AQ206" i="1"/>
  <c r="AP206" i="1"/>
  <c r="AO206" i="1"/>
  <c r="AN206" i="1"/>
  <c r="AN210" i="1"/>
  <c r="AO210" i="1"/>
  <c r="AP210" i="1"/>
  <c r="AQ210" i="1"/>
  <c r="AN207" i="1"/>
  <c r="AO207" i="1"/>
  <c r="AP207" i="1"/>
  <c r="AQ207" i="1"/>
  <c r="AN213" i="1"/>
  <c r="AO213" i="1"/>
  <c r="AP213" i="1"/>
  <c r="AQ213" i="1"/>
  <c r="AN212" i="1"/>
  <c r="AO212" i="1"/>
  <c r="AP212" i="1"/>
  <c r="AQ212" i="1"/>
  <c r="AN209" i="1"/>
  <c r="AO209" i="1"/>
  <c r="AP209" i="1"/>
  <c r="AQ209" i="1"/>
  <c r="AN205" i="1"/>
  <c r="AO205" i="1"/>
  <c r="AP205" i="1"/>
  <c r="AQ205" i="1"/>
  <c r="AN208" i="1"/>
  <c r="AO208" i="1"/>
  <c r="AP208" i="1"/>
  <c r="AQ208" i="1"/>
  <c r="AN204" i="1"/>
  <c r="AO204" i="1"/>
  <c r="AP204" i="1"/>
  <c r="AQ204" i="1"/>
  <c r="AN203" i="1"/>
  <c r="AO203" i="1"/>
  <c r="AP203" i="1"/>
  <c r="AQ203" i="1"/>
  <c r="AN202" i="1"/>
  <c r="AO202" i="1"/>
  <c r="AP202" i="1"/>
  <c r="AQ202" i="1"/>
  <c r="AN197" i="1"/>
  <c r="AO197" i="1"/>
  <c r="AP197" i="1"/>
  <c r="AQ197" i="1"/>
  <c r="AQ200" i="1"/>
  <c r="AP200" i="1"/>
  <c r="AO200" i="1"/>
  <c r="AN200" i="1"/>
  <c r="AQ201" i="1"/>
  <c r="AP201" i="1"/>
  <c r="AO201" i="1"/>
  <c r="AN201" i="1"/>
  <c r="AN198" i="1"/>
  <c r="AO198" i="1"/>
  <c r="AP198" i="1"/>
  <c r="AQ198" i="1"/>
  <c r="AN196" i="1"/>
  <c r="AO196" i="1"/>
  <c r="AP196" i="1"/>
  <c r="AQ196" i="1"/>
  <c r="AN195" i="1"/>
  <c r="AO195" i="1"/>
  <c r="AP195" i="1"/>
  <c r="AQ195" i="1"/>
  <c r="AN194" i="1"/>
  <c r="AO194" i="1"/>
  <c r="AP194" i="1"/>
  <c r="AQ194" i="1"/>
  <c r="AN190" i="1"/>
  <c r="AO190" i="1"/>
  <c r="AP190" i="1"/>
  <c r="AQ190" i="1"/>
  <c r="AQ189" i="1"/>
  <c r="AP189" i="1"/>
  <c r="AO189" i="1"/>
  <c r="AN189" i="1"/>
  <c r="AN186" i="1"/>
  <c r="AO186" i="1"/>
  <c r="AP186" i="1"/>
  <c r="AQ186" i="1"/>
  <c r="AN187" i="1"/>
  <c r="AO187" i="1"/>
  <c r="AP187" i="1"/>
  <c r="AQ187" i="1"/>
  <c r="AN188" i="1"/>
  <c r="AO188" i="1"/>
  <c r="AP188" i="1"/>
  <c r="AQ188" i="1"/>
  <c r="AN185" i="1"/>
  <c r="AO185" i="1"/>
  <c r="AP185" i="1"/>
  <c r="AQ185" i="1"/>
  <c r="AN182" i="1"/>
  <c r="AO182" i="1"/>
  <c r="AP182" i="1"/>
  <c r="AQ182" i="1"/>
  <c r="AN184" i="1"/>
  <c r="AO184" i="1"/>
  <c r="AP184" i="1"/>
  <c r="AQ184" i="1"/>
  <c r="AN183" i="1"/>
  <c r="AO183" i="1"/>
  <c r="AP183" i="1"/>
  <c r="AQ183" i="1"/>
  <c r="AQ167" i="1"/>
  <c r="AP167" i="1"/>
  <c r="AO167" i="1"/>
  <c r="AN167" i="1"/>
  <c r="AN181" i="1"/>
  <c r="AO181" i="1"/>
  <c r="AP181" i="1"/>
  <c r="AQ181" i="1"/>
  <c r="AN164" i="1"/>
  <c r="AO164" i="1"/>
  <c r="AP164" i="1"/>
  <c r="AQ164" i="1"/>
  <c r="AN166" i="1"/>
  <c r="AO166" i="1"/>
  <c r="AP166" i="1"/>
  <c r="AQ166" i="1"/>
  <c r="AN149" i="1"/>
  <c r="AO149" i="1"/>
  <c r="AP149" i="1"/>
  <c r="AQ149" i="1"/>
  <c r="AN178" i="1"/>
  <c r="AO178" i="1"/>
  <c r="AP178" i="1"/>
  <c r="AQ178" i="1"/>
  <c r="AN177" i="1"/>
  <c r="AO177" i="1"/>
  <c r="AP177" i="1"/>
  <c r="AQ177" i="1"/>
  <c r="AN179" i="1"/>
  <c r="AO179" i="1"/>
  <c r="AP179" i="1"/>
  <c r="AQ179" i="1"/>
  <c r="AN176" i="1"/>
  <c r="AO176" i="1"/>
  <c r="AP176" i="1"/>
  <c r="AQ176" i="1"/>
  <c r="AN175" i="1"/>
  <c r="AO175" i="1"/>
  <c r="AP175" i="1"/>
  <c r="AQ175" i="1"/>
  <c r="AN174" i="1"/>
  <c r="AO174" i="1"/>
  <c r="AP174" i="1"/>
  <c r="AQ174" i="1"/>
  <c r="AQ165" i="1"/>
  <c r="AP165" i="1"/>
  <c r="AO165" i="1"/>
  <c r="AN165" i="1"/>
  <c r="AN173" i="1"/>
  <c r="AO173" i="1"/>
  <c r="AP173" i="1"/>
  <c r="AQ173" i="1"/>
  <c r="AN169" i="1"/>
  <c r="AO169" i="1"/>
  <c r="AP169" i="1"/>
  <c r="AQ169" i="1"/>
  <c r="AN171" i="1"/>
  <c r="AO171" i="1"/>
  <c r="AP171" i="1"/>
  <c r="AQ171" i="1"/>
  <c r="AN172" i="1"/>
  <c r="AO172" i="1"/>
  <c r="AP172" i="1"/>
  <c r="AQ172" i="1"/>
  <c r="AN170" i="1"/>
  <c r="AO170" i="1"/>
  <c r="AP170" i="1"/>
  <c r="AQ170" i="1"/>
  <c r="AN168" i="1"/>
  <c r="AO168" i="1"/>
  <c r="AP168" i="1"/>
  <c r="AQ168" i="1"/>
  <c r="AN163" i="1"/>
  <c r="AO163" i="1"/>
  <c r="AP163" i="1"/>
  <c r="AQ163" i="1"/>
  <c r="AN162" i="1"/>
  <c r="AO162" i="1"/>
  <c r="AP162" i="1"/>
  <c r="AQ162" i="1"/>
  <c r="AN161" i="1"/>
  <c r="AO161" i="1"/>
  <c r="AP161" i="1"/>
  <c r="AQ161" i="1"/>
  <c r="AN136" i="1"/>
  <c r="AO136" i="1"/>
  <c r="AP136" i="1"/>
  <c r="AQ136" i="1"/>
  <c r="AN160" i="1"/>
  <c r="AO160" i="1"/>
  <c r="AP160" i="1"/>
  <c r="AQ160" i="1"/>
  <c r="AN151" i="1"/>
  <c r="AO151" i="1"/>
  <c r="AP151" i="1"/>
  <c r="AQ151" i="1"/>
  <c r="AQ111" i="1"/>
  <c r="AP111" i="1"/>
  <c r="AO111" i="1"/>
  <c r="AN111" i="1"/>
  <c r="AQ158" i="1"/>
  <c r="AP158" i="1"/>
  <c r="AO158" i="1"/>
  <c r="AN158" i="1"/>
  <c r="AN140" i="1"/>
  <c r="AO140" i="1"/>
  <c r="AP140" i="1"/>
  <c r="AQ140" i="1"/>
  <c r="AQ157" i="1"/>
  <c r="AP157" i="1"/>
  <c r="AO157" i="1"/>
  <c r="AN157" i="1"/>
  <c r="AN159" i="1"/>
  <c r="AO159" i="1"/>
  <c r="AP159" i="1"/>
  <c r="AQ159" i="1"/>
  <c r="AN156" i="1"/>
  <c r="AO156" i="1"/>
  <c r="AP156" i="1"/>
  <c r="AQ156" i="1"/>
  <c r="AQ155" i="1"/>
  <c r="AP155" i="1"/>
  <c r="AO155" i="1"/>
  <c r="AN155" i="1"/>
  <c r="AQ145" i="1"/>
  <c r="AP145" i="1"/>
  <c r="AO145" i="1"/>
  <c r="AN145" i="1"/>
  <c r="AN153" i="1"/>
  <c r="AO153" i="1"/>
  <c r="AP153" i="1"/>
  <c r="AQ153" i="1"/>
  <c r="AN154" i="1"/>
  <c r="AO154" i="1"/>
  <c r="AP154" i="1"/>
  <c r="AQ154" i="1"/>
  <c r="AN152" i="1"/>
  <c r="AO152" i="1"/>
  <c r="AP152" i="1"/>
  <c r="AQ152" i="1"/>
  <c r="AQ150" i="1"/>
  <c r="AP150" i="1"/>
  <c r="AO150" i="1"/>
  <c r="AN150" i="1"/>
  <c r="AQ114" i="1"/>
  <c r="AP114" i="1"/>
  <c r="AO114" i="1"/>
  <c r="AN114" i="1"/>
  <c r="AN147" i="1"/>
  <c r="AO147" i="1"/>
  <c r="AP147" i="1"/>
  <c r="AQ147" i="1"/>
  <c r="AN148" i="1"/>
  <c r="AO148" i="1"/>
  <c r="AP148" i="1"/>
  <c r="AQ148" i="1"/>
  <c r="AN146" i="1"/>
  <c r="AO146" i="1"/>
  <c r="AP146" i="1"/>
  <c r="AQ146" i="1"/>
  <c r="AN144" i="1"/>
  <c r="AO144" i="1"/>
  <c r="AP144" i="1"/>
  <c r="AQ144" i="1"/>
  <c r="AN142" i="1"/>
  <c r="AO142" i="1"/>
  <c r="AP142" i="1"/>
  <c r="AQ142" i="1"/>
  <c r="AN135" i="1"/>
  <c r="AO135" i="1"/>
  <c r="AP135" i="1"/>
  <c r="AQ135" i="1"/>
  <c r="AN98" i="1"/>
  <c r="AO98" i="1"/>
  <c r="AP98" i="1"/>
  <c r="AQ98" i="1"/>
  <c r="AN143" i="1"/>
  <c r="AO143" i="1"/>
  <c r="AP143" i="1"/>
  <c r="AQ143" i="1"/>
  <c r="AN139" i="1"/>
  <c r="AO139" i="1"/>
  <c r="AP139" i="1"/>
  <c r="AQ139" i="1"/>
  <c r="AN138" i="1"/>
  <c r="AO138" i="1"/>
  <c r="AP138" i="1"/>
  <c r="AQ138" i="1"/>
  <c r="AN128" i="1"/>
  <c r="AO128" i="1"/>
  <c r="AP128" i="1"/>
  <c r="AQ128" i="1"/>
  <c r="AN127" i="1"/>
  <c r="AO127" i="1"/>
  <c r="AP127" i="1"/>
  <c r="AQ127" i="1"/>
  <c r="AN133" i="1"/>
  <c r="AO133" i="1"/>
  <c r="AP133" i="1"/>
  <c r="AQ133" i="1"/>
  <c r="AQ132" i="1"/>
  <c r="AP132" i="1"/>
  <c r="AO132" i="1"/>
  <c r="AN132" i="1"/>
  <c r="AN126" i="1"/>
  <c r="AO126" i="1"/>
  <c r="AP126" i="1"/>
  <c r="AQ126" i="1"/>
  <c r="AN131" i="1"/>
  <c r="AO131" i="1"/>
  <c r="AP131" i="1"/>
  <c r="AQ131" i="1"/>
  <c r="AQ130" i="1"/>
  <c r="AP130" i="1"/>
  <c r="AO130" i="1"/>
  <c r="AN130" i="1"/>
  <c r="AN129" i="1"/>
  <c r="AO129" i="1"/>
  <c r="AP129" i="1"/>
  <c r="AQ129" i="1"/>
  <c r="AN137" i="1"/>
  <c r="AO137" i="1"/>
  <c r="AP137" i="1"/>
  <c r="AQ137" i="1"/>
  <c r="AN125" i="1"/>
  <c r="AO125" i="1"/>
  <c r="AP125" i="1"/>
  <c r="AQ125" i="1"/>
  <c r="AN124" i="1"/>
  <c r="AO124" i="1"/>
  <c r="AP124" i="1"/>
  <c r="AQ124" i="1"/>
  <c r="AN123" i="1"/>
  <c r="AO123" i="1"/>
  <c r="AP123" i="1"/>
  <c r="AQ123" i="1"/>
  <c r="AQ122" i="1"/>
  <c r="AP122" i="1"/>
  <c r="AO122" i="1"/>
  <c r="AN122" i="1"/>
  <c r="AQ121" i="1"/>
  <c r="AP121" i="1"/>
  <c r="AO121" i="1"/>
  <c r="AN121" i="1"/>
  <c r="AN120" i="1"/>
  <c r="AO120" i="1"/>
  <c r="AP120" i="1"/>
  <c r="AQ120" i="1"/>
  <c r="AQ119" i="1"/>
  <c r="AP119" i="1"/>
  <c r="AO119" i="1"/>
  <c r="AN119" i="1"/>
  <c r="AO115" i="1"/>
  <c r="AO118" i="1"/>
  <c r="AQ117" i="1"/>
  <c r="AP117" i="1"/>
  <c r="AO117" i="1"/>
  <c r="AN117" i="1"/>
  <c r="AQ118" i="1"/>
  <c r="AP118" i="1"/>
  <c r="AN118" i="1"/>
  <c r="AQ115" i="1"/>
  <c r="AP115" i="1"/>
  <c r="AN115" i="1"/>
  <c r="AP4" i="1"/>
  <c r="AP8" i="1"/>
  <c r="AP13" i="1"/>
  <c r="AP7" i="1"/>
  <c r="AP15" i="1"/>
  <c r="AP11" i="1"/>
  <c r="AP21" i="1"/>
  <c r="AP9" i="1"/>
  <c r="AP12" i="1"/>
  <c r="AP14" i="1"/>
  <c r="AP2" i="1"/>
  <c r="AP16" i="1"/>
  <c r="AP3" i="1"/>
  <c r="AP19" i="1"/>
  <c r="AP17" i="1"/>
  <c r="AP18" i="1"/>
  <c r="AP20" i="1"/>
  <c r="AP22" i="1"/>
  <c r="AP23" i="1"/>
  <c r="AP24" i="1"/>
  <c r="AP26" i="1"/>
  <c r="AP27" i="1"/>
  <c r="AP30" i="1"/>
  <c r="AP29" i="1"/>
  <c r="AP32" i="1"/>
  <c r="AP33" i="1"/>
  <c r="AP35" i="1"/>
  <c r="AP25" i="1"/>
  <c r="AP38" i="1"/>
  <c r="AP28" i="1"/>
  <c r="AP34" i="1"/>
  <c r="AP31" i="1"/>
  <c r="AP36" i="1"/>
  <c r="AP37" i="1"/>
  <c r="AP10" i="1"/>
  <c r="AP39" i="1"/>
  <c r="AP42" i="1"/>
  <c r="AP44" i="1"/>
  <c r="AP40" i="1"/>
  <c r="AP41" i="1"/>
  <c r="AP45" i="1"/>
  <c r="AP43" i="1"/>
  <c r="AP46" i="1"/>
  <c r="AP47" i="1"/>
  <c r="AP48" i="1"/>
  <c r="AP50" i="1"/>
  <c r="AP49" i="1"/>
  <c r="AP51" i="1"/>
  <c r="AP5" i="1"/>
  <c r="AP56" i="1"/>
  <c r="AP54" i="1"/>
  <c r="AP52" i="1"/>
  <c r="AP60" i="1"/>
  <c r="AP55" i="1"/>
  <c r="AP62" i="1"/>
  <c r="AP63" i="1"/>
  <c r="AP58" i="1"/>
  <c r="AP59" i="1"/>
  <c r="AP64" i="1"/>
  <c r="AP66" i="1"/>
  <c r="AP61" i="1"/>
  <c r="AP65" i="1"/>
  <c r="AP68" i="1"/>
  <c r="AP69" i="1"/>
  <c r="AP70" i="1"/>
  <c r="AP67" i="1"/>
  <c r="AP73" i="1"/>
  <c r="AP74" i="1"/>
  <c r="AP71" i="1"/>
  <c r="AP72" i="1"/>
  <c r="AP75" i="1"/>
  <c r="AP76" i="1"/>
  <c r="AP77" i="1"/>
  <c r="AP78" i="1"/>
  <c r="AP81" i="1"/>
  <c r="AP80" i="1"/>
  <c r="AP79" i="1"/>
  <c r="AP83" i="1"/>
  <c r="AP82" i="1"/>
  <c r="AP92" i="1"/>
  <c r="AP84" i="1"/>
  <c r="AP85" i="1"/>
  <c r="AP6" i="1"/>
  <c r="AP86" i="1"/>
  <c r="AP53" i="1"/>
  <c r="AP87" i="1"/>
  <c r="AP88" i="1"/>
  <c r="AP89" i="1"/>
  <c r="AP57" i="1"/>
  <c r="AP90" i="1"/>
  <c r="AP94" i="1"/>
  <c r="AP93" i="1"/>
  <c r="AP95" i="1"/>
  <c r="AP91" i="1"/>
  <c r="AP102" i="1"/>
  <c r="AP96" i="1"/>
  <c r="AP97" i="1"/>
  <c r="AP99" i="1"/>
  <c r="AP100" i="1"/>
  <c r="AP101" i="1"/>
  <c r="AP103" i="1"/>
  <c r="AP104" i="1"/>
  <c r="AP105" i="1"/>
  <c r="AP106" i="1"/>
  <c r="AP107" i="1"/>
  <c r="AP109" i="1"/>
  <c r="AP110" i="1"/>
  <c r="AP108" i="1"/>
  <c r="AP113" i="1"/>
  <c r="AP116" i="1"/>
  <c r="AP112" i="1"/>
  <c r="AQ112" i="1"/>
  <c r="AO112" i="1"/>
  <c r="AN112" i="1"/>
  <c r="AQ116" i="1"/>
  <c r="AO116" i="1"/>
  <c r="AN116" i="1"/>
  <c r="AN113" i="1"/>
  <c r="AO113" i="1"/>
  <c r="AQ113" i="1"/>
  <c r="AQ108" i="1"/>
  <c r="AO108" i="1"/>
  <c r="AN108" i="1"/>
  <c r="AQ110" i="1"/>
  <c r="AO110" i="1"/>
  <c r="AN110" i="1"/>
  <c r="AQ109" i="1"/>
  <c r="AO109" i="1"/>
  <c r="AN109" i="1"/>
  <c r="AQ107" i="1"/>
  <c r="AO107" i="1"/>
  <c r="AN107" i="1"/>
  <c r="AN106" i="1"/>
  <c r="AO106" i="1"/>
  <c r="AQ106" i="1"/>
  <c r="AQ105" i="1"/>
  <c r="AO105" i="1"/>
  <c r="AN105" i="1"/>
  <c r="AQ104" i="1"/>
  <c r="AO104" i="1"/>
  <c r="AN104" i="1"/>
  <c r="AN103" i="1"/>
  <c r="AO103" i="1"/>
  <c r="AQ103" i="1"/>
  <c r="AN101" i="1"/>
  <c r="AO101" i="1"/>
  <c r="AQ101" i="1"/>
  <c r="AN100" i="1"/>
  <c r="AO100" i="1"/>
  <c r="AQ100" i="1"/>
  <c r="AQ4" i="1"/>
  <c r="AQ8" i="1"/>
  <c r="AQ13" i="1"/>
  <c r="AQ7" i="1"/>
  <c r="AQ15" i="1"/>
  <c r="AQ11" i="1"/>
  <c r="AQ21" i="1"/>
  <c r="AQ9" i="1"/>
  <c r="AQ12" i="1"/>
  <c r="AQ14" i="1"/>
  <c r="AQ2" i="1"/>
  <c r="AQ16" i="1"/>
  <c r="AQ3" i="1"/>
  <c r="AQ19" i="1"/>
  <c r="AQ17" i="1"/>
  <c r="AQ18" i="1"/>
  <c r="AQ20" i="1"/>
  <c r="AQ22" i="1"/>
  <c r="AQ23" i="1"/>
  <c r="AQ24" i="1"/>
  <c r="AQ26" i="1"/>
  <c r="AQ27" i="1"/>
  <c r="AQ30" i="1"/>
  <c r="AQ29" i="1"/>
  <c r="AQ32" i="1"/>
  <c r="AQ33" i="1"/>
  <c r="AQ35" i="1"/>
  <c r="AQ25" i="1"/>
  <c r="AQ38" i="1"/>
  <c r="AQ28" i="1"/>
  <c r="AQ34" i="1"/>
  <c r="AQ31" i="1"/>
  <c r="AQ36" i="1"/>
  <c r="AQ37" i="1"/>
  <c r="AQ10" i="1"/>
  <c r="AQ39" i="1"/>
  <c r="AQ42" i="1"/>
  <c r="AQ44" i="1"/>
  <c r="AQ40" i="1"/>
  <c r="AQ41" i="1"/>
  <c r="AQ45" i="1"/>
  <c r="AQ43" i="1"/>
  <c r="AQ46" i="1"/>
  <c r="AQ47" i="1"/>
  <c r="AQ48" i="1"/>
  <c r="AQ50" i="1"/>
  <c r="AQ49" i="1"/>
  <c r="AQ51" i="1"/>
  <c r="AQ5" i="1"/>
  <c r="AQ56" i="1"/>
  <c r="AQ54" i="1"/>
  <c r="AQ52" i="1"/>
  <c r="AQ60" i="1"/>
  <c r="AQ55" i="1"/>
  <c r="AQ62" i="1"/>
  <c r="AQ63" i="1"/>
  <c r="AQ58" i="1"/>
  <c r="AQ59" i="1"/>
  <c r="AQ64" i="1"/>
  <c r="AQ66" i="1"/>
  <c r="AQ61" i="1"/>
  <c r="AQ65" i="1"/>
  <c r="AQ68" i="1"/>
  <c r="AQ69" i="1"/>
  <c r="AQ70" i="1"/>
  <c r="AQ67" i="1"/>
  <c r="AQ73" i="1"/>
  <c r="AQ74" i="1"/>
  <c r="AQ71" i="1"/>
  <c r="AQ72" i="1"/>
  <c r="AQ75" i="1"/>
  <c r="AQ76" i="1"/>
  <c r="AQ77" i="1"/>
  <c r="AQ78" i="1"/>
  <c r="AQ81" i="1"/>
  <c r="AQ80" i="1"/>
  <c r="AQ79" i="1"/>
  <c r="AQ83" i="1"/>
  <c r="AQ82" i="1"/>
  <c r="AQ92" i="1"/>
  <c r="AQ84" i="1"/>
  <c r="AQ85" i="1"/>
  <c r="AQ6" i="1"/>
  <c r="AQ86" i="1"/>
  <c r="AQ53" i="1"/>
  <c r="AQ87" i="1"/>
  <c r="AQ88" i="1"/>
  <c r="AQ89" i="1"/>
  <c r="AQ57" i="1"/>
  <c r="AQ90" i="1"/>
  <c r="AQ94" i="1"/>
  <c r="AQ93" i="1"/>
  <c r="AQ95" i="1"/>
  <c r="AQ91" i="1"/>
  <c r="AQ102" i="1"/>
  <c r="AQ96" i="1"/>
  <c r="AQ97" i="1"/>
  <c r="AQ99" i="1"/>
  <c r="AO99" i="1"/>
  <c r="AN99" i="1"/>
  <c r="AO96" i="1"/>
  <c r="AO97" i="1"/>
  <c r="AN96" i="1"/>
  <c r="AN97" i="1"/>
  <c r="AN102" i="1"/>
  <c r="AO102" i="1"/>
  <c r="AO91" i="1"/>
  <c r="AN91" i="1"/>
  <c r="AO78" i="1"/>
  <c r="AO95" i="1"/>
  <c r="AN95" i="1"/>
  <c r="AN93" i="1"/>
  <c r="AO93" i="1"/>
  <c r="AN94" i="1"/>
  <c r="AO94" i="1"/>
  <c r="AN90" i="1"/>
  <c r="AO90" i="1"/>
  <c r="AN57" i="1"/>
  <c r="AO57" i="1"/>
  <c r="AO4" i="1"/>
  <c r="AO8" i="1"/>
  <c r="AO13" i="1"/>
  <c r="AO7" i="1"/>
  <c r="AO15" i="1"/>
  <c r="AO11" i="1"/>
  <c r="AO21" i="1"/>
  <c r="AO9" i="1"/>
  <c r="AO12" i="1"/>
  <c r="AO14" i="1"/>
  <c r="AO2" i="1"/>
  <c r="AO16" i="1"/>
  <c r="AO3" i="1"/>
  <c r="AO19" i="1"/>
  <c r="AO17" i="1"/>
  <c r="AO18" i="1"/>
  <c r="AO20" i="1"/>
  <c r="AO22" i="1"/>
  <c r="AO23" i="1"/>
  <c r="AO24" i="1"/>
  <c r="AO26" i="1"/>
  <c r="AO27" i="1"/>
  <c r="AO30" i="1"/>
  <c r="AO29" i="1"/>
  <c r="AO32" i="1"/>
  <c r="AO33" i="1"/>
  <c r="AO35" i="1"/>
  <c r="AO25" i="1"/>
  <c r="AO38" i="1"/>
  <c r="AO28" i="1"/>
  <c r="AO34" i="1"/>
  <c r="AO31" i="1"/>
  <c r="AO36" i="1"/>
  <c r="AO37" i="1"/>
  <c r="AO10" i="1"/>
  <c r="AO39" i="1"/>
  <c r="AO42" i="1"/>
  <c r="AO44" i="1"/>
  <c r="AO40" i="1"/>
  <c r="AO41" i="1"/>
  <c r="AO45" i="1"/>
  <c r="AO43" i="1"/>
  <c r="AO46" i="1"/>
  <c r="AO47" i="1"/>
  <c r="AO48" i="1"/>
  <c r="AO50" i="1"/>
  <c r="AO49" i="1"/>
  <c r="AO51" i="1"/>
  <c r="AO5" i="1"/>
  <c r="AO56" i="1"/>
  <c r="AO54" i="1"/>
  <c r="AO52" i="1"/>
  <c r="AO60" i="1"/>
  <c r="AO55" i="1"/>
  <c r="AO62" i="1"/>
  <c r="AO63" i="1"/>
  <c r="AO58" i="1"/>
  <c r="AO59" i="1"/>
  <c r="AO64" i="1"/>
  <c r="AO66" i="1"/>
  <c r="AO61" i="1"/>
  <c r="AO65" i="1"/>
  <c r="AO68" i="1"/>
  <c r="AO69" i="1"/>
  <c r="AO70" i="1"/>
  <c r="AO67" i="1"/>
  <c r="AO73" i="1"/>
  <c r="AO74" i="1"/>
  <c r="AO71" i="1"/>
  <c r="AO72" i="1"/>
  <c r="AO75" i="1"/>
  <c r="AO76" i="1"/>
  <c r="AO77" i="1"/>
  <c r="AO81" i="1"/>
  <c r="AO80" i="1"/>
  <c r="AO79" i="1"/>
  <c r="AO83" i="1"/>
  <c r="AO82" i="1"/>
  <c r="AO92" i="1"/>
  <c r="AO84" i="1"/>
  <c r="AO85" i="1"/>
  <c r="AO6" i="1"/>
  <c r="AO86" i="1"/>
  <c r="AO53" i="1"/>
  <c r="AO87" i="1"/>
  <c r="AO88" i="1"/>
  <c r="AO89" i="1"/>
  <c r="AN4" i="1"/>
  <c r="AN8" i="1"/>
  <c r="AN13" i="1"/>
  <c r="AN7" i="1"/>
  <c r="AN15" i="1"/>
  <c r="AN11" i="1"/>
  <c r="AN21" i="1"/>
  <c r="AN9" i="1"/>
  <c r="AN12" i="1"/>
  <c r="AN14" i="1"/>
  <c r="AN2" i="1"/>
  <c r="AN16" i="1"/>
  <c r="AN3" i="1"/>
  <c r="AN19" i="1"/>
  <c r="AN17" i="1"/>
  <c r="AN18" i="1"/>
  <c r="AN20" i="1"/>
  <c r="AN22" i="1"/>
  <c r="AN23" i="1"/>
  <c r="AN24" i="1"/>
  <c r="AN26" i="1"/>
  <c r="AN27" i="1"/>
  <c r="AN30" i="1"/>
  <c r="AN29" i="1"/>
  <c r="AN32" i="1"/>
  <c r="AN33" i="1"/>
  <c r="AN35" i="1"/>
  <c r="AN25" i="1"/>
  <c r="AN38" i="1"/>
  <c r="AN28" i="1"/>
  <c r="AN34" i="1"/>
  <c r="AN31" i="1"/>
  <c r="AN36" i="1"/>
  <c r="AN37" i="1"/>
  <c r="AN10" i="1"/>
  <c r="AN39" i="1"/>
  <c r="AN42" i="1"/>
  <c r="AN44" i="1"/>
  <c r="AN40" i="1"/>
  <c r="AN41" i="1"/>
  <c r="AN45" i="1"/>
  <c r="AN43" i="1"/>
  <c r="AN46" i="1"/>
  <c r="AN47" i="1"/>
  <c r="AN48" i="1"/>
  <c r="AN50" i="1"/>
  <c r="AN49" i="1"/>
  <c r="AN51" i="1"/>
  <c r="AN5" i="1"/>
  <c r="AN56" i="1"/>
  <c r="AN54" i="1"/>
  <c r="AN52" i="1"/>
  <c r="AN60" i="1"/>
  <c r="AN55" i="1"/>
  <c r="AN62" i="1"/>
  <c r="AN63" i="1"/>
  <c r="AN58" i="1"/>
  <c r="AN59" i="1"/>
  <c r="AN64" i="1"/>
  <c r="AN66" i="1"/>
  <c r="AN61" i="1"/>
  <c r="AN65" i="1"/>
  <c r="AN68" i="1"/>
  <c r="AN69" i="1"/>
  <c r="AN70" i="1"/>
  <c r="AN67" i="1"/>
  <c r="AN73" i="1"/>
  <c r="AN74" i="1"/>
  <c r="AN71" i="1"/>
  <c r="AN72" i="1"/>
  <c r="AN75" i="1"/>
  <c r="AN76" i="1"/>
  <c r="AN77" i="1"/>
  <c r="AN78" i="1"/>
  <c r="AN81" i="1"/>
  <c r="AN80" i="1"/>
  <c r="AN79" i="1"/>
  <c r="AN83" i="1"/>
  <c r="AN82" i="1"/>
  <c r="AN92" i="1"/>
  <c r="AN84" i="1"/>
  <c r="AN85" i="1"/>
  <c r="AN6" i="1"/>
  <c r="AN86" i="1"/>
  <c r="AN53" i="1"/>
  <c r="AN87" i="1"/>
  <c r="AN88" i="1"/>
  <c r="AN89" i="1"/>
  <c r="C616" i="1" l="1" a="1"/>
  <c r="C616" i="1" s="1"/>
  <c r="C611" i="1" a="1"/>
  <c r="C611" i="1" s="1"/>
  <c r="C610" i="1" a="1"/>
  <c r="C610" i="1" s="1"/>
  <c r="C608" i="1" a="1"/>
  <c r="C608" i="1" s="1"/>
  <c r="C609" i="1" a="1"/>
  <c r="C609" i="1" s="1"/>
  <c r="C607" i="1" a="1"/>
  <c r="C607" i="1" s="1"/>
  <c r="C602" i="1" a="1"/>
  <c r="C602" i="1" s="1"/>
  <c r="C604" i="1" a="1"/>
  <c r="C604" i="1" s="1"/>
  <c r="C601" i="1" a="1"/>
  <c r="C601" i="1" s="1"/>
  <c r="C605" i="1" a="1"/>
  <c r="C605" i="1" s="1"/>
  <c r="C606" i="1" a="1"/>
  <c r="C606" i="1" s="1"/>
  <c r="C603" i="1" a="1"/>
  <c r="C603" i="1" s="1"/>
  <c r="C598" i="1" a="1"/>
  <c r="C598" i="1" s="1"/>
  <c r="C600" i="1" a="1"/>
  <c r="C600" i="1" s="1"/>
  <c r="C599" i="1" a="1"/>
  <c r="C599" i="1" s="1"/>
  <c r="C596" i="1" a="1"/>
  <c r="C596" i="1" s="1"/>
  <c r="C597" i="1" a="1"/>
  <c r="C597" i="1" s="1"/>
  <c r="C594" i="1" a="1"/>
  <c r="C594" i="1" s="1"/>
  <c r="C595" i="1" a="1"/>
  <c r="C595" i="1" s="1"/>
  <c r="C572" i="1" a="1"/>
  <c r="C572" i="1" s="1"/>
  <c r="C580" i="1" a="1"/>
  <c r="C580" i="1" s="1"/>
  <c r="C565" i="1" a="1"/>
  <c r="C565" i="1" s="1"/>
  <c r="C581" i="1" a="1"/>
  <c r="C581" i="1" s="1"/>
  <c r="C570" i="1" a="1"/>
  <c r="C570" i="1" s="1"/>
  <c r="C578" i="1" a="1"/>
  <c r="C578" i="1" s="1"/>
  <c r="C586" i="1" a="1"/>
  <c r="C586" i="1" s="1"/>
  <c r="C591" i="1" a="1"/>
  <c r="C591" i="1" s="1"/>
  <c r="C561" i="1" a="1"/>
  <c r="C561" i="1" s="1"/>
  <c r="C577" i="1" a="1"/>
  <c r="C577" i="1" s="1"/>
  <c r="C590" i="1" a="1"/>
  <c r="C590" i="1" s="1"/>
  <c r="C571" i="1" a="1"/>
  <c r="C571" i="1" s="1"/>
  <c r="C587" i="1" a="1"/>
  <c r="C587" i="1" s="1"/>
  <c r="C585" i="1" a="1"/>
  <c r="C585" i="1" s="1"/>
  <c r="C582" i="1" a="1"/>
  <c r="C582" i="1" s="1"/>
  <c r="C583" i="1" a="1"/>
  <c r="C583" i="1" s="1"/>
  <c r="C579" i="1" a="1"/>
  <c r="C579" i="1" s="1"/>
  <c r="C573" i="1" a="1"/>
  <c r="C573" i="1" s="1"/>
  <c r="C560" i="1" a="1"/>
  <c r="C560" i="1" s="1"/>
  <c r="C568" i="1" a="1"/>
  <c r="C568" i="1" s="1"/>
  <c r="C566" i="1" a="1"/>
  <c r="C566" i="1" s="1"/>
  <c r="C563" i="1" a="1"/>
  <c r="C563" i="1" s="1"/>
  <c r="C569" i="1" a="1"/>
  <c r="C569" i="1" s="1"/>
  <c r="C567" i="1" a="1"/>
  <c r="C567" i="1" s="1"/>
  <c r="C562" i="1" a="1"/>
  <c r="C562" i="1" s="1"/>
  <c r="C556" i="1" a="1"/>
  <c r="C556" i="1" s="1"/>
  <c r="C558" i="1" a="1"/>
  <c r="C558" i="1" s="1"/>
  <c r="C564" i="1" a="1"/>
  <c r="C564" i="1" s="1"/>
  <c r="C555" i="1" a="1"/>
  <c r="C555" i="1" s="1"/>
  <c r="C557" i="1" a="1"/>
  <c r="C557" i="1" s="1"/>
  <c r="C559" i="1" a="1"/>
  <c r="C559" i="1" s="1"/>
  <c r="C554" i="1" a="1"/>
  <c r="C554" i="1" s="1"/>
  <c r="C553" i="1" a="1"/>
  <c r="C553" i="1" s="1"/>
  <c r="C548" i="1" a="1"/>
  <c r="C548" i="1" s="1"/>
  <c r="C483" i="1" a="1"/>
  <c r="C483" i="1" s="1"/>
  <c r="C550" i="1" a="1"/>
  <c r="C550" i="1" s="1"/>
  <c r="C549" i="1" a="1"/>
  <c r="C549" i="1" s="1"/>
  <c r="C539" i="1" a="1"/>
  <c r="C539" i="1" s="1"/>
  <c r="C552" i="1" a="1"/>
  <c r="C552" i="1" s="1"/>
  <c r="C551" i="1" a="1"/>
  <c r="C551" i="1" s="1"/>
  <c r="C522" i="1" a="1"/>
  <c r="C522" i="1" s="1"/>
  <c r="C538" i="1" a="1"/>
  <c r="C538" i="1" s="1"/>
  <c r="C546" i="1" a="1"/>
  <c r="C546" i="1" s="1"/>
  <c r="C547" i="1" a="1"/>
  <c r="C547" i="1" s="1"/>
  <c r="C533" i="1" a="1"/>
  <c r="C533" i="1" s="1"/>
  <c r="C543" i="1" a="1"/>
  <c r="C543" i="1" s="1"/>
  <c r="C541" i="1" a="1"/>
  <c r="C541" i="1" s="1"/>
  <c r="C540" i="1" a="1"/>
  <c r="C540" i="1" s="1"/>
  <c r="C545" i="1" a="1"/>
  <c r="C545" i="1" s="1"/>
  <c r="C535" i="1" a="1"/>
  <c r="C535" i="1" s="1"/>
  <c r="C536" i="1" a="1"/>
  <c r="C536" i="1" s="1"/>
  <c r="C542" i="1" a="1"/>
  <c r="C542" i="1" s="1"/>
  <c r="C544" i="1" a="1"/>
  <c r="C544" i="1" s="1"/>
  <c r="C303" i="1" a="1"/>
  <c r="C303" i="1" s="1"/>
  <c r="C517" i="1" a="1"/>
  <c r="C517" i="1" s="1"/>
  <c r="C486" i="1" a="1"/>
  <c r="C486" i="1" s="1"/>
  <c r="C505" i="1" a="1"/>
  <c r="C505" i="1" s="1"/>
  <c r="C485" i="1" a="1"/>
  <c r="C485" i="1" s="1"/>
  <c r="C537" i="1" a="1"/>
  <c r="C537" i="1" s="1"/>
  <c r="C332" i="1" a="1"/>
  <c r="C332" i="1" s="1"/>
  <c r="C116" i="1" a="1"/>
  <c r="C116" i="1" s="1"/>
  <c r="C57" i="1" a="1"/>
  <c r="C57" i="1" s="1"/>
  <c r="C99" i="1" a="1"/>
  <c r="C99" i="1" s="1"/>
  <c r="C358" i="1" a="1"/>
  <c r="C358" i="1" s="1"/>
  <c r="C396" i="1" a="1"/>
  <c r="C396" i="1" s="1"/>
  <c r="C414" i="1" a="1"/>
  <c r="C414" i="1" s="1"/>
  <c r="C417" i="1" a="1"/>
  <c r="C417" i="1" s="1"/>
  <c r="C480" i="1" a="1"/>
  <c r="C480" i="1" s="1"/>
  <c r="C513" i="1" a="1"/>
  <c r="C513" i="1" s="1"/>
  <c r="C497" i="1" a="1"/>
  <c r="C497" i="1" s="1"/>
  <c r="C271" i="1" a="1"/>
  <c r="C271" i="1" s="1"/>
  <c r="C508" i="1" a="1"/>
  <c r="C508" i="1" s="1"/>
  <c r="C341" i="1" a="1"/>
  <c r="C341" i="1" s="1"/>
  <c r="C345" i="1" a="1"/>
  <c r="C345" i="1" s="1"/>
  <c r="C354" i="1" a="1"/>
  <c r="C354" i="1" s="1"/>
  <c r="C463" i="1" a="1"/>
  <c r="C463" i="1" s="1"/>
  <c r="C183" i="1" a="1"/>
  <c r="C183" i="1" s="1"/>
  <c r="C259" i="1" a="1"/>
  <c r="C259" i="1" s="1"/>
  <c r="C340" i="1" a="1"/>
  <c r="C340" i="1" s="1"/>
  <c r="C127" i="1" a="1"/>
  <c r="C127" i="1" s="1"/>
  <c r="C148" i="1" a="1"/>
  <c r="C148" i="1" s="1"/>
  <c r="C154" i="1" a="1"/>
  <c r="C154" i="1" s="1"/>
  <c r="C151" i="1" a="1"/>
  <c r="C151" i="1" s="1"/>
  <c r="C163" i="1" a="1"/>
  <c r="C163" i="1" s="1"/>
  <c r="C176" i="1" a="1"/>
  <c r="C176" i="1" s="1"/>
  <c r="C166" i="1" a="1"/>
  <c r="C166" i="1" s="1"/>
  <c r="C184" i="1" a="1"/>
  <c r="C184" i="1" s="1"/>
  <c r="C196" i="1" a="1"/>
  <c r="C196" i="1" s="1"/>
  <c r="C202" i="1" a="1"/>
  <c r="C202" i="1" s="1"/>
  <c r="C209" i="1" a="1"/>
  <c r="C209" i="1" s="1"/>
  <c r="C134" i="1" a="1"/>
  <c r="C134" i="1" s="1"/>
  <c r="C224" i="1" a="1"/>
  <c r="C224" i="1" s="1"/>
  <c r="C232" i="1" a="1"/>
  <c r="C232" i="1" s="1"/>
  <c r="C233" i="1" a="1"/>
  <c r="C233" i="1" s="1"/>
  <c r="C235" i="1" a="1"/>
  <c r="C235" i="1" s="1"/>
  <c r="C243" i="1" a="1"/>
  <c r="C243" i="1" s="1"/>
  <c r="C258" i="1" a="1"/>
  <c r="C258" i="1" s="1"/>
  <c r="C263" i="1" a="1"/>
  <c r="C263" i="1" s="1"/>
  <c r="C277" i="1" a="1"/>
  <c r="C277" i="1" s="1"/>
  <c r="C300" i="1" a="1"/>
  <c r="C300" i="1" s="1"/>
  <c r="C306" i="1" a="1"/>
  <c r="C306" i="1" s="1"/>
  <c r="C310" i="1" a="1"/>
  <c r="C310" i="1" s="1"/>
  <c r="C314" i="1" a="1"/>
  <c r="C314" i="1" s="1"/>
  <c r="C331" i="1" a="1"/>
  <c r="C331" i="1" s="1"/>
  <c r="C350" i="1" a="1"/>
  <c r="C350" i="1" s="1"/>
  <c r="C74" i="1" a="1"/>
  <c r="C74" i="1" s="1"/>
  <c r="C51" i="1" a="1"/>
  <c r="C51" i="1" s="1"/>
  <c r="C25" i="1" a="1"/>
  <c r="C25" i="1" s="1"/>
  <c r="C9" i="1" a="1"/>
  <c r="C9" i="1" s="1"/>
  <c r="C349" i="1" a="1"/>
  <c r="C349" i="1" s="1"/>
  <c r="C342" i="1" a="1"/>
  <c r="C342" i="1" s="1"/>
  <c r="C446" i="1" a="1"/>
  <c r="C446" i="1" s="1"/>
  <c r="C129" i="1" a="1"/>
  <c r="C129" i="1" s="1"/>
  <c r="C297" i="1" a="1"/>
  <c r="C297" i="1" s="1"/>
  <c r="C352" i="1" a="1"/>
  <c r="C352" i="1" s="1"/>
  <c r="C143" i="1" a="1"/>
  <c r="C143" i="1" s="1"/>
  <c r="C228" i="1" a="1"/>
  <c r="C228" i="1" s="1"/>
  <c r="C286" i="1" a="1"/>
  <c r="C286" i="1" s="1"/>
  <c r="C276" i="1" a="1"/>
  <c r="C276" i="1" s="1"/>
  <c r="C249" i="1" a="1"/>
  <c r="C249" i="1" s="1"/>
  <c r="C264" i="1" a="1"/>
  <c r="C264" i="1" s="1"/>
  <c r="C351" i="1" a="1"/>
  <c r="C351" i="1" s="1"/>
  <c r="C187" i="1" a="1"/>
  <c r="C187" i="1" s="1"/>
  <c r="C369" i="1" a="1"/>
  <c r="C369" i="1" s="1"/>
  <c r="C266" i="1" a="1"/>
  <c r="C266" i="1" s="1"/>
  <c r="C326" i="1" a="1"/>
  <c r="C326" i="1" s="1"/>
  <c r="C374" i="1" a="1"/>
  <c r="C374" i="1" s="1"/>
  <c r="C50" i="1" a="1"/>
  <c r="C50" i="1" s="1"/>
  <c r="C33" i="1" a="1"/>
  <c r="C33" i="1" s="1"/>
  <c r="C210" i="1" a="1"/>
  <c r="C210" i="1" s="1"/>
  <c r="C229" i="1" a="1"/>
  <c r="C229" i="1" s="1"/>
  <c r="C409" i="1" a="1"/>
  <c r="C409" i="1" s="1"/>
  <c r="C142" i="1" a="1"/>
  <c r="C142" i="1" s="1"/>
  <c r="C237" i="1" a="1"/>
  <c r="C237" i="1" s="1"/>
  <c r="C273" i="1" a="1"/>
  <c r="C273" i="1" s="1"/>
  <c r="C48" i="1" a="1"/>
  <c r="C48" i="1" s="1"/>
  <c r="C32" i="1" a="1"/>
  <c r="C32" i="1" s="1"/>
  <c r="C15" i="1" a="1"/>
  <c r="C15" i="1" s="1"/>
  <c r="C34" i="1" a="1"/>
  <c r="C34" i="1" s="1"/>
  <c r="C315" i="1" a="1"/>
  <c r="C315" i="1" s="1"/>
  <c r="C79" i="1" a="1"/>
  <c r="C79" i="1" s="1"/>
  <c r="C284" i="1" a="1"/>
  <c r="C284" i="1" s="1"/>
  <c r="C71" i="1" a="1"/>
  <c r="C71" i="1" s="1"/>
  <c r="C5" i="1" a="1"/>
  <c r="C5" i="1" s="1"/>
  <c r="C38" i="1" a="1"/>
  <c r="C38" i="1" s="1"/>
  <c r="C12" i="1" a="1"/>
  <c r="C12" i="1" s="1"/>
  <c r="C113" i="1" a="1"/>
  <c r="C113" i="1" s="1"/>
  <c r="C150" i="1" a="1"/>
  <c r="C150" i="1" s="1"/>
  <c r="C216" i="1" a="1"/>
  <c r="C216" i="1" s="1"/>
  <c r="C218" i="1" a="1"/>
  <c r="C218" i="1" s="1"/>
  <c r="C238" i="1" a="1"/>
  <c r="C238" i="1" s="1"/>
  <c r="C242" i="1" a="1"/>
  <c r="C242" i="1" s="1"/>
  <c r="C265" i="1" a="1"/>
  <c r="C265" i="1" s="1"/>
  <c r="C304" i="1" a="1"/>
  <c r="C304" i="1" s="1"/>
  <c r="C339" i="1" a="1"/>
  <c r="C339" i="1" s="1"/>
  <c r="C424" i="1" a="1"/>
  <c r="C424" i="1" s="1"/>
  <c r="C429" i="1" a="1"/>
  <c r="C429" i="1" s="1"/>
  <c r="C85" i="1" a="1"/>
  <c r="C85" i="1" s="1"/>
  <c r="C65" i="1" a="1"/>
  <c r="C65" i="1" s="1"/>
  <c r="C27" i="1" a="1"/>
  <c r="C27" i="1" s="1"/>
  <c r="C8" i="1" a="1"/>
  <c r="C8" i="1" s="1"/>
  <c r="C115" i="1" a="1"/>
  <c r="C115" i="1" s="1"/>
  <c r="C84" i="1" a="1"/>
  <c r="C84" i="1" s="1"/>
  <c r="C61" i="1" a="1"/>
  <c r="C61" i="1" s="1"/>
  <c r="C45" i="1" a="1"/>
  <c r="C45" i="1" s="1"/>
  <c r="C26" i="1" a="1"/>
  <c r="C26" i="1" s="1"/>
  <c r="C4" i="1" a="1"/>
  <c r="C4" i="1" s="1"/>
  <c r="C49" i="1" a="1"/>
  <c r="C49" i="1" s="1"/>
  <c r="C21" i="1" a="1"/>
  <c r="C21" i="1" s="1"/>
  <c r="C205" i="1" a="1"/>
  <c r="C205" i="1" s="1"/>
  <c r="C443" i="1" a="1"/>
  <c r="C443" i="1" s="1"/>
  <c r="C461" i="1" a="1"/>
  <c r="C461" i="1" s="1"/>
  <c r="C465" i="1" a="1"/>
  <c r="C465" i="1" s="1"/>
  <c r="C459" i="1" a="1"/>
  <c r="C459" i="1" s="1"/>
  <c r="C471" i="1" a="1"/>
  <c r="C471" i="1" s="1"/>
  <c r="C481" i="1" a="1"/>
  <c r="C481" i="1" s="1"/>
  <c r="C488" i="1" a="1"/>
  <c r="C488" i="1" s="1"/>
  <c r="C501" i="1" a="1"/>
  <c r="C501" i="1" s="1"/>
  <c r="C524" i="1" a="1"/>
  <c r="C524" i="1" s="1"/>
  <c r="C373" i="1" a="1"/>
  <c r="C373" i="1" s="1"/>
  <c r="C431" i="1" a="1"/>
  <c r="C431" i="1" s="1"/>
  <c r="C442" i="1" a="1"/>
  <c r="C442" i="1" s="1"/>
  <c r="C504" i="1" a="1"/>
  <c r="C504" i="1" s="1"/>
  <c r="C525" i="1" a="1"/>
  <c r="C525" i="1" s="1"/>
  <c r="C482" i="1" a="1"/>
  <c r="C482" i="1" s="1"/>
  <c r="C526" i="1" a="1"/>
  <c r="C526" i="1" s="1"/>
  <c r="C529" i="1" a="1"/>
  <c r="C529" i="1" s="1"/>
  <c r="C92" i="1" a="1"/>
  <c r="C92" i="1" s="1"/>
  <c r="C343" i="1" a="1"/>
  <c r="C343" i="1" s="1"/>
  <c r="C221" i="1" a="1"/>
  <c r="C221" i="1" s="1"/>
  <c r="C270" i="1" a="1"/>
  <c r="C270" i="1" s="1"/>
  <c r="C324" i="1" a="1"/>
  <c r="C324" i="1" s="1"/>
  <c r="C318" i="1" a="1"/>
  <c r="C318" i="1" s="1"/>
  <c r="C135" i="1" a="1"/>
  <c r="C135" i="1" s="1"/>
  <c r="C412" i="1" a="1"/>
  <c r="C412" i="1" s="1"/>
  <c r="C411" i="1" a="1"/>
  <c r="C411" i="1" s="1"/>
  <c r="C492" i="1" a="1"/>
  <c r="C492" i="1" s="1"/>
  <c r="C472" i="1" a="1"/>
  <c r="C472" i="1" s="1"/>
  <c r="C475" i="1" a="1"/>
  <c r="C475" i="1" s="1"/>
  <c r="C493" i="1" a="1"/>
  <c r="C493" i="1" s="1"/>
  <c r="C527" i="1" a="1"/>
  <c r="C527" i="1" s="1"/>
  <c r="C534" i="1" a="1"/>
  <c r="C534" i="1" s="1"/>
  <c r="C104" i="1" a="1"/>
  <c r="C104" i="1" s="1"/>
  <c r="C329" i="1" a="1"/>
  <c r="C329" i="1" s="1"/>
  <c r="C76" i="1" a="1"/>
  <c r="C76" i="1" s="1"/>
  <c r="C62" i="1" a="1"/>
  <c r="C62" i="1" s="1"/>
  <c r="C302" i="1" a="1"/>
  <c r="C302" i="1" s="1"/>
  <c r="C454" i="1" a="1"/>
  <c r="C454" i="1" s="1"/>
  <c r="C490" i="1" a="1"/>
  <c r="C490" i="1" s="1"/>
  <c r="C506" i="1" a="1"/>
  <c r="C506" i="1" s="1"/>
  <c r="C531" i="1" a="1"/>
  <c r="C531" i="1" s="1"/>
  <c r="C397" i="1" a="1"/>
  <c r="C397" i="1" s="1"/>
  <c r="C406" i="1" a="1"/>
  <c r="C406" i="1" s="1"/>
  <c r="C410" i="1" a="1"/>
  <c r="C410" i="1" s="1"/>
  <c r="C422" i="1" a="1"/>
  <c r="C422" i="1" s="1"/>
  <c r="C441" i="1" a="1"/>
  <c r="C441" i="1" s="1"/>
  <c r="C457" i="1" a="1"/>
  <c r="C457" i="1" s="1"/>
  <c r="C474" i="1" a="1"/>
  <c r="C474" i="1" s="1"/>
  <c r="C479" i="1" a="1"/>
  <c r="C479" i="1" s="1"/>
  <c r="C503" i="1" a="1"/>
  <c r="C503" i="1" s="1"/>
  <c r="C161" i="1" a="1"/>
  <c r="C161" i="1" s="1"/>
  <c r="C360" i="1" a="1"/>
  <c r="C360" i="1" s="1"/>
  <c r="C367" i="1" a="1"/>
  <c r="C367" i="1" s="1"/>
  <c r="C512" i="1" a="1"/>
  <c r="C512" i="1" s="1"/>
  <c r="C362" i="1" a="1"/>
  <c r="C362" i="1" s="1"/>
  <c r="C435" i="1" a="1"/>
  <c r="C435" i="1" s="1"/>
  <c r="C272" i="1" a="1"/>
  <c r="C272" i="1" s="1"/>
  <c r="C355" i="1" a="1"/>
  <c r="C355" i="1" s="1"/>
  <c r="C194" i="1" a="1"/>
  <c r="C194" i="1" s="1"/>
  <c r="C180" i="1" a="1"/>
  <c r="C180" i="1" s="1"/>
  <c r="C398" i="1" a="1"/>
  <c r="C398" i="1" s="1"/>
  <c r="C432" i="1" a="1"/>
  <c r="C432" i="1" s="1"/>
  <c r="C444" i="1" a="1"/>
  <c r="C444" i="1" s="1"/>
  <c r="C466" i="1" a="1"/>
  <c r="C466" i="1" s="1"/>
  <c r="C387" i="1" a="1"/>
  <c r="C387" i="1" s="1"/>
  <c r="C394" i="1" a="1"/>
  <c r="C394" i="1" s="1"/>
  <c r="C400" i="1" a="1"/>
  <c r="C400" i="1" s="1"/>
  <c r="C408" i="1" a="1"/>
  <c r="C408" i="1" s="1"/>
  <c r="C428" i="1" a="1"/>
  <c r="C428" i="1" s="1"/>
  <c r="C421" i="1" a="1"/>
  <c r="C421" i="1" s="1"/>
  <c r="C440" i="1" a="1"/>
  <c r="C440" i="1" s="1"/>
  <c r="C447" i="1" a="1"/>
  <c r="C447" i="1" s="1"/>
  <c r="C456" i="1" a="1"/>
  <c r="C456" i="1" s="1"/>
  <c r="C473" i="1" a="1"/>
  <c r="C473" i="1" s="1"/>
  <c r="C495" i="1" a="1"/>
  <c r="C495" i="1" s="1"/>
  <c r="C494" i="1" a="1"/>
  <c r="C494" i="1" s="1"/>
  <c r="C498" i="1" a="1"/>
  <c r="C498" i="1" s="1"/>
  <c r="C91" i="1" a="1"/>
  <c r="C91" i="1" s="1"/>
  <c r="C19" i="1" a="1"/>
  <c r="C19" i="1" s="1"/>
  <c r="C106" i="1" a="1"/>
  <c r="C106" i="1" s="1"/>
  <c r="C170" i="1" a="1"/>
  <c r="C170" i="1" s="1"/>
  <c r="C185" i="1" a="1"/>
  <c r="C185" i="1" s="1"/>
  <c r="C201" i="1" a="1"/>
  <c r="C201" i="1" s="1"/>
  <c r="C211" i="1" a="1"/>
  <c r="C211" i="1" s="1"/>
  <c r="C245" i="1" a="1"/>
  <c r="C245" i="1" s="1"/>
  <c r="C268" i="1" a="1"/>
  <c r="C268" i="1" s="1"/>
  <c r="C307" i="1" a="1"/>
  <c r="C307" i="1" s="1"/>
  <c r="C320" i="1" a="1"/>
  <c r="C320" i="1" s="1"/>
  <c r="C325" i="1" a="1"/>
  <c r="C325" i="1" s="1"/>
  <c r="C427" i="1" a="1"/>
  <c r="C427" i="1" s="1"/>
  <c r="C130" i="1" a="1"/>
  <c r="C130" i="1" s="1"/>
  <c r="C206" i="1" a="1"/>
  <c r="C206" i="1" s="1"/>
  <c r="C285" i="1" a="1"/>
  <c r="C285" i="1" s="1"/>
  <c r="C344" i="1" a="1"/>
  <c r="C344" i="1" s="1"/>
  <c r="C95" i="1" a="1"/>
  <c r="C95" i="1" s="1"/>
  <c r="C36" i="1" a="1"/>
  <c r="C36" i="1" s="1"/>
  <c r="C3" i="1" a="1"/>
  <c r="C3" i="1" s="1"/>
  <c r="C244" i="1" a="1"/>
  <c r="C244" i="1" s="1"/>
  <c r="C523" i="1" a="1"/>
  <c r="C523" i="1" s="1"/>
  <c r="C53" i="1" a="1"/>
  <c r="C53" i="1" s="1"/>
  <c r="C52" i="1" a="1"/>
  <c r="C52" i="1" s="1"/>
  <c r="C54" i="1" a="1"/>
  <c r="C54" i="1" s="1"/>
  <c r="C2" i="1" a="1"/>
  <c r="C2" i="1" s="1"/>
  <c r="C231" i="1" a="1"/>
  <c r="C231" i="1" s="1"/>
  <c r="C336" i="1" a="1"/>
  <c r="C336" i="1" s="1"/>
  <c r="C322" i="1" a="1"/>
  <c r="C322" i="1" s="1"/>
  <c r="C327" i="1" a="1"/>
  <c r="C327" i="1" s="1"/>
  <c r="C433" i="1" a="1"/>
  <c r="C433" i="1" s="1"/>
  <c r="C434" i="1" a="1"/>
  <c r="C434" i="1" s="1"/>
  <c r="C382" i="1" a="1"/>
  <c r="C382" i="1" s="1"/>
  <c r="C377" i="1" a="1"/>
  <c r="C377" i="1" s="1"/>
  <c r="C388" i="1" a="1"/>
  <c r="C388" i="1" s="1"/>
  <c r="C392" i="1" a="1"/>
  <c r="C392" i="1" s="1"/>
  <c r="C393" i="1" a="1"/>
  <c r="C393" i="1" s="1"/>
  <c r="C328" i="1" a="1"/>
  <c r="C328" i="1" s="1"/>
  <c r="C395" i="1" a="1"/>
  <c r="C395" i="1" s="1"/>
  <c r="C416" i="1" a="1"/>
  <c r="C416" i="1" s="1"/>
  <c r="C420" i="1" a="1"/>
  <c r="C420" i="1" s="1"/>
  <c r="C460" i="1" a="1"/>
  <c r="C460" i="1" s="1"/>
  <c r="C477" i="1" a="1"/>
  <c r="C477" i="1" s="1"/>
  <c r="C356" i="1" a="1"/>
  <c r="C356" i="1" s="1"/>
  <c r="C359" i="1" a="1"/>
  <c r="C359" i="1" s="1"/>
  <c r="C66" i="1" a="1"/>
  <c r="C66" i="1" s="1"/>
  <c r="C171" i="1" a="1"/>
  <c r="C171" i="1" s="1"/>
  <c r="C149" i="1" a="1"/>
  <c r="C149" i="1" s="1"/>
  <c r="C269" i="1" a="1"/>
  <c r="C269" i="1" s="1"/>
  <c r="C312" i="1" a="1"/>
  <c r="C312" i="1" s="1"/>
  <c r="C317" i="1" a="1"/>
  <c r="C317" i="1" s="1"/>
  <c r="C323" i="1" a="1"/>
  <c r="C323" i="1" s="1"/>
  <c r="C156" i="1" a="1"/>
  <c r="C156" i="1" s="1"/>
  <c r="C175" i="1" a="1"/>
  <c r="C175" i="1" s="1"/>
  <c r="C22" i="1" a="1"/>
  <c r="C22" i="1" s="1"/>
  <c r="C86" i="1" a="1"/>
  <c r="C86" i="1" s="1"/>
  <c r="C29" i="1" a="1"/>
  <c r="C29" i="1" s="1"/>
  <c r="C117" i="1" a="1"/>
  <c r="C117" i="1" s="1"/>
  <c r="C122" i="1" a="1"/>
  <c r="C122" i="1" s="1"/>
  <c r="C141" i="1" a="1"/>
  <c r="C141" i="1" s="1"/>
  <c r="C333" i="1" a="1"/>
  <c r="C333" i="1" s="1"/>
  <c r="C372" i="1" a="1"/>
  <c r="C372" i="1" s="1"/>
  <c r="C402" i="1" a="1"/>
  <c r="C402" i="1" s="1"/>
  <c r="C520" i="1" a="1"/>
  <c r="C520" i="1" s="1"/>
  <c r="C530" i="1" a="1"/>
  <c r="C530" i="1" s="1"/>
  <c r="C81" i="1" a="1"/>
  <c r="C81" i="1" s="1"/>
  <c r="C17" i="1" a="1"/>
  <c r="C17" i="1" s="1"/>
  <c r="C88" i="1" a="1"/>
  <c r="C88" i="1" s="1"/>
  <c r="C73" i="1" a="1"/>
  <c r="C73" i="1" s="1"/>
  <c r="C35" i="1" a="1"/>
  <c r="C35" i="1" s="1"/>
  <c r="C132" i="1" a="1"/>
  <c r="C132" i="1" s="1"/>
  <c r="C155" i="1" a="1"/>
  <c r="C155" i="1" s="1"/>
  <c r="C299" i="1" a="1"/>
  <c r="C299" i="1" s="1"/>
  <c r="C78" i="1" a="1"/>
  <c r="C78" i="1" s="1"/>
  <c r="C55" i="1" a="1"/>
  <c r="C55" i="1" s="1"/>
  <c r="C37" i="1" a="1"/>
  <c r="C37" i="1" s="1"/>
  <c r="C103" i="1" a="1"/>
  <c r="C103" i="1" s="1"/>
  <c r="C7" i="1" a="1"/>
  <c r="C7" i="1" s="1"/>
  <c r="C120" i="1" a="1"/>
  <c r="C120" i="1" s="1"/>
  <c r="C126" i="1" a="1"/>
  <c r="C126" i="1" s="1"/>
  <c r="C138" i="1" a="1"/>
  <c r="C138" i="1" s="1"/>
  <c r="C145" i="1" a="1"/>
  <c r="C145" i="1" s="1"/>
  <c r="C136" i="1" a="1"/>
  <c r="C136" i="1" s="1"/>
  <c r="C204" i="1" a="1"/>
  <c r="C204" i="1" s="1"/>
  <c r="C213" i="1" a="1"/>
  <c r="C213" i="1" s="1"/>
  <c r="C220" i="1" a="1"/>
  <c r="C220" i="1" s="1"/>
  <c r="C225" i="1" a="1"/>
  <c r="C225" i="1" s="1"/>
  <c r="C253" i="1" a="1"/>
  <c r="C253" i="1" s="1"/>
  <c r="C254" i="1" a="1"/>
  <c r="C254" i="1" s="1"/>
  <c r="C250" i="1" a="1"/>
  <c r="C250" i="1" s="1"/>
  <c r="C280" i="1" a="1"/>
  <c r="C280" i="1" s="1"/>
  <c r="C290" i="1" a="1"/>
  <c r="C290" i="1" s="1"/>
  <c r="C278" i="1" a="1"/>
  <c r="C278" i="1" s="1"/>
  <c r="C311" i="1" a="1"/>
  <c r="C311" i="1" s="1"/>
  <c r="C404" i="1" a="1"/>
  <c r="C404" i="1" s="1"/>
  <c r="C418" i="1" a="1"/>
  <c r="C418" i="1" s="1"/>
  <c r="C451" i="1" a="1"/>
  <c r="C451" i="1" s="1"/>
  <c r="C458" i="1" a="1"/>
  <c r="C458" i="1" s="1"/>
  <c r="C476" i="1" a="1"/>
  <c r="C476" i="1" s="1"/>
  <c r="C496" i="1" a="1"/>
  <c r="C496" i="1" s="1"/>
  <c r="C77" i="1" a="1"/>
  <c r="C77" i="1" s="1"/>
  <c r="C93" i="1" a="1"/>
  <c r="C93" i="1" s="1"/>
  <c r="C31" i="1" a="1"/>
  <c r="C31" i="1" s="1"/>
  <c r="C16" i="1" a="1"/>
  <c r="C16" i="1" s="1"/>
  <c r="C108" i="1" a="1"/>
  <c r="C108" i="1" s="1"/>
  <c r="C140" i="1" a="1"/>
  <c r="C140" i="1" s="1"/>
  <c r="C181" i="1" a="1"/>
  <c r="C181" i="1" s="1"/>
  <c r="C192" i="1" a="1"/>
  <c r="C192" i="1" s="1"/>
  <c r="C257" i="1" a="1"/>
  <c r="C257" i="1" s="1"/>
  <c r="C346" i="1" a="1"/>
  <c r="C346" i="1" s="1"/>
  <c r="C348" i="1" a="1"/>
  <c r="C348" i="1" s="1"/>
  <c r="C353" i="1" a="1"/>
  <c r="C353" i="1" s="1"/>
  <c r="C357" i="1" a="1"/>
  <c r="C357" i="1" s="1"/>
  <c r="C413" i="1" a="1"/>
  <c r="C413" i="1" s="1"/>
  <c r="C419" i="1" a="1"/>
  <c r="C419" i="1" s="1"/>
  <c r="C425" i="1" a="1"/>
  <c r="C425" i="1" s="1"/>
  <c r="C439" i="1" a="1"/>
  <c r="C439" i="1" s="1"/>
  <c r="C391" i="1" a="1"/>
  <c r="C391" i="1" s="1"/>
  <c r="C94" i="1" a="1"/>
  <c r="C94" i="1" s="1"/>
  <c r="C114" i="1" a="1"/>
  <c r="C114" i="1" s="1"/>
  <c r="C298" i="1" a="1"/>
  <c r="C298" i="1" s="1"/>
  <c r="C75" i="1" a="1"/>
  <c r="C75" i="1" s="1"/>
  <c r="C72" i="1" a="1"/>
  <c r="C72" i="1" s="1"/>
  <c r="C56" i="1" a="1"/>
  <c r="C56" i="1" s="1"/>
  <c r="C24" i="1" a="1"/>
  <c r="C24" i="1" s="1"/>
  <c r="C137" i="1" a="1"/>
  <c r="C137" i="1" s="1"/>
  <c r="C144" i="1" a="1"/>
  <c r="C144" i="1" s="1"/>
  <c r="C158" i="1" a="1"/>
  <c r="C158" i="1" s="1"/>
  <c r="C172" i="1" a="1"/>
  <c r="C172" i="1" s="1"/>
  <c r="C174" i="1" a="1"/>
  <c r="C174" i="1" s="1"/>
  <c r="C178" i="1" a="1"/>
  <c r="C178" i="1" s="1"/>
  <c r="C167" i="1" a="1"/>
  <c r="C167" i="1" s="1"/>
  <c r="C188" i="1" a="1"/>
  <c r="C188" i="1" s="1"/>
  <c r="C200" i="1" a="1"/>
  <c r="C200" i="1" s="1"/>
  <c r="C207" i="1" a="1"/>
  <c r="C207" i="1" s="1"/>
  <c r="C223" i="1" a="1"/>
  <c r="C223" i="1" s="1"/>
  <c r="C230" i="1" a="1"/>
  <c r="C230" i="1" s="1"/>
  <c r="C246" i="1" a="1"/>
  <c r="C246" i="1" s="1"/>
  <c r="C240" i="1" a="1"/>
  <c r="C240" i="1" s="1"/>
  <c r="C247" i="1" a="1"/>
  <c r="C247" i="1" s="1"/>
  <c r="C282" i="1" a="1"/>
  <c r="C282" i="1" s="1"/>
  <c r="C283" i="1" a="1"/>
  <c r="C283" i="1" s="1"/>
  <c r="C294" i="1" a="1"/>
  <c r="C294" i="1" s="1"/>
  <c r="C308" i="1" a="1"/>
  <c r="C308" i="1" s="1"/>
  <c r="C295" i="1" a="1"/>
  <c r="C295" i="1" s="1"/>
  <c r="C337" i="1" a="1"/>
  <c r="C337" i="1" s="1"/>
  <c r="C405" i="1" a="1"/>
  <c r="C405" i="1" s="1"/>
  <c r="C361" i="1" a="1"/>
  <c r="C361" i="1" s="1"/>
  <c r="C368" i="1" a="1"/>
  <c r="C368" i="1" s="1"/>
  <c r="C378" i="1" a="1"/>
  <c r="C378" i="1" s="1"/>
  <c r="C384" i="1" a="1"/>
  <c r="C384" i="1" s="1"/>
  <c r="C386" i="1" a="1"/>
  <c r="C386" i="1" s="1"/>
  <c r="C381" i="1" a="1"/>
  <c r="C381" i="1" s="1"/>
  <c r="C390" i="1" a="1"/>
  <c r="C390" i="1" s="1"/>
  <c r="C401" i="1" a="1"/>
  <c r="C401" i="1" s="1"/>
  <c r="C407" i="1" a="1"/>
  <c r="C407" i="1" s="1"/>
  <c r="C415" i="1" a="1"/>
  <c r="C415" i="1" s="1"/>
  <c r="C453" i="1" a="1"/>
  <c r="C453" i="1" s="1"/>
  <c r="C448" i="1" a="1"/>
  <c r="C448" i="1" s="1"/>
  <c r="C467" i="1" a="1"/>
  <c r="C467" i="1" s="1"/>
  <c r="C469" i="1" a="1"/>
  <c r="C469" i="1" s="1"/>
  <c r="C489" i="1" a="1"/>
  <c r="C489" i="1" s="1"/>
  <c r="C499" i="1" a="1"/>
  <c r="C499" i="1" s="1"/>
  <c r="C502" i="1" a="1"/>
  <c r="C502" i="1" s="1"/>
  <c r="C507" i="1" a="1"/>
  <c r="C507" i="1" s="1"/>
  <c r="C366" i="1" a="1"/>
  <c r="C366" i="1" s="1"/>
  <c r="C371" i="1" a="1"/>
  <c r="C371" i="1" s="1"/>
  <c r="C423" i="1" a="1"/>
  <c r="C423" i="1" s="1"/>
  <c r="C438" i="1" a="1"/>
  <c r="C438" i="1" s="1"/>
  <c r="C449" i="1" a="1"/>
  <c r="C449" i="1" s="1"/>
  <c r="C450" i="1" a="1"/>
  <c r="C450" i="1" s="1"/>
  <c r="C452" i="1" a="1"/>
  <c r="C452" i="1" s="1"/>
  <c r="C455" i="1" a="1"/>
  <c r="C455" i="1" s="1"/>
  <c r="C462" i="1" a="1"/>
  <c r="C462" i="1" s="1"/>
  <c r="C468" i="1" a="1"/>
  <c r="C468" i="1" s="1"/>
  <c r="C470" i="1" a="1"/>
  <c r="C470" i="1" s="1"/>
  <c r="C478" i="1" a="1"/>
  <c r="C478" i="1" s="1"/>
  <c r="C487" i="1" a="1"/>
  <c r="C487" i="1" s="1"/>
  <c r="C500" i="1" a="1"/>
  <c r="C500" i="1" s="1"/>
  <c r="C363" i="1" a="1"/>
  <c r="C363" i="1" s="1"/>
  <c r="C379" i="1" a="1"/>
  <c r="C379" i="1" s="1"/>
  <c r="C380" i="1" a="1"/>
  <c r="C380" i="1" s="1"/>
  <c r="C389" i="1" a="1"/>
  <c r="C389" i="1" s="1"/>
  <c r="C426" i="1" a="1"/>
  <c r="C426" i="1" s="1"/>
  <c r="C521" i="1" a="1"/>
  <c r="C521" i="1" s="1"/>
  <c r="C87" i="1" a="1"/>
  <c r="C87" i="1" s="1"/>
  <c r="C67" i="1" a="1"/>
  <c r="C67" i="1" s="1"/>
  <c r="C105" i="1" a="1"/>
  <c r="C105" i="1" s="1"/>
  <c r="C133" i="1" a="1"/>
  <c r="C133" i="1" s="1"/>
  <c r="C146" i="1" a="1"/>
  <c r="C146" i="1" s="1"/>
  <c r="C152" i="1" a="1"/>
  <c r="C152" i="1" s="1"/>
  <c r="C111" i="1" a="1"/>
  <c r="C111" i="1" s="1"/>
  <c r="C162" i="1" a="1"/>
  <c r="C162" i="1" s="1"/>
  <c r="C195" i="1" a="1"/>
  <c r="C195" i="1" s="1"/>
  <c r="C197" i="1" a="1"/>
  <c r="C197" i="1" s="1"/>
  <c r="C193" i="1" a="1"/>
  <c r="C193" i="1" s="1"/>
  <c r="C222" i="1" a="1"/>
  <c r="C222" i="1" s="1"/>
  <c r="C214" i="1" a="1"/>
  <c r="C214" i="1" s="1"/>
  <c r="C239" i="1" a="1"/>
  <c r="C239" i="1" s="1"/>
  <c r="C248" i="1" a="1"/>
  <c r="C248" i="1" s="1"/>
  <c r="C279" i="1" a="1"/>
  <c r="C279" i="1" s="1"/>
  <c r="C309" i="1" a="1"/>
  <c r="C309" i="1" s="1"/>
  <c r="C338" i="1" a="1"/>
  <c r="C338" i="1" s="1"/>
  <c r="C375" i="1" a="1"/>
  <c r="C375" i="1" s="1"/>
  <c r="C403" i="1" a="1"/>
  <c r="C403" i="1" s="1"/>
  <c r="C436" i="1" a="1"/>
  <c r="C436" i="1" s="1"/>
  <c r="C445" i="1" a="1"/>
  <c r="C445" i="1" s="1"/>
  <c r="C491" i="1" a="1"/>
  <c r="C491" i="1" s="1"/>
  <c r="C515" i="1" a="1"/>
  <c r="C515" i="1" s="1"/>
  <c r="C139" i="1" a="1"/>
  <c r="C139" i="1" s="1"/>
  <c r="C227" i="1" a="1"/>
  <c r="C227" i="1" s="1"/>
  <c r="C287" i="1" a="1"/>
  <c r="C287" i="1" s="1"/>
  <c r="C316" i="1" a="1"/>
  <c r="C316" i="1" s="1"/>
  <c r="C98" i="1" a="1"/>
  <c r="C98" i="1" s="1"/>
  <c r="C159" i="1" a="1"/>
  <c r="C159" i="1" s="1"/>
  <c r="C169" i="1" a="1"/>
  <c r="C169" i="1" s="1"/>
  <c r="C186" i="1" a="1"/>
  <c r="C186" i="1" s="1"/>
  <c r="C199" i="1" a="1"/>
  <c r="C199" i="1" s="1"/>
  <c r="C255" i="1" a="1"/>
  <c r="C255" i="1" s="1"/>
  <c r="C43" i="1" a="1"/>
  <c r="C43" i="1" s="1"/>
  <c r="C112" i="1" a="1"/>
  <c r="C112" i="1" s="1"/>
  <c r="C123" i="1" a="1"/>
  <c r="C123" i="1" s="1"/>
  <c r="C267" i="1" a="1"/>
  <c r="C267" i="1" s="1"/>
  <c r="C293" i="1" a="1"/>
  <c r="C293" i="1" s="1"/>
  <c r="C321" i="1" a="1"/>
  <c r="C321" i="1" s="1"/>
  <c r="C528" i="1" a="1"/>
  <c r="C528" i="1" s="1"/>
  <c r="C40" i="1" a="1"/>
  <c r="C40" i="1" s="1"/>
  <c r="C23" i="1" a="1"/>
  <c r="C23" i="1" s="1"/>
  <c r="C59" i="1" a="1"/>
  <c r="C59" i="1" s="1"/>
  <c r="C44" i="1" a="1"/>
  <c r="C44" i="1" s="1"/>
  <c r="C100" i="1" a="1"/>
  <c r="C100" i="1" s="1"/>
  <c r="C89" i="1" a="1"/>
  <c r="C89" i="1" s="1"/>
  <c r="C119" i="1" a="1"/>
  <c r="C119" i="1" s="1"/>
  <c r="C124" i="1" a="1"/>
  <c r="C124" i="1" s="1"/>
  <c r="C128" i="1" a="1"/>
  <c r="C128" i="1" s="1"/>
  <c r="C147" i="1" a="1"/>
  <c r="C147" i="1" s="1"/>
  <c r="C153" i="1" a="1"/>
  <c r="C153" i="1" s="1"/>
  <c r="C157" i="1" a="1"/>
  <c r="C157" i="1" s="1"/>
  <c r="C160" i="1" a="1"/>
  <c r="C160" i="1" s="1"/>
  <c r="C168" i="1" a="1"/>
  <c r="C168" i="1" s="1"/>
  <c r="C173" i="1" a="1"/>
  <c r="C173" i="1" s="1"/>
  <c r="C164" i="1" a="1"/>
  <c r="C164" i="1" s="1"/>
  <c r="C182" i="1" a="1"/>
  <c r="C182" i="1" s="1"/>
  <c r="C198" i="1" a="1"/>
  <c r="C198" i="1" s="1"/>
  <c r="C203" i="1" a="1"/>
  <c r="C203" i="1" s="1"/>
  <c r="C212" i="1" a="1"/>
  <c r="C212" i="1" s="1"/>
  <c r="C217" i="1" a="1"/>
  <c r="C217" i="1" s="1"/>
  <c r="C215" i="1" a="1"/>
  <c r="C215" i="1" s="1"/>
  <c r="C219" i="1" a="1"/>
  <c r="C219" i="1" s="1"/>
  <c r="C234" i="1" a="1"/>
  <c r="C234" i="1" s="1"/>
  <c r="C252" i="1" a="1"/>
  <c r="C252" i="1" s="1"/>
  <c r="C251" i="1" a="1"/>
  <c r="C251" i="1" s="1"/>
  <c r="C261" i="1" a="1"/>
  <c r="C261" i="1" s="1"/>
  <c r="C275" i="1" a="1"/>
  <c r="C275" i="1" s="1"/>
  <c r="C281" i="1" a="1"/>
  <c r="C281" i="1" s="1"/>
  <c r="C226" i="1" a="1"/>
  <c r="C226" i="1" s="1"/>
  <c r="C288" i="1" a="1"/>
  <c r="C288" i="1" s="1"/>
  <c r="C305" i="1" a="1"/>
  <c r="C305" i="1" s="1"/>
  <c r="C289" i="1" a="1"/>
  <c r="C289" i="1" s="1"/>
  <c r="C313" i="1" a="1"/>
  <c r="C313" i="1" s="1"/>
  <c r="C437" i="1" a="1"/>
  <c r="C437" i="1" s="1"/>
  <c r="C484" i="1" a="1"/>
  <c r="C484" i="1" s="1"/>
  <c r="C519" i="1" a="1"/>
  <c r="C519" i="1" s="1"/>
  <c r="C69" i="1" a="1"/>
  <c r="C69" i="1" s="1"/>
  <c r="C47" i="1" a="1"/>
  <c r="C47" i="1" s="1"/>
  <c r="C82" i="1" a="1"/>
  <c r="C82" i="1" s="1"/>
  <c r="C97" i="1" a="1"/>
  <c r="C97" i="1" s="1"/>
  <c r="C42" i="1" a="1"/>
  <c r="C42" i="1" s="1"/>
  <c r="C28" i="1" a="1"/>
  <c r="C28" i="1" s="1"/>
  <c r="C58" i="1" a="1"/>
  <c r="C58" i="1" s="1"/>
  <c r="C96" i="1" a="1"/>
  <c r="C96" i="1" s="1"/>
  <c r="C80" i="1" a="1"/>
  <c r="C80" i="1" s="1"/>
  <c r="C63" i="1" a="1"/>
  <c r="C63" i="1" s="1"/>
  <c r="C39" i="1" a="1"/>
  <c r="C39" i="1" s="1"/>
  <c r="C18" i="1" a="1"/>
  <c r="C18" i="1" s="1"/>
  <c r="C101" i="1" a="1"/>
  <c r="C101" i="1" s="1"/>
  <c r="C11" i="1" a="1"/>
  <c r="C11" i="1" s="1"/>
  <c r="C131" i="1" a="1"/>
  <c r="C131" i="1" s="1"/>
  <c r="C179" i="1" a="1"/>
  <c r="C179" i="1" s="1"/>
  <c r="C260" i="1" a="1"/>
  <c r="C260" i="1" s="1"/>
  <c r="C296" i="1" a="1"/>
  <c r="C296" i="1" s="1"/>
  <c r="C301" i="1" a="1"/>
  <c r="C301" i="1" s="1"/>
  <c r="C319" i="1" a="1"/>
  <c r="C319" i="1" s="1"/>
  <c r="C330" i="1" a="1"/>
  <c r="C330" i="1" s="1"/>
  <c r="C335" i="1" a="1"/>
  <c r="C335" i="1" s="1"/>
  <c r="C347" i="1" a="1"/>
  <c r="C347" i="1" s="1"/>
  <c r="C516" i="1" a="1"/>
  <c r="C516" i="1" s="1"/>
  <c r="C6" i="1" a="1"/>
  <c r="C6" i="1" s="1"/>
  <c r="C68" i="1" a="1"/>
  <c r="C68" i="1" s="1"/>
  <c r="C46" i="1" a="1"/>
  <c r="C46" i="1" s="1"/>
  <c r="C30" i="1" a="1"/>
  <c r="C30" i="1" s="1"/>
  <c r="C13" i="1" a="1"/>
  <c r="C13" i="1" s="1"/>
  <c r="C20" i="1" a="1"/>
  <c r="C20" i="1" s="1"/>
  <c r="C102" i="1" a="1"/>
  <c r="C102" i="1" s="1"/>
  <c r="C10" i="1" a="1"/>
  <c r="C10" i="1" s="1"/>
  <c r="C189" i="1" a="1"/>
  <c r="C189" i="1" s="1"/>
  <c r="C236" i="1" a="1"/>
  <c r="C236" i="1" s="1"/>
  <c r="C110" i="1" a="1"/>
  <c r="C110" i="1" s="1"/>
  <c r="C125" i="1" a="1"/>
  <c r="C125" i="1" s="1"/>
  <c r="C177" i="1" a="1"/>
  <c r="C177" i="1" s="1"/>
  <c r="C190" i="1" a="1"/>
  <c r="C190" i="1" s="1"/>
  <c r="C291" i="1" a="1"/>
  <c r="C291" i="1" s="1"/>
  <c r="C60" i="1" a="1"/>
  <c r="C60" i="1" s="1"/>
  <c r="C165" i="1" a="1"/>
  <c r="C165" i="1" s="1"/>
  <c r="C334" i="1" a="1"/>
  <c r="C334" i="1" s="1"/>
  <c r="C90" i="1" a="1"/>
  <c r="C90" i="1" s="1"/>
  <c r="C14" i="1" a="1"/>
  <c r="C14" i="1" s="1"/>
  <c r="C208" i="1" a="1"/>
  <c r="C208" i="1" s="1"/>
  <c r="C464" i="1" a="1"/>
  <c r="C464" i="1" s="1"/>
  <c r="C399" i="1" a="1"/>
  <c r="C399" i="1" s="1"/>
  <c r="C41" i="1" a="1"/>
  <c r="C41" i="1" s="1"/>
  <c r="C70" i="1" a="1"/>
  <c r="C70" i="1" s="1"/>
  <c r="C118" i="1" a="1"/>
  <c r="C118" i="1" s="1"/>
  <c r="C364" i="1" a="1"/>
  <c r="C364" i="1" s="1"/>
  <c r="C365" i="1" a="1"/>
  <c r="C365" i="1" s="1"/>
  <c r="C121" i="1" a="1"/>
  <c r="C121" i="1" s="1"/>
  <c r="C292" i="1" a="1"/>
  <c r="C292" i="1" s="1"/>
  <c r="C107" i="1" a="1"/>
  <c r="C107" i="1" s="1"/>
  <c r="C262" i="1" a="1"/>
  <c r="C262" i="1" s="1"/>
  <c r="C376" i="1" a="1"/>
  <c r="C376" i="1" s="1"/>
  <c r="C383" i="1" a="1"/>
  <c r="C383" i="1" s="1"/>
  <c r="C385" i="1" a="1"/>
  <c r="C385" i="1" s="1"/>
  <c r="C430" i="1" a="1"/>
  <c r="C430" i="1" s="1"/>
  <c r="C64" i="1" a="1"/>
  <c r="C64" i="1" s="1"/>
  <c r="C191" i="1" a="1"/>
  <c r="C191" i="1" s="1"/>
  <c r="C370" i="1" a="1"/>
  <c r="C370" i="1" s="1"/>
  <c r="C256" i="1" a="1"/>
  <c r="C256" i="1" s="1"/>
  <c r="C83" i="1" a="1"/>
  <c r="C83" i="1" s="1"/>
  <c r="C241" i="1" a="1"/>
  <c r="C241" i="1" s="1"/>
  <c r="C274" i="1" a="1"/>
  <c r="C274" i="1" s="1"/>
  <c r="C109" i="1" a="1"/>
  <c r="C109" i="1" s="1"/>
  <c r="C532" i="1" a="1"/>
  <c r="C53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tc={9BC98DD7-BB54-4B08-9E9A-81630BC2EAA4}</author>
  </authors>
  <commentList>
    <comment ref="A1" authorId="0" shapeId="0" xr:uid="{9BC98DD7-BB54-4B08-9E9A-81630BC2EAA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@GREENE-CRAMER, Blanche Johanna , Please see proposed changes, let me know your thoughts?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<sst xmlns="http://schemas.openxmlformats.org/spreadsheetml/2006/main" count="10614" uniqueCount="3089">
  <si>
    <t>Status</t>
  </si>
  <si>
    <t>Country</t>
  </si>
  <si>
    <t>Countries (if multiple) or Region</t>
  </si>
  <si>
    <t>Disease/condition</t>
  </si>
  <si>
    <t>Pending question</t>
  </si>
  <si>
    <t>Need RRA</t>
  </si>
  <si>
    <t>RRA Risk level</t>
  </si>
  <si>
    <t>Need EIS</t>
  </si>
  <si>
    <t>Type</t>
  </si>
  <si>
    <t>EIS_first_draft_by</t>
  </si>
  <si>
    <t>Need DON</t>
  </si>
  <si>
    <t>GPW 13
Desc_start</t>
  </si>
  <si>
    <t>GPW 13
Desc_detect</t>
  </si>
  <si>
    <t>GPW 13
Desc_notify</t>
  </si>
  <si>
    <t>GPW 13
Desc_response</t>
  </si>
  <si>
    <t>Closed</t>
  </si>
  <si>
    <t>Afghanistan</t>
  </si>
  <si>
    <t>AFR</t>
  </si>
  <si>
    <t>Acute febrile jaundice syndrome</t>
  </si>
  <si>
    <t>No</t>
  </si>
  <si>
    <t>High</t>
  </si>
  <si>
    <t>Update existing EIS</t>
  </si>
  <si>
    <t>WHO RO</t>
  </si>
  <si>
    <t>First visit to health care facility</t>
  </si>
  <si>
    <t>First sample collection date</t>
  </si>
  <si>
    <t xml:space="preserve">Incident management system set up </t>
  </si>
  <si>
    <t>Unknown</t>
  </si>
  <si>
    <t>Åland Islands</t>
  </si>
  <si>
    <t>AMR</t>
  </si>
  <si>
    <t>Acute Hemorrhagic Fever</t>
  </si>
  <si>
    <t>Yes</t>
  </si>
  <si>
    <t>Decision pending</t>
  </si>
  <si>
    <t>Moderate</t>
  </si>
  <si>
    <t>EIS anouncement</t>
  </si>
  <si>
    <t>Not applicable</t>
  </si>
  <si>
    <t>Date of suspected primary case</t>
  </si>
  <si>
    <t xml:space="preserve">Ministry of health press release date </t>
  </si>
  <si>
    <t>Vaccination campaign started</t>
  </si>
  <si>
    <t>Open</t>
  </si>
  <si>
    <t>Multiple</t>
  </si>
  <si>
    <t>Acute kidney injury</t>
  </si>
  <si>
    <t>Very High</t>
  </si>
  <si>
    <t>New EIS</t>
  </si>
  <si>
    <t>WHO HQ</t>
  </si>
  <si>
    <t xml:space="preserve">Symptom-onset date of first reported case (=initial case) </t>
  </si>
  <si>
    <t xml:space="preserve">First confirmatory laboratory test </t>
  </si>
  <si>
    <t xml:space="preserve">Date national governmental agency, the International Health Regulation national focal point reported to WHO </t>
  </si>
  <si>
    <t>Field investigation started</t>
  </si>
  <si>
    <t>Albania</t>
  </si>
  <si>
    <t>EMR</t>
  </si>
  <si>
    <r>
      <rPr>
        <sz val="11"/>
        <color rgb="FF000000"/>
        <rFont val="맑은 고딕"/>
        <family val="2"/>
        <scheme val="minor"/>
      </rPr>
      <t>AMR</t>
    </r>
    <r>
      <rPr>
        <i/>
        <sz val="11"/>
        <color rgb="FF000000"/>
        <rFont val="맑은 고딕"/>
        <family val="2"/>
        <scheme val="minor"/>
      </rPr>
      <t xml:space="preserve"> Klebsiella pneumoniae</t>
    </r>
  </si>
  <si>
    <t>Low</t>
  </si>
  <si>
    <t>Most likely exposure date (estimated)</t>
  </si>
  <si>
    <t xml:space="preserve">Rapid diagnostic test date </t>
  </si>
  <si>
    <t>Active surveillance initiated</t>
  </si>
  <si>
    <t>Algeria</t>
  </si>
  <si>
    <t>EUR</t>
  </si>
  <si>
    <t>Anthrax</t>
  </si>
  <si>
    <t>First exposure date (estimated)</t>
  </si>
  <si>
    <t xml:space="preserve">First time diagnosed as suspected case </t>
  </si>
  <si>
    <t>Rapid response team deployed</t>
  </si>
  <si>
    <t>American Samoa</t>
  </si>
  <si>
    <t>SEAR</t>
  </si>
  <si>
    <t>Arboviruses</t>
  </si>
  <si>
    <t>Latest exposure date (estimated)</t>
  </si>
  <si>
    <t xml:space="preserve">Date other external party reported to ministry of health </t>
  </si>
  <si>
    <t>Andorra</t>
  </si>
  <si>
    <t>WPR</t>
  </si>
  <si>
    <t>Avian influenza A (H10N3)</t>
  </si>
  <si>
    <t>Outbreak start date</t>
  </si>
  <si>
    <t xml:space="preserve">Date outbreak declared </t>
  </si>
  <si>
    <t>Risk communication started</t>
  </si>
  <si>
    <t>Angola</t>
  </si>
  <si>
    <t>Somalia, Ethiopia</t>
  </si>
  <si>
    <t>Avian influenza A (H10N5) + H3N2</t>
  </si>
  <si>
    <t xml:space="preserve">Date of death of first reported case (=initial case) </t>
  </si>
  <si>
    <t xml:space="preserve">Date local health authority reported to ministry of health </t>
  </si>
  <si>
    <t>Date quarantine started</t>
  </si>
  <si>
    <t>Anguilla</t>
  </si>
  <si>
    <t>Mozambique, Malawi</t>
  </si>
  <si>
    <t>Avian influenza A (H1N1) v</t>
  </si>
  <si>
    <t xml:space="preserve">First report of the outbreak </t>
  </si>
  <si>
    <t>Date of preliminary laboratory test</t>
  </si>
  <si>
    <t xml:space="preserve">Vector control campaign launched </t>
  </si>
  <si>
    <t>Antigua and Barbuda</t>
  </si>
  <si>
    <t>EUR, AMR</t>
  </si>
  <si>
    <t>Avian influenza A (H1N2)</t>
  </si>
  <si>
    <t xml:space="preserve">Communication from laboratory to ministry of health </t>
  </si>
  <si>
    <t>Food/product recall started</t>
  </si>
  <si>
    <t>France</t>
  </si>
  <si>
    <t>Multi area</t>
  </si>
  <si>
    <t>Avian influenza A (H1N2)v</t>
  </si>
  <si>
    <t>Argentina</t>
  </si>
  <si>
    <t>Global</t>
  </si>
  <si>
    <t>Avian Influenza A (H3N8)</t>
  </si>
  <si>
    <t xml:space="preserve">Date first communication between third party Member States happened </t>
  </si>
  <si>
    <t xml:space="preserve">National emergency operation centre activated </t>
  </si>
  <si>
    <t>Armenia</t>
  </si>
  <si>
    <t>Niger, Nigeria</t>
  </si>
  <si>
    <t>Avian influenza A (H5N1)</t>
  </si>
  <si>
    <t xml:space="preserve">Date local health authority detected signal through media </t>
  </si>
  <si>
    <t xml:space="preserve">Expert group established </t>
  </si>
  <si>
    <t>Aruba</t>
  </si>
  <si>
    <t>Mexico, United States of America</t>
  </si>
  <si>
    <t>Avian influenza A (H5N6)</t>
  </si>
  <si>
    <t>Australia</t>
  </si>
  <si>
    <t>Australia, New Zealand, UAE</t>
  </si>
  <si>
    <t>Avian Influenza A (H9)</t>
  </si>
  <si>
    <t>Austria</t>
  </si>
  <si>
    <t>Chile, Armenia, Georgia</t>
  </si>
  <si>
    <t>Avian influenza A (H9N2)</t>
  </si>
  <si>
    <t>Azerbaijan</t>
  </si>
  <si>
    <t>Avian Influenza A(H3)v</t>
  </si>
  <si>
    <t>Bahamas</t>
  </si>
  <si>
    <t>Avian influenza A(H5)</t>
  </si>
  <si>
    <t>Bahrain</t>
  </si>
  <si>
    <t>Avian Influenza A(H9)</t>
  </si>
  <si>
    <t>Bangladesh</t>
  </si>
  <si>
    <t>Botulism</t>
  </si>
  <si>
    <t>Barbados</t>
  </si>
  <si>
    <t>Chandipura virus</t>
  </si>
  <si>
    <t>Belarus</t>
  </si>
  <si>
    <t>Chapare virus</t>
  </si>
  <si>
    <t>Belgium</t>
  </si>
  <si>
    <t>Chemical exposure</t>
  </si>
  <si>
    <t>Belize</t>
  </si>
  <si>
    <t>Chikungunya</t>
  </si>
  <si>
    <t>Benin</t>
  </si>
  <si>
    <t>Cholera</t>
  </si>
  <si>
    <t>Bermuda</t>
  </si>
  <si>
    <t>COVID - 19</t>
  </si>
  <si>
    <t>Bhutan</t>
  </si>
  <si>
    <t>COVID-19 (Omicron)</t>
  </si>
  <si>
    <t>Bolivia (Plurinational State of)</t>
  </si>
  <si>
    <t>Crimean-Congo hemorrhagic fever (CCHF)</t>
  </si>
  <si>
    <t>Bonaire, Saint Eustatius and Saba</t>
  </si>
  <si>
    <t>Dengue</t>
  </si>
  <si>
    <t>Bosnia and Herzegovina</t>
  </si>
  <si>
    <t>Diphtheria</t>
  </si>
  <si>
    <t>Botswana</t>
  </si>
  <si>
    <t>Ebola virus disease</t>
  </si>
  <si>
    <t>Bouvet Island</t>
  </si>
  <si>
    <t>Enterovirus</t>
  </si>
  <si>
    <t>Brazil</t>
  </si>
  <si>
    <t>Extensively-drug resistant (XDR) N. gonorrhoeae</t>
  </si>
  <si>
    <t>British Indian Ocean Territory</t>
  </si>
  <si>
    <t>Guillain-Barré syndrome</t>
  </si>
  <si>
    <t>British Virgin Islands</t>
  </si>
  <si>
    <t>Hantavirus pulmonary syndrome</t>
  </si>
  <si>
    <t>Brunei Darussalam</t>
  </si>
  <si>
    <t>Hemorrhagic fever</t>
  </si>
  <si>
    <t>Bulgaria</t>
  </si>
  <si>
    <t>Hepatitis (unspecified)</t>
  </si>
  <si>
    <t>Burkina Faso</t>
  </si>
  <si>
    <t>Hepatitis E</t>
  </si>
  <si>
    <t>Burundi</t>
  </si>
  <si>
    <t>Influenza A (H1N2)v</t>
  </si>
  <si>
    <t>Cape Verde</t>
  </si>
  <si>
    <t>Influenza A (H3N2)v</t>
  </si>
  <si>
    <t>Cambodia</t>
  </si>
  <si>
    <t>Influenza A(H3)v</t>
  </si>
  <si>
    <t>Cameroon</t>
  </si>
  <si>
    <t>Intestinal infectious diseases </t>
  </si>
  <si>
    <t>Canada</t>
  </si>
  <si>
    <t>Japanese encephalitis</t>
  </si>
  <si>
    <t>Cayman Islands</t>
  </si>
  <si>
    <t>Lassa fever</t>
  </si>
  <si>
    <t>Central African Republic</t>
  </si>
  <si>
    <t>Legionellosis</t>
  </si>
  <si>
    <t>Chad</t>
  </si>
  <si>
    <t>Leptospirosis</t>
  </si>
  <si>
    <t>Chile</t>
  </si>
  <si>
    <t>Malaria</t>
  </si>
  <si>
    <t>China</t>
  </si>
  <si>
    <t>Marburg</t>
  </si>
  <si>
    <t>China, Hong Kong SAR</t>
  </si>
  <si>
    <t>Measles</t>
  </si>
  <si>
    <t>China, Macao SAR</t>
  </si>
  <si>
    <t>Meningitis</t>
  </si>
  <si>
    <t>China, Province of Taiwan</t>
  </si>
  <si>
    <t>MERS-CoV</t>
  </si>
  <si>
    <t>Christmas Island</t>
  </si>
  <si>
    <t>Mpox</t>
  </si>
  <si>
    <t>Cocos (Keeling) Islands</t>
  </si>
  <si>
    <t>Neisseria gonorrhoeae</t>
  </si>
  <si>
    <t>Colombia</t>
  </si>
  <si>
    <t>Neonatal myocarditis</t>
  </si>
  <si>
    <t>Comoros</t>
  </si>
  <si>
    <t>Nipah</t>
  </si>
  <si>
    <t>Congo</t>
  </si>
  <si>
    <t>Oropouche virus</t>
  </si>
  <si>
    <t>Cook Islands</t>
  </si>
  <si>
    <t>Plague</t>
  </si>
  <si>
    <t>Costa Rica</t>
  </si>
  <si>
    <t>Polio - cVDPV2</t>
  </si>
  <si>
    <t>Côte d'Ivoire</t>
  </si>
  <si>
    <t>Polio - cVDPV3</t>
  </si>
  <si>
    <t>Croatia</t>
  </si>
  <si>
    <t>Polio - VDPV2</t>
  </si>
  <si>
    <t>Cuba</t>
  </si>
  <si>
    <t>Curaçao</t>
  </si>
  <si>
    <t>Polio - WPV1</t>
  </si>
  <si>
    <t>Cyprus</t>
  </si>
  <si>
    <t>Poliomyelitis</t>
  </si>
  <si>
    <t>Czech Republic</t>
  </si>
  <si>
    <t xml:space="preserve">Poliomyelitis, WPV3, incident in vaccine manufacturing plant </t>
  </si>
  <si>
    <t>Democratic People's Republic of Korea</t>
  </si>
  <si>
    <t>Psittacosis</t>
  </si>
  <si>
    <t>Democratic Republic of the Congo</t>
  </si>
  <si>
    <t>Q fever</t>
  </si>
  <si>
    <t>Denmark</t>
  </si>
  <si>
    <t>Rabies</t>
  </si>
  <si>
    <t>Djibouti</t>
  </si>
  <si>
    <t xml:space="preserve">Ralstonia pickettii </t>
  </si>
  <si>
    <t>Dominica</t>
  </si>
  <si>
    <t>Rift Valley Fever</t>
  </si>
  <si>
    <t>Dominican Republic</t>
  </si>
  <si>
    <t>Risk Assessment of outbreaks caused by Highly Pathogenic Avian Influenza 
A(H5N1): Implications for the Region of the Americas</t>
  </si>
  <si>
    <t>Ecuador</t>
  </si>
  <si>
    <t>Risk of biological hazard</t>
  </si>
  <si>
    <t>Egypt</t>
  </si>
  <si>
    <t>Rubella</t>
  </si>
  <si>
    <t>El Salvador</t>
  </si>
  <si>
    <t>Salmonella typhimurium</t>
  </si>
  <si>
    <t>Equatorial Guinea</t>
  </si>
  <si>
    <t>Scarlet fever and invasive Group A Streptococcus infection</t>
  </si>
  <si>
    <t>Eritrea</t>
  </si>
  <si>
    <t>Severe Fever with Thrombocytopenia Syndrome Virus</t>
  </si>
  <si>
    <t>Estonia</t>
  </si>
  <si>
    <t>Shigellosis</t>
  </si>
  <si>
    <t>Eswatini</t>
  </si>
  <si>
    <t>Sudan virus disease</t>
  </si>
  <si>
    <t>Ethiopia</t>
  </si>
  <si>
    <t>Swine influenza A (H1N1) v</t>
  </si>
  <si>
    <t>Falkland Islands (Malvinas)</t>
  </si>
  <si>
    <t>Undiagnosed disease</t>
  </si>
  <si>
    <t>Faroe Islands</t>
  </si>
  <si>
    <t>Undiagnosed disease - suspected Malaria</t>
  </si>
  <si>
    <t>Fiji</t>
  </si>
  <si>
    <t>Undiagnosed disease - suspected meningitis</t>
  </si>
  <si>
    <t>Finland</t>
  </si>
  <si>
    <t>Undiagnosed disease - suspected Viral Hemorrhagic Fever</t>
  </si>
  <si>
    <t>French Guiana</t>
  </si>
  <si>
    <t>Undiagnosed disease - suspected Yellow Fever</t>
  </si>
  <si>
    <t>French Polynesia</t>
  </si>
  <si>
    <t>Vector borne diseases</t>
  </si>
  <si>
    <t>French Southern Territories</t>
  </si>
  <si>
    <t xml:space="preserve">Venezuelan Hemorrhagic Fever </t>
  </si>
  <si>
    <t>West Nile virus</t>
  </si>
  <si>
    <t>Gabon</t>
  </si>
  <si>
    <t>Western Equine Encephalitis</t>
  </si>
  <si>
    <t>Gambia</t>
  </si>
  <si>
    <t>Yellow Fever</t>
  </si>
  <si>
    <t>Georgia</t>
  </si>
  <si>
    <t>Zika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</si>
  <si>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</si>
  <si>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</si>
  <si>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</si>
  <si>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</si>
  <si>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</si>
  <si>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</si>
  <si>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</si>
  <si>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</si>
  <si>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</si>
  <si>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</si>
  <si>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</si>
  <si>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</si>
  <si>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</si>
  <si>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</si>
  <si>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</si>
  <si>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t>
  </si>
  <si>
    <t>Honduras</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</si>
  <si>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</si>
  <si>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</si>
  <si>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</si>
  <si>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</si>
  <si>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</si>
  <si>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</si>
  <si>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</si>
  <si>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</si>
  <si>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</si>
  <si>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</si>
  <si>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</si>
  <si>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</si>
  <si>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</si>
  <si>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</si>
  <si>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</si>
  <si>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</si>
  <si>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</si>
  <si>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</si>
  <si>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</si>
  <si>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</si>
  <si>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</si>
  <si>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</si>
  <si>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</si>
  <si>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</si>
  <si>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</si>
  <si>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</si>
  <si>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</si>
  <si>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</si>
  <si>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Madagascar</t>
  </si>
  <si>
    <t>Malawi</t>
  </si>
  <si>
    <t>Malaysia</t>
  </si>
  <si>
    <t>Maldives</t>
  </si>
  <si>
    <t>Mali</t>
  </si>
  <si>
    <t>Malta</t>
  </si>
  <si>
    <t>Marshall Islands</t>
  </si>
  <si>
    <t>Martinique</t>
  </si>
  <si>
    <t>Mauritania</t>
  </si>
  <si>
    <t>Mauritius</t>
  </si>
  <si>
    <t>Mayotte</t>
  </si>
  <si>
    <t>Mexico</t>
  </si>
  <si>
    <t>Micronesia (Federated States of)</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</si>
  <si>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</si>
  <si>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</si>
  <si>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</si>
  <si>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</si>
  <si>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</si>
  <si>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</si>
  <si>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</si>
  <si>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</si>
  <si>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</si>
  <si>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</si>
  <si>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</si>
  <si>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</si>
  <si>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</si>
  <si>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</si>
  <si>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</si>
  <si>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</si>
  <si>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</si>
  <si>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</si>
  <si>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 Macedonia</t>
  </si>
  <si>
    <t>Northern Mariana Islands</t>
  </si>
  <si>
    <t>Norway</t>
  </si>
  <si>
    <t>Oman</t>
  </si>
  <si>
    <t>Pakistan</t>
  </si>
  <si>
    <t>Palau</t>
  </si>
  <si>
    <t>Panama</t>
  </si>
  <si>
    <t>Papua New Guinea</t>
  </si>
  <si>
    <t>Paraguay</t>
  </si>
  <si>
    <t>Peru</t>
  </si>
  <si>
    <t>Philippines</t>
  </si>
  <si>
    <t>Pitcairn</t>
  </si>
  <si>
    <t>Poland</t>
  </si>
  <si>
    <t>Portugal</t>
  </si>
  <si>
    <t>Puerto Rico</t>
  </si>
  <si>
    <t>Qatar</t>
  </si>
  <si>
    <t>Republic of Korea</t>
  </si>
  <si>
    <t>Republic of Moldova</t>
  </si>
  <si>
    <t>Réunion</t>
  </si>
  <si>
    <t>Romania</t>
  </si>
  <si>
    <t>Russian Federation</t>
  </si>
  <si>
    <t>Rwanda</t>
  </si>
  <si>
    <t>Saint Barthélemy</t>
  </si>
  <si>
    <t>Saint Helena, Ascension and Tristan da Cunha</t>
  </si>
  <si>
    <t>Saint Kitts and Nevis</t>
  </si>
  <si>
    <t>Saint Lucia</t>
  </si>
  <si>
    <t>Saint Martin (French part)</t>
  </si>
  <si>
    <t>Saint Pierre and Miquelon</t>
  </si>
  <si>
    <t>Saint Vincent and the Grenadines</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</si>
  <si>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</si>
  <si>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</si>
  <si>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</si>
  <si>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</si>
  <si>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</si>
  <si>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</si>
  <si>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</si>
  <si>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</si>
  <si>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</si>
  <si>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</si>
  <si>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</si>
  <si>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</si>
  <si>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</si>
  <si>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</si>
  <si>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</si>
  <si>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</si>
  <si>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</si>
  <si>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</si>
  <si>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</si>
  <si>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</si>
  <si>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</si>
  <si>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</si>
  <si>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</si>
  <si>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</si>
  <si>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</si>
  <si>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Tajikistan</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</si>
  <si>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</si>
  <si>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</si>
  <si>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</si>
  <si>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</si>
  <si>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</si>
  <si>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</si>
  <si>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</si>
  <si>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</si>
  <si>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</si>
  <si>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</si>
  <si>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</si>
  <si>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</si>
  <si>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</si>
  <si>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</si>
  <si>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 of Great Britain and Northern Ireland</t>
  </si>
  <si>
    <t>United Republic of Tanzania</t>
  </si>
  <si>
    <t>United States Minor Outlying Islands</t>
  </si>
  <si>
    <t>United States of America</t>
  </si>
  <si>
    <t>Uruguay</t>
  </si>
  <si>
    <t>US Virgin Islands</t>
  </si>
  <si>
    <t>Uzbekistan</t>
  </si>
  <si>
    <t>Vanuatu</t>
  </si>
  <si>
    <t>Venezuela (Bolivarian Republic of)</t>
  </si>
  <si>
    <t>Viet Nam</t>
  </si>
  <si>
    <t>Wallis and Futuna</t>
  </si>
  <si>
    <t>West Bank and Gaza Strip</t>
  </si>
  <si>
    <t>Western Sahara</t>
  </si>
  <si>
    <t>Yemen</t>
  </si>
  <si>
    <t>Zambia</t>
  </si>
  <si>
    <t>Zimbabwe</t>
  </si>
  <si>
    <t>Date of entry</t>
  </si>
  <si>
    <t>Product</t>
  </si>
  <si>
    <t>FP name</t>
  </si>
  <si>
    <t>disease_condition</t>
  </si>
  <si>
    <t>country</t>
  </si>
  <si>
    <t>daily signal tracker</t>
  </si>
  <si>
    <t>Daily signal tracker update entry</t>
  </si>
  <si>
    <t>EMS entry</t>
  </si>
  <si>
    <t>EMS event ID</t>
  </si>
  <si>
    <t>EMS comments</t>
  </si>
  <si>
    <t>Pending_question</t>
  </si>
  <si>
    <t>Pending question status</t>
  </si>
  <si>
    <t>PQ_closure_date</t>
  </si>
  <si>
    <t>Need_RRA</t>
  </si>
  <si>
    <t>Version</t>
  </si>
  <si>
    <t>RRA status</t>
  </si>
  <si>
    <t>RRA_Decision_date</t>
  </si>
  <si>
    <t>RRA_start_date</t>
  </si>
  <si>
    <t>RRA_pub_date</t>
  </si>
  <si>
    <t>RRA National risk level</t>
  </si>
  <si>
    <t>RRA Regional risk level</t>
  </si>
  <si>
    <t>RRA Global risk level</t>
  </si>
  <si>
    <t>Need_EIS</t>
  </si>
  <si>
    <t>EIS status</t>
  </si>
  <si>
    <t>EIS_decision_date</t>
  </si>
  <si>
    <t>EIS_start_HQ_receive_date</t>
  </si>
  <si>
    <t>EIS sent to 
Regional office</t>
  </si>
  <si>
    <t>EIS sent to NFP</t>
  </si>
  <si>
    <t>Feedback NFP</t>
  </si>
  <si>
    <t>EIS_pub_date</t>
  </si>
  <si>
    <t>Need_DON</t>
  </si>
  <si>
    <t>DON_start_date</t>
  </si>
  <si>
    <t>DON_pub_date</t>
  </si>
  <si>
    <t>Comments</t>
  </si>
  <si>
    <t>countrycode</t>
  </si>
  <si>
    <t>RRA_indic</t>
  </si>
  <si>
    <t>EIS_indic</t>
  </si>
  <si>
    <t>DON_indic</t>
  </si>
  <si>
    <t>PQ_indic</t>
  </si>
  <si>
    <t>daily_list</t>
  </si>
  <si>
    <t>Lidia</t>
  </si>
  <si>
    <t>no</t>
  </si>
  <si>
    <t>21 June: signal, additional information requested from AFRO / 24 June: Malaria confirmed</t>
  </si>
  <si>
    <t>Anastasia</t>
  </si>
  <si>
    <t xml:space="preserve">23 June: Awaiting las comments from WCO. 24 June: On 24 June, AFRO suggested to change the risk levels in the risk assessment table. 25 June: during a 3L TC it was decided to drop this RRA as the situation has changed significantly and RRA is not required at the moment.  2 July: Not required at the moment </t>
  </si>
  <si>
    <t>25 June: No plans</t>
  </si>
  <si>
    <t>pending</t>
  </si>
  <si>
    <t>PHSA done by FES in April</t>
  </si>
  <si>
    <t>Dunja</t>
  </si>
  <si>
    <t>5 October: need RRA?</t>
  </si>
  <si>
    <t xml:space="preserve">Still waiting decision from AFRO ( waiting for Malaria TT advise) </t>
  </si>
  <si>
    <t>2017-E000187</t>
  </si>
  <si>
    <t>disseminated</t>
  </si>
  <si>
    <t>21 June: not planned</t>
  </si>
  <si>
    <t>2021-E000172</t>
  </si>
  <si>
    <t>yes</t>
  </si>
  <si>
    <t>15 June: First draft shared with TT and TT provided comment/ 16 June: draft shared with AFRO and WCO Inputs expected by COB 17 June.                          Published on 21 June</t>
  </si>
  <si>
    <t>Lidia/Anastasia</t>
  </si>
  <si>
    <t>2019-E000123</t>
  </si>
  <si>
    <t>18 June 2021: distributed</t>
  </si>
  <si>
    <t>15 June: draft shared with AFRO and HQ colleagues/18 June: feedback from AFRO received . Awaiting WCO inputs /20 June: Reminder sent / 23 June: IHR NFP feedback received / 27 June: EIS posted</t>
  </si>
  <si>
    <t>09 June, 11 June</t>
  </si>
  <si>
    <t>2021-E000253</t>
  </si>
  <si>
    <t>12 July 2021: Not Planned / 15 July: we need one RRA / 16 July: 3LTC: no RRA for the moment as the magnitude of the event is not clear, "we need more data and information" Email requesting 3LTC and further discussion sent on 26 July./ 28 July: SEARO agreed to have a RRA, CO will draft it. 30 July - 1st Draft RRA received by SEARO. Shared with the TTHQ. Deadline 11am on Tuesday, 2 August. RRA with major adjustments shared back with SEARO on 5 August and requested for 3 LTC. / 5 August received inputs by TT tha have been incorportaed to the final draft. On 9 August a follow up email sent regarding the status of the RRA and EIS with proposition for a 3LTC. Replied recieved on 10 August - the comments of the RRA will be addressed and decline of the 3 LTC at this stage. RRA draft received on 11 August by SEARO with some of the comments addressed in the document. 3LTC held on 17 August. RRA dissseminated on 17 August.</t>
  </si>
  <si>
    <t xml:space="preserve">15 July: we need an EIS / 16 July: CO will draft an EIS, check the deadline / 20 July: reminder sent to SEARO and SEARO shared the draft with NCDC / 22 July: EIS still pending draft from WCO / 26 July: still waiting inputs from NCDC.SEARO replied on 26 July that they are expecting the draft to be likely approved by the evening of 26 July 2021. On 28 July, SEARO provided epi update and stated theat the EIS is with the MoH for clearance. We have requested the EIS draft, as it hasn't been shared with HQ +TT, for further inputs, prior to the accuracy check. EIS received on 29 July and shared with the TT for further inputs by 3PM on 29 July. Draft EIS with HQ inputs sent back to SEARO by COB on 29 July. Final draft EIS sent for NFP concurrence on 30 July.On 9 August a follow up email sent regarding the status of the RRA and EIS with proposition for a 3LTC, as the EIS is already outdated. Replied received from SEARO on 10 August, WCO and RO, just had a call this morning. WCO colleagues have kindly agreed to address the pending comments and share a new draft as soon as possible. With this in mind, and given the many other competing priorities, we would like to politely decline the invitation for a 3LTC today. Specifically on the contents, WCO colleagues will add the latest information on the subtype from vectors and human samples. With regard to the status of the EIS, WCO is in regular contact with national counterparts. Following the 3LTC on 17 August, it was agreed that PHI will update the EIS draft , including the 2nd state and will share back with WCO for NFP concurrence. 27 August: The old EIS received with  withe the NFP concurrence. 3 September: a new version of the EIS has been drafted by PHI and shared for comments at HQ level . 6 September: EIS draft shared with SEARO. Awaiting SEARO to address the pending comments, prior to sharing with the NFP.10 September: Final EIS sent back to SEARO for NFP concurrence. 15 September: Reminder sent to SEARO. / 16 September: reminder to SEARO by Emilie / 20 Sep: SEARO replied that NFP/NCDC does not concur with the classification of the event as presenting a serious pubic health impact. Their reply: “Further to our discussion and as directed by the Director, NCDC, the justification for RA for Zika is as given below:
Serious Public Health Impact – No
Majority of people infected with Zika virus do not develop symptoms and even those who are symptomatic develop only mild symptoms lasting for 2-7 days. 
India is endemic for dengue, therefore, the health system is well geared to manage and respond to any unprecedented surge in Zika cases, which has almost similar presentation as dengue.
There is an increased risk of neurologic complications associated with Zika virus infection in adults and children, including Guillain-Barré syndrome, neuropathy and myelitis. Although the current evidence available from the previous Zika outbreaks in the country, has not shown any conclusive evidence on Zika induced microcephaly.
Therefore, the risk has been classified as low for serious public health impact.
This is for info and na pls.” 21 Sptember: TC proposed for 22 September to WCO for further agreement on the EIS.22 September: 3LTC held.Outputs -
Ritu will send to outbreak the EIS with comments from the NFP an update of the situation. Diana and Lidia will compile the information and update the EIS, they will circulate the EIS with SEARO and CO for final clearance (we will not go through IHR NFP) Agreed to have: *no" to IHR criteria #1 but nuanced text, an updated description of the situation, a DON will follow. Reassess the situation in a couple of months. Emilie has sent the EIS guidance to Ritu. Need trainings on RA and EIS: Lidia and Emilie to see what is feasible. On 24 September  meeting held. Training materials are being prepared by LIdia in the week of 27 september. 27 September: TT shared with the RO and WCO group the preprint article for the Zika event. 29 September escaleted to the SM. 30 September: RED contacted / 4 October: EIS posting is cleared but not posted yet because of the EIS technical issues / 5 October: EIS posted
 </t>
  </si>
  <si>
    <t xml:space="preserve">12 July: email sent to SEARO and TT to informaly assess the situation / 15 July: email received from TT with additional information, the situation is concerning, we need RRA and EIS. After the TC on 16 July, there is no need for RRA at the moment. </t>
  </si>
  <si>
    <t>Etsub</t>
  </si>
  <si>
    <t>No RRA</t>
  </si>
  <si>
    <t>Comments from IHR secretariat received from Fernando on 14 June. Further guidance on how to proceed pending from LEG. Reminder sent to LEG on 17 June, Input received from LEG on 18 June. Reminder sent to LEG for the guidance on the way how to get a consultation for the document. A follow up meeting with LEG and IHR conducted on 23 June. Pending LEG’s advice on how to proceed with this 23 June / 28 June: LEG replied, they are exploring how to proceed with IHR NFP consultation / 29 June: LEG replied: they will consult with the with relevant officials on 30 June / published on 2 July</t>
  </si>
  <si>
    <t>we don’t know how to proceed with NFP consultation, LEG does not reply. LEG is going to reply by COB 1 July 2021. LEG gave a green light for posting. It will be posted on 1 July.</t>
  </si>
  <si>
    <t>Lida/Elvis</t>
  </si>
  <si>
    <t>2021-E000046</t>
  </si>
  <si>
    <t>Proposal for an RRA sent to AFRO on 15 June. AFRO agreed to the proposal on 16 June. Awaiting approval from WCO. Drafted by CO, shared with AFRO, should be shared with HQ on 29 June/29 July: RRA shares with HQ/30 July: HQ adds inputs and disseminates to TT/01 July: TT adds inputs/02 July: Version from HQ+TT sent back to AFRO. Feedback expected by COB on 05 July. / 7 July: sent back to AFRO, still waiting for CO update (reminder sent on 6 July)/ 9 July: waiting for AFRO's feedback / 12 July: reply from CO / 13 July: reply recieved from WCO &amp; AFRO, reshared with Emilie for review/14 July: to share with TT for review/16 July: RRA sent back to AFRO and WCO to address pending comments / 19 July: Feedback expected by COB Monday 19 July / 20 July: WCO and AFRO shared revised version. Risk level at national level assessed as HIGH /21 July: To share consolidated version with Esther for clearance by COB. / 23 July: disseminated</t>
  </si>
  <si>
    <t>5 July: no EIS planned / 19 July: EIS planned after RRA is completed/27 July: initiated discussions on the EIS. AFRO suggested to contact WCO to get their opinion before proceding with the draft EIS in French and English. Initial draft (french and english version) shared by AFRO on 3 August. Inputs reuested from HQ TT by 1pm on 4 August.Shared back with AFRO on 5 August. Final consolidated draft EIS recieved from AFRO on 9 August. Following final clearance sent back to AFRO for NFP consultation on xx August/12 August: WCO&amp;AFRO addressed comments/13 August: Final cleared version sent to AFRO for NFP consultation./18 August: Remider regarding the NFP concurence sent to AFRo. Reminder sent on 20 and 24 August. Folllow up sent on 26 August. /27 August: EIS posted. Reminder sent to AFRO on 30 August for the french version of the EIS. Reply received on 31 Agust that they will share soon.</t>
  </si>
  <si>
    <t>MOH was busy with the pilgrim season in the last two weeks</t>
  </si>
  <si>
    <t>18 june: sent back to Ros for NFP consultation/19 June: published</t>
  </si>
  <si>
    <t>Lidia/Anastasia/Elvis /Etsub</t>
  </si>
  <si>
    <t>2021-E000167</t>
  </si>
  <si>
    <t xml:space="preserve">21 June: Will start the process / 23 June: RRA shared by CO to AFRO and HQ / 24 june, AFRO provided inputs and shared with HQ. HQ then shared with TT. TT provided comments same day/25 June, HQ shared RRA with AFRO/28 June: comments received from WCO, AFRO feedback is pending / 29 June: AFRO provided inputs and changed level of risk of event spreading at national and regional level from moderate to high/2 July: Amended version shared with AFRO and WCO/3 July: WCO accepted changes / 5 July: waiting for AFRO greenlight / 7 July: more comments from Esther, needs to go back to AFRO and CO / 8 July: Finalized and distributed </t>
  </si>
  <si>
    <t>21 June: need one/ EIS to be drafted immediately RRA is completed/ 9 July: HQ is drafting the EIS/ 14 July: EIS drafted by HQ and shared with  TT, inputs from TT are received/ 15 July: shared with AFRO and CO for comments (deadline for tomorrow)/ 16 July: CO shared comments, reminder sent to AFRO/16 July: Revised version sent back AFRO after receving input from WCO. AFRO is expected to share with IHR NFP for consultation if there is no outstanding comment/ 20 July: reminder sent to AFRO /21 July: AFRO responded to indicate they will share with NFP for consultation /23 July: EIS has been shared with IHR NFP and is pending feedback from the NFP/ 23 July: Final EIS for posting shared by AFRO./26 July: EIS published.</t>
  </si>
  <si>
    <t>20 June: sitrep received, dengue confirmed by RT PCR/latest line as of 29 June recieved on 02 July 2021</t>
  </si>
  <si>
    <t>Etsub/Elvis/Plummer</t>
  </si>
  <si>
    <t>2021-E000235</t>
  </si>
  <si>
    <t>12 June AFRO created an EMS/21 June: no / 22 June no / 23 June: EMRO created an EMS</t>
  </si>
  <si>
    <t>18 June: RRA regional AFRO shared with HQ and HQ shared it with EMRO / 22 June Emilie called Aura to accelerate the process/24 June regional draft to be shared with TT / 28 June: input from TT received / 29 June: HQ shared with EMRO and AFRO. Feedback received from AFRO and EMRO on the regional RRA on 1 july from AFRO. A meeting is planned for monday 5 July to discuss on this matter. 3 level TC conducted on 5 July. The document to be consolidated./ 6 July: RRA sent back to AFRO and EMRO with deadline for reply by 3pm GVA time on 7 July./ 7 July: EMRO answer received, AFRO feedback received as well/8 July: Consolidated RRA with inputs from regions shared with Esther for clearance/09 July: RRA finalized and disseminated</t>
  </si>
  <si>
    <t xml:space="preserve">21 June: send it to TT/21 June sent to AFRO (for Ethiopia) -&gt; we don't know when it will be shared with the CO, TC planned on 24 June? / 22 June: AFRO shared the response from WCO, not ready to be published / 30 June: EIS received from AFRO with IHR NFP inputs but important pending questions to be addressed. PHI contacted Carmen and Eric Berterat. Also additional information shared by FAO through Pierre F (camel and human not at the same geo location and probable diagnostic for human is anthrax) / 2 July: EIS shared with AFRO. On 5 July, additional input recieved from WCO and the EIS will be consolidated. / 6 July: EIS sent back to AFRO for reply and possible onward IHR NFP consultation / 7 July: the EIS is probably with IHR NFP. Reminder sent to AFRO on 13 July./ 16 July: EIS posted </t>
  </si>
  <si>
    <t>22 June: Somalia still denying the event; Event open in GLEWS; communication with GLEWS happening in outbreak / 23 June: no lab results, no clear description of the cases in terms of time, place, person/ 24 June: TC with WCO and AFRO, no significant update, Available docs to be shared with AFRO and HQ. 5 July 2 level meeting with HQ TT, AFRO and EMRO.</t>
  </si>
  <si>
    <t>16/06/2021 17/06/2021</t>
  </si>
  <si>
    <t>Avian Influenza A (H3N2) v</t>
  </si>
  <si>
    <t>18 June: PAHO shared draft/20 June PHI sent it back to PAHO with inputs from TT/21 June: PAHO shared it with IHR NFP, on 22 June EIS has been published</t>
  </si>
  <si>
    <t>Plummer</t>
  </si>
  <si>
    <t>12 July: Not Planned</t>
  </si>
  <si>
    <t>8 July: email sent to TT and Emilie to provide feedback / 9 July: draft sent to WPRO / to be sent to China NFP by WPRO/ 12 July: WPRO sent it back to HQ /  13.07.21: consolidated document recieved awaiting clearance from Esther prior to publishing, published 6.47pm</t>
  </si>
  <si>
    <t>WPRO opened EMS 8 July 2021; EIS Published</t>
  </si>
  <si>
    <t>14 July: Not planned</t>
  </si>
  <si>
    <t>14 July: First draft circulated for review with TT with a deadline by COB . Revised draft sent back to WPRO on 14 July 19 july: still with WPRO, a reminder was sent to WPRO and to IHR NFP /22 July: EIS is published</t>
  </si>
  <si>
    <t>Anastasia/Dunja</t>
  </si>
  <si>
    <t>12 July: Not planned</t>
  </si>
  <si>
    <t>8 July: check with EMRO if needed / 12 July: EMRO is drafting /27 July reminder sent to EMRO/28 July/9 August/10_ EMRO replied will follow up with NFP . On 11 August agreenment to draft a new EIS with infor from MOH , 48 h for NFP concurence. On 11 sharered by EMRO, 12 HQ inputs/ 15 EMRO tt inputs. on 16 EMRO cleared and EIS published</t>
  </si>
  <si>
    <t xml:space="preserve">9 July waiting for EMRO reply. 16 July: we can wait until Dujna's return from vacation </t>
  </si>
  <si>
    <t>Monkeypox</t>
  </si>
  <si>
    <t>18 July: not planned</t>
  </si>
  <si>
    <t>18 July: draft sent by PAHO and First draft circulated for review with TT with a deadline by 2 pm 19 July. /19 July: revised draft shared back with PAHO and PAHO has shared it with US IHR NFP for consultation. /21 July: final version of the EIS shared by PAHO. AFRO has been requested to confirm if the document has been shared with Nigeria NFP. Currently, it is pending final clearance and AFRO confirmation for posting. /21 July: EIS is published.</t>
  </si>
  <si>
    <t xml:space="preserve">19 July: sent an email to AFRO to follow up   as this is the second exported case from Nigeria in a short time period / 19 July: we need to give a heads up to the Nigeria IHR NFP </t>
  </si>
  <si>
    <t>21 June published</t>
  </si>
  <si>
    <t xml:space="preserve">•	22 July 2021: we need an EIS, SEARO will draft it./11 August, NFP concurred version recieved. EIS cleared by HQ and posted
•	24 July: draft from SEARO received and shared with HQ TT
•	26 July the draft EIS reviewed by HQ and sent back to SEARO, WCO in Cc. 
•	On 28 and/30 July , reminder sent to SEARO, the EIS still pending with MoH/ 4 and 6 August sent reminder to SEARO, no reply 
</t>
  </si>
  <si>
    <t xml:space="preserve">Reminder for 24h reply included </t>
  </si>
  <si>
    <t>Plummer/Anastasia</t>
  </si>
  <si>
    <t xml:space="preserve">22 July: need to update / 22 July: Nigeria WCO agreed to the update, AFRO to initiate draft development/ 27 July: AFRO and CO provided their contributions on the RRA draft. / 28 July: With TT and Emilie for review with a deadline 2 pm 29 July / 4 August: TT comments received, more information is expected from the TC scheduled for 4 August to be added to the RRA. Draft with compiled HQ comments shared with AFRO and CO. Deadline - COB Thursday / 10 August: RRA v2 finalized and distributed </t>
  </si>
  <si>
    <t>12 August: EIS proposed to AFRO / 20 August: AFRO and WCO are drafting the updated EIS and will share with us / 24 August: draft with inputs from WCO shared by AFRO. Sent to TT for comments, deadline - today / 25 August: shared with AFRO for NFP concurrance / 31 Aug: NFP concurrance received, to be posted today/ 1 Sept: EIS published</t>
  </si>
  <si>
    <t>Plummer / Dunja</t>
  </si>
  <si>
    <t>22 July 2021: WPRO shared draft with us/ 23 July: PHI and TT provided comments, document sent back to WPRO for NFP concurrence/ 29 July: WPRO still waiting for IHR NFP/ 3 Aug: received cleared document from WPRO, cleared and published to EIS</t>
  </si>
  <si>
    <t>to be included</t>
  </si>
  <si>
    <t xml:space="preserve">Hepatitis E </t>
  </si>
  <si>
    <t>2021-E000297</t>
  </si>
  <si>
    <t>3LTC  held on 11 August. WCO continues to advocate with the MoH for an EIS, although at this stage would be challenging. Agreement accross the 3 levels on initiating a RRA. EMRO/WCO started the draft on 12 August.Reminder sent on 16 August and EMRO replied that the RRA was dratfted , but were waiting for additinal inputs form the TT side and will be shared shortly. Initial RRA draft received on 18 August. Distributed at HQ level for review with deadline 11AM, on 19 August. Shared back with SEARO on 20 August. 3LTC scheduled on 20 August at 13PM.  Following the 3LTC on 20 August, the comments in the RRA draft are pending to be adressed by WCO and EMRO. There is a discussion regarding re-including the SAGE recommendation and Alex will work on it as well. Aura will check with Rick Brennan regarding the grading, as it was insisted by WCO. HQ was not in favor. Final feedback from HQ received on 23 April. Follow up email sent to EMRO on 24 August, to furher share the final consolidated version and proceed with the finalisation. Disseminated on 25 August 2021</t>
  </si>
  <si>
    <t>28 July: we need an EIS. Proposition for EIS sent to EMRO on 29 July. Reminder sent on 2 August. EMRO replied that they are gathering further information. Reminder sent on 5 August and reply  received from WCO , proposing a short TC for 6 August."The situation is challenging!  There was due to be a meeting between all parties today to sort out the problem, but in the meantime we have limited updates".Another parallel meeting is being planed for the week of 9 August.
3LTC  held on 11 August.WCO continues to advocate with the MoH for an EIS, although at this stage would be challenging. Following the 3LTC , agreement to have an EIS  following the RRA. Remider sent to EMRO on 30 August. Feedback received form EMRO on 31 August that they will start the EIS draft. EIS draft shared by EMRo on 2 September. Further inputs provided by HQ and circulated back to EMRO on Saturday, 4 September. Follow up with EMRO on 6 September. EMRO is consolidating the draft and will share back ASAP . On 8 September a gentle reminder sent to EMRO.15 September : follow up email sent. EIS received the same day with the NFP conncurrence. 16 September:Cleared draft EIS  shared back with EMRo for courtesy. Deadline 3 PM for posting. EIS published 16 Sept 2021</t>
  </si>
  <si>
    <t>2021-E000287</t>
  </si>
  <si>
    <t>5 August, received draft from AFRO/ 7 August finalized and distributed</t>
  </si>
  <si>
    <t>5 August the draft shared with Esther for review before sending to AFRO and TT/7 August EIS sent to NFP / on 8 email followup sent to AFRO / 8 August published</t>
  </si>
  <si>
    <t>Without NFP concurence</t>
  </si>
  <si>
    <t>Elvis</t>
  </si>
  <si>
    <t>9 August: Draft EIS shared by WHO with PHI-HQ/10 August: PHI shared draft with TT for inputs. Feedback expected by COB/10 August TT feedback recieved and inputs shared with WPRO for NFP concurrence</t>
  </si>
  <si>
    <t>Dunja/Plummer/Anastasia</t>
  </si>
  <si>
    <t>2021-E000293</t>
  </si>
  <si>
    <t>10 August first draft of RRA shared by WCO/12 August: HQ inputs shared, AFRO inputs shared / 17 August: finalized and distributed</t>
  </si>
  <si>
    <t>19 August: first draft shared by AFRO, sent to TT for comments with a deadline today COB/ 20 Aug: Word document copy shared with AFRO for NFP concurrence/ 23 August: reminder sent to AFRO and CO / 25 August: another reminder sent to AFRO and CO. AFRO replied that EIS is still with NFP, CO is in contact with NFP. / 30 Aug: another reminder sent. CO is following up with NFP./ 2 Sept: updated EIS document received and published</t>
  </si>
  <si>
    <t>Dunja/Elvis</t>
  </si>
  <si>
    <t>Cote D'Ivoire</t>
  </si>
  <si>
    <t>2021-E000300</t>
  </si>
  <si>
    <t xml:space="preserve">14 August: RRA drafted/15 August: draft RRA shared with all levels, reviewed, finalized and disseminated </t>
  </si>
  <si>
    <t>15 August: EIS drafted and shared with all level. Pending lab details1/16 August: published as suspected case, received the green light from Soce. Oliver reviewed the final EIS./31 Aug a new EIS drafted /1 Sep, shared with Oliver, published</t>
  </si>
  <si>
    <t>EVD negative</t>
  </si>
  <si>
    <t>Not planned</t>
  </si>
  <si>
    <t>13 August, a new, additional casebreported, household contact of the confirmed case7 EIS drafted by WPRO, on the same day Dunja contacted WPRO asking for merging 2 cases in 1 EIS ( given that previous EIS was not yet concurred by NFP). /14 August a new EIS for both cases received from WPRO,  on the same day HQ provided feedback and sent it back to WPRO. /17 August reminder sent to WPRO /18 August received EIS and published</t>
  </si>
  <si>
    <t>EIS with NFP</t>
  </si>
  <si>
    <t>Elvis  and lidia</t>
  </si>
  <si>
    <t>2017-E000279</t>
  </si>
  <si>
    <t>14-Sept-2017 first created; updated on 17-Sept-21</t>
  </si>
  <si>
    <t>Initial draft RRA recieved by AFRO on 18 August. Shared with the TTs at HQ for review on 18 August, with deadline by 11AM on 19 August. 25 August : disseminated</t>
  </si>
  <si>
    <t>To be discussed with AFRO, following the RRA. Posted on 17 September 2021</t>
  </si>
  <si>
    <t>https://ems.who.int/Event/eventSummary.aspx?eid=2017-E000279</t>
  </si>
  <si>
    <t>21 Aug 21: draft EIS shared with TT for review with deadline by COB 23 Aug / Concurred by NFP and ready for publishing  25 Aug</t>
  </si>
  <si>
    <t>Dunja/Ryo</t>
  </si>
  <si>
    <t>23 August: EIS and an official IHR notification received on late nigh . /24 August EIS shared with TT at HQ, reqested feedback by COB on 24 August.Sent to WPRO/ 25 August Kat additional question sent by email to WPRO /27 August, WPRO contacted follow up on the  status  of the EIS/ 30 August published?</t>
  </si>
  <si>
    <t xml:space="preserve">EIS published but no one received alert email, Ryo contacted Johannes </t>
  </si>
  <si>
    <t>2018-E000214</t>
  </si>
  <si>
    <t>RRA proposed on 24 August 21. Conversation held with Valerie on 26 August. Initial  RRA draft shared by AFRO on 30 Aug 21. Feedback provided by HQ on 1 September. Comments addressed by AFRO on 3 September. Pending WCO comments. Reminder sent on 4 and 6 September. WCo providedcomments on 6 September. Consolidated RRA draft sent across the 3l for further agrrement and  finalisation. 8 september, RRA distributed</t>
  </si>
  <si>
    <t>7 Sept: EIS box checked in the RRA draft. Pending furter agreement by AFRO and WCO. Email sent to AFRRO. No reply. 15 September : follow up email sent.16 September: EIS initial draft shared by AFRO. Under review at HQ.17 september: Sent back to AFRO with additional comments. / 18 Sep: comments provided by WCO South Sudan.20 September:Consolidated draft sent back to AFRO for NFP accuracy check.26 September: Reminder sent to AFRO and WCO. WCO has follwed up with the NFP. 29 September: WCO shared the EIS draft that was concurred bythe NFP. Shared for final clearance before posting.29 September: EIS concurrence received 30 September: EIS posted</t>
  </si>
  <si>
    <t>31 August received NFP notification and EIS draft/ 31 August back to WPRO / 2 Aug received and published</t>
  </si>
  <si>
    <t xml:space="preserve">Plague </t>
  </si>
  <si>
    <t>2021-E000322</t>
  </si>
  <si>
    <t>2 Sept: first draft of the RRA received by AFRO / 3 Sept: RRA updated by CO , circulated among TT and HQ/ 4 Sept: RRA finalised and disseminated</t>
  </si>
  <si>
    <t>3 Sept: need t o start the process of the EIS/5 Sep AFRO confirmed , they will initiate the first draft/ 8 September received EIS draft from AFRO./ 9 September: comments from TT and HQ received / 9 Septmber: EIS sent back to AFRO/ 14 Sep reminder sent to AFRO and WCO/ 17 Sep reminder sent to WCO / 18 Sep: WCO and AFRO shared the EIS updated by NFP. Shared with Dunja, Esther and Emilie for clearance. EIS is currently in French only. /20 september: EIS cleared by Emilie with additional questions to send back to AFRO for clarifications and answers./ 20 september: AFRO answered the questions / 21 September: final clearance done by Emilie. Posted.</t>
  </si>
  <si>
    <t>Dunja/Anastasia</t>
  </si>
  <si>
    <t>2021-E000323</t>
  </si>
  <si>
    <t>06 Sept: RRA is drafted by SEARO colleagues./ 08 September: RRA draft shared with HQ and sent back to SEARO with commnts. Deadline for finalisation on 10 Sept.10 September: Inputs received from SEARO and WCO. Consolidated draft with the table for the agreement annd finalisation, instead of 3LTC sent back to SERAO and WCO.12 September: Further inputs received bt SEARO. Pendinf WCO feedback./ 13 Sep SEARO propose moderate risk at Sub National level, HQ agree /14 Sep WCO agree on all proposed risk levels , RRA sent to Esther for review before distribution./ 15 September waiting Esther approval fro RRA distribution /15 September published</t>
  </si>
  <si>
    <t xml:space="preserve">06 Sept: EIS drafted by PHI HQ and shared with TT. / 07 Sept: EIS shared from HQ to SEARO/10 September: Reminder sent to SEARO regarding the EIS status/13 WCO confirmed EIS with NFP/ 15 September Reminder sent to WCO, at morning by Dunja and afternnon by EMILIE.20 September / 21 Sep: draft EIS received with edits from NCDC. Sent for final clearance to Esther. Published on 21 Sep. </t>
  </si>
  <si>
    <t>1 confirmed case, 2 HCW symptomatic, As of now 188 people are in quarantine including 136 Health Workers (from both the private hospital and Medical College) and 5 close family contacts.</t>
  </si>
  <si>
    <t>Lidia/Ryo/Elvis</t>
  </si>
  <si>
    <t>Undiagnosed disease - suspected Meningitis</t>
  </si>
  <si>
    <t>2021-E000303</t>
  </si>
  <si>
    <t>10 August, agreed among all 3 levels. Deadline to WCO to share the initial draft with AFRO and HQ on 12 August by 1PM. Reminder sent on 13 , 16 and 17 August. Initial draft RRA finally recieved from the WCO on 17 August and shared within HQ for review the same day with deadline COB on 17 August. No feedback received as per 18 August. Feedback received on 19 August. Cosolidated draft shared back with AFRO and WCO on 19 August. AFRO sent back to WCO on 20 August to address the pending comments. Final feedback received from WCO on 25 August./27 August: RRA finalized and distributed.9 September: RRA v.2 shared by AFRO at the evening. To be finalised by 13 September, prior to the grading call scheduled the same day. 13 September: finalised and ditributed.</t>
  </si>
  <si>
    <t>19 August: EIS has been checked in the box of the RRA, pending agreement from the 3LTC./27 August: EIS agreed / 5 September: EIS received from AFRO and shared with HQ with deadline by noon on 6 September  (on Monday, 5 September, lab results received from IPP - N. meningitidis W). 8 September, eis draft shared back with AFRO. 9 September, AFRO shared with WCO to address  the comments. 10 September :clean version shared back to AFRO for furthre NFP concurrance. 12 September- EIS posted</t>
  </si>
  <si>
    <t>Elvis/Dunja</t>
  </si>
  <si>
    <t>8 September: Recieved notification and draft EIS from WPRO: Shared EIS with TT for inputs. 9 September&gt; sent back for NFP concurrence .13 September. received  from the NFP for posting</t>
  </si>
  <si>
    <t>15 September: EIS draft received from WPRO and shared with TT/ 15 September EIS back to WPRO/Sep 16 published</t>
  </si>
  <si>
    <t>feedback reqested by 3 PM , 15 Sept</t>
  </si>
  <si>
    <t>15 September: EIS draft received from WPRO and shared with TT/ 15 September EIS back to WPRO/ 16 Sep published</t>
  </si>
  <si>
    <t>13 September: need an EIS for the end of the outbreak; EIS sent to HQ and TT for feedback on 14 September/14 Sep EIS sent to AFRO/ 15 September reminder sent to Afro/16 published</t>
  </si>
  <si>
    <t>the end declaration on 16 September</t>
  </si>
  <si>
    <t>2021-E000343</t>
  </si>
  <si>
    <t>22 September 2021: we need an RRA./24 September: RRA will be initiated by HQ; drafted by HQ and shared with TT / 1 October: EMRO shared comments. Need to go back to EMRO as information is still missing / 5 October: reviewed draft shared with EMRO / 7 October: a reminder was sent to EMRO / 11 October: RRA call is planned for 12 Oct / 13 October: updated RRA is with EMRO for Pierre's clearance / 15 October: RRA cleared and distributed</t>
  </si>
  <si>
    <t>13 September:  EIS received from EURO/ 15 September: HQ colleagues provided comments, document returned to EURO colleagues./ 16 September: EURO shared cleaned document with NFP for clearance.21 September: EURO shared the consolidated draft. Sent for final clearance / 22 Septembre: posted on EIS</t>
  </si>
  <si>
    <t>Plummer/Dunja</t>
  </si>
  <si>
    <t>23 September: Initial EIS draft shared by WPRO. Circulated for review at HQ/ published on 27 September</t>
  </si>
  <si>
    <t>27 Sep received notification for 2 cases and draft EIS . HQ feedback sent back to WPRO on 27 Sep/ 29 EIS received from WPRO, approved and published</t>
  </si>
  <si>
    <t>28 Sep received notification and the draft EIS. HQ feedback expected by CoB/28 September the EIS with HQ feedback sent back to WPRO/30 Sep, received EIS , cleared and published</t>
  </si>
  <si>
    <t>Avian influenza A (H1N2) v</t>
  </si>
  <si>
    <t>29 September: EMS open by EURO where they say they asked the notification from IHR NFP / 30 September: HQ contacted EURO and requested EIS/ 2 October ( sat at 6.45 PM) received draft EIS from EURO/ on Sun 3 Oct shared EIS with TT, feedback reqested by 1PM , 4 Oct/ 4 Oct EIS sent to EURO / 6 October: Austria NFP replied to EURO with comments on EIS draft and added information. EURO shared the final draft with HQ for consolidation of comments, finalization and posting. 7 October published</t>
  </si>
  <si>
    <t>EURO waiting NFP official confirmation to drafting the EIS</t>
  </si>
  <si>
    <t>Dunja/Etsub</t>
  </si>
  <si>
    <t>cVDPV2</t>
  </si>
  <si>
    <t>2021-E000352</t>
  </si>
  <si>
    <t>12 October 2021: Yes, EURO is drafting. /15 October 2021: First draft received for review. The draft has been circulated with TT for review with deadline by COB 18 October./20 Oct 2021: Revised clean draft shared back with us./ 21 October 2021: RRA distributed</t>
  </si>
  <si>
    <t>4 Oct, EURO informed NFP that EIS is needed/4 Oct waiting NFP reply 4 Oct, EURO informed NFP that EIS is needed/ 8 October EIS is being drafted by EURO and is under review by EURO polio TT. A consolidated version to be shared with HQ PHI for review/ 11 October: draft EIS shared with us and is currently under review by PHI.The revised draft shared back with TT and EURO. /12 October 2021: cleaned EIS with pending question shared with IHR NFP for accuracy check./13 October 2021: There is an ongoing discussion on the classification of the case between EURO and IHR NFP. Pending clarifying this issue to proceed with the final posting. /14 October: EIS is published.</t>
  </si>
  <si>
    <t>2 Oct received the draft EIS from WPRO/ the link to EIS draft document stored at sharepoint shared with TT for feedback by 1 PM  4 Oct/ 4 Oct EIS sent back to WPRO/11 Oct received NFP concurrence and published</t>
  </si>
  <si>
    <t>to be reported on 9 AEM on Monday 4 October</t>
  </si>
  <si>
    <t>2021-E000305</t>
  </si>
  <si>
    <t>5 Ocotber: email sent to PAHO to ask whether we need one.6 Oct: to be initiated by PAHO. 7 October: Initial draft shared by PAHO and sent for review at HQ. 8 October: shared back with PAHO / 9 October: PAHO shared comments.11 October: Under final clearance. 12 October- RRA distributed.</t>
  </si>
  <si>
    <t>5 Ocotber: email sent to PAHO to ask whether we need one. 6 Oct: to be initiated by PAHO. 7 October: initial darft shared by PAHO and revewed at HQ. Sent back to PAHO with pending comments and for NFP concurrence. / 9 October: received from PAHO ready for posting. Shared with Esther for final clearance. / 10 October: EIS cleared for posting and posted</t>
  </si>
  <si>
    <t>Ryo</t>
  </si>
  <si>
    <t>Poisoning with bleeding linked to illegal drugs</t>
  </si>
  <si>
    <t>An EIS announcement draft shared by EURO on 14 Ocotber. Shared back to EURO with HQ inputs and comments on 15 October. Waiting for EURO's feedback for our final clearance./17 October 2021: EURO shared with Bonn office for addressing one pending question (recommendation for public and clinicians) but no success. It is currently with HQ TT (susbstance abuse team) for possible feedback on this. If no feedback, EURO is in agreement to proceed with the posting with the available information./No feedback from substance abuse team for the pending question. After final clearance, the EIS annoucement was publised on 18 October.</t>
  </si>
  <si>
    <t>2021-E000357</t>
  </si>
  <si>
    <t>13 December: suggestion to have an EIS for the declaration of the end of the outbreak was sent to AFRO. AFRO replied that they will provide the first draft by COB 14 December. / 14 December: AFRO provided first draft. HQ PHI and TT commented/ 15 December: EIS with HQ comments shared with AFRO</t>
  </si>
  <si>
    <t xml:space="preserve">Anastasia </t>
  </si>
  <si>
    <t xml:space="preserve"> 9 October: AFRO darfted, HQ provided comments / 10 October: published</t>
  </si>
  <si>
    <t>9 October: drafted by HQ and shared with AFRO and CO for addressing the questions and sharing with NFP / 10 October: finalized and distributed</t>
  </si>
  <si>
    <t>17 October: first draft shared with TT for review with deadline by COB 18 October./ 19 October sent to WPRO/ 27 October received the EIS from WPRO, after Esther clearance has been published</t>
  </si>
  <si>
    <t>06 October: notification received from WPRO / 6 October: shared with TT for review, deadline - 13:00 on 7 October. / 7 Oct at 4.30 PM shared with WPRO / 8 October: WPRO shared with NFP. /17 Oct 2021: final version of the EIS received from WPRO after NFP concurrence. This is to be posted pending final clearance./18 October Published</t>
  </si>
  <si>
    <t>Etsub/Elvis/Anastasia</t>
  </si>
  <si>
    <t>2021-E000363</t>
  </si>
  <si>
    <t>https://ems.who.int/Event/eventSummary.aspx?eid=2021-E000363</t>
  </si>
  <si>
    <t>27 Dec 2021: Regional RRA for cholera including an update on Benin has been published and there is no need for a separate RRA.</t>
  </si>
  <si>
    <t>27 Dec 21: Decision made to have an EIS on cholera in Benin following the finalization of the regional cholera RRA/6 Jan 22: A revised version sent back to AFRO/ 5 Jan: Draft EIS shared by AFRO/6 Jan: Draft EIS with HQ inputs shared with AFRO for review and NFP concurrence. /13 Jan 22: Reminder sent to AFRO. AFRO responded to say they are still waiting to hear from IHR NFP./19 Jan 22: Reminder sent to AFRO./21 Jan 22: EIS is published.</t>
  </si>
  <si>
    <t>2021-E000366</t>
  </si>
  <si>
    <t>Received a draft from EMRO on 3 November (Due to military coup no internet network with WCO and all data are as of 16 October)/ RRA draft with HQ feedback sent to EMRO on 4 November/ 9 November  3LTC. WCO will update RRA and share back/10 November consolidated final version sent by EMRO for HQ inputs by 10 am ,11 November/ 11 Nov sent back to EMRO to finalize the RRA/ 19 Nov Reminder to finalize the RRA sent to EMRO / 21 November: EMRO shared consolidated draft for our review in case we have additional inputs. Deadline - 10 am Monday /22 November, the RRA sent back to EMRO / 23 November: EIS received back from EMRO/24 November published</t>
  </si>
  <si>
    <t>Already discussed and received an email from WCO. The EIS is not recommended due to the current state of emergency in the country and arrests.</t>
  </si>
  <si>
    <t xml:space="preserve">2021-E000253 </t>
  </si>
  <si>
    <t>10 Nov. /3LTC meeting and further updates provided on UP state and lab. testing, entomological surv, and specific needs expressed by WCO. Further to this statements it was agreed to go ahead with the RRA. SEARO will share the first draft RRA following the EIS (the week of 15 Nov). / 18 November: SEARO shared the first draft. / 19 Nov: RRA sent back to SEARO. 25 Nov/ SEARO sent the compiled draft , downgrading rge risl at regional level from moderate to low. 26 Nov/ Agreement with the TT and a request sent to SEARO for further justification of the level of risk. 29 Nov/ reminder sent to SEARO</t>
  </si>
  <si>
    <t xml:space="preserve">Yes </t>
  </si>
  <si>
    <t>3 Nov/PHI requested SEARO to have an update of the EIS  that was published on 5 Oct, as there is a new province affected. 10 Nov/ a 3LTC held. RO will share the first draft by 11 Nov. 12 Nov/ EIS shared by SEAR / 15 November: EIS was published</t>
  </si>
  <si>
    <t>4 Nov/ Agreement on upating of the EIS pending since the request for information was sent on 29 Oct.</t>
  </si>
  <si>
    <t>11 October received notification and EIS draft, shared with TT, document sent back to WPRO for NFP concurrence 12-10-21/ 22 Oct, WPRO sent reminder to NFP but no reply/27 October received the EIS from WPRO , after Esther clearance has been published</t>
  </si>
  <si>
    <t xml:space="preserve">2021-E000352 </t>
  </si>
  <si>
    <t>N/A</t>
  </si>
  <si>
    <t>5 November/ revised EIS after input from TT and PHI has been finalized and shared with IHR NFP for accuracy check. 8 November/ EURO sent another email to IHR NFP asking if it will be ok to post it if there is no response by COB 8 November. No response so far and deadline assumed to be by COB./ 8 November received conncurence by NFP, forwarded to Esther for clearance before posting. /10 November 2021: EIS was published.</t>
  </si>
  <si>
    <t>4 November 2021/ Agreement on updating the previous EIS due to the geographical expansion of the outbreak and detection of more cases</t>
  </si>
  <si>
    <t>Kaja</t>
  </si>
  <si>
    <t>2018-E000340</t>
  </si>
  <si>
    <t>29 October: WPRO shared IHR notification and the first EIS draft. EIS draft is shared with TT for review with a deadline COB 29 October. Aspen and Magdi commented. EIS sent back to WPRO. / 1 November-request sent to WPRO to reconfirm the onset of ilness of the fist case  (29 August 21 ) and the reason behind the delay following a request at the 9AEM by the SM and comms. / 2 November: WPRO shared EIS concurred by NFP for posting and clarified the outcome of the August case (died on 26 Sep). Shared with Esther for her clearance. EIS cleared but not posted because of the technical issues with EIS.</t>
  </si>
  <si>
    <t>2021-E000378</t>
  </si>
  <si>
    <t>29 October 2021: RRA agree between the 3 levels. WCO to provide the first draft with the support from AFRO. / 1 November: WCO shared the first draft / 2 November: Draft with HQ comments shared with AFRO. TT shared with AFRO additional comments in a separate email. / 5 November: AFRO shared the draft received from WCO with additional edits.</t>
  </si>
  <si>
    <t>11 Nov/ First draft shared by AFRO and distributed for comments at HQ. /12 Nov: Draft EIS sent to AFRO with HQ comments for review and NFP concurrence. /16 Nov: Reminder to revert with concurred EIS sent to AFRO./24 Nov: NFP concurred version shared with HQ/29 Nov: EIS cleared at HQ and published.</t>
  </si>
  <si>
    <t>Anastasia, Ryo</t>
  </si>
  <si>
    <t>2021-E000338</t>
  </si>
  <si>
    <t>3 November: during 3LTC on cholera outbreak it was decided to start RRA. WCO will prepare and share the first draft. / 5 November: AFRO shared first draft for comments with a deadline 8 October. Shared with cholera TT with a deadline - 3pm on Monday, 8 October. / 7 November: WCO shared additional inputs/9 November: Shared the first draft back with AFRO with HQ inputs and comments./ 12 November, condolidated version received from AFRO and shared with TT./ The 3LTC will be held on Monday, 15 November, at 3:30 pm (Brazaville time)  to finalize the RRA./ 15 November: TC was conducted, waiting for AFRO to send the final version / 19 November: with Esther for clearance</t>
  </si>
  <si>
    <t>22 November: AFRO confirmed that they will share the first draft by COB 23 November / 24 November: reminder sent to AFRO / 26 November: HQ provided comments on EIS draft shared by AFRO and sent it back to AFRO to address comments/questions./30 Nov: AFRO and WCO provided input, a consolidated version after PHI and TT review shared back with AFRO for IHR NFP accuracy check./3 December 2021: Reminder sent to AFRO./ 7 December: Another reminder sent to AFRO/ 8 December: reply from NFP received. Cleared by Esther, to be posted.</t>
  </si>
  <si>
    <t>https://ems.who.int/Event/eventSummary.aspx?eid=2021-E000381</t>
  </si>
  <si>
    <t xml:space="preserve">On 5 Nov. request sent. On 8 Nov/new request sent to AFRO.AFRO replied they will initiate the RRA draft and will share the draft on 9 Nov.   with WCO for further inputs. 10 Nov./ Reminder sent to share the draft with HQ as well. 11 Nov/ RRA draft shared with HQ. 12 Nov/ Few feddback provided on the RRA form HQ. Discussion on Regional RRA, further to a signal detected with CAR, that migh be link with the YF in Chad. 13 Nov/ Lab. results from IPD confirm YF (PCR+) 15 Nov/ Discussion with AFRO regarding a Regional RRA. Further agreement at the EYE forum, with other teams at AFRO level. 16 Nov/ Lidia and Elvis will start drafting the RRA at Regional level for at least 7 countries affected. 26 Nov/ 3LTC agreement to have High risk at RL and Low risk at GL. Adhustments made on the draft. Grading call held the same day. 29 No/ RRA distributed </t>
  </si>
  <si>
    <t xml:space="preserve">30 Nov/ EIS announcment for 10 countries in the African region. A draft has been initiated at HQ </t>
  </si>
  <si>
    <t>The column V doesnt allow inluding multiple choice such as IHR notification and EBS and Internal communications , which was the case for the Regional RRA for the YF in AFRO</t>
  </si>
  <si>
    <t>7 November: first EIS draft shared by WPRO shared with TT for comments/ 8 November EIS with HQ feedback back to WPRO /12 Nov received EIS from WPRO for posting / 12 Nov: posted</t>
  </si>
  <si>
    <t>Plummer/Etsub</t>
  </si>
  <si>
    <t>Not entered</t>
  </si>
  <si>
    <t>17 Nov/No</t>
  </si>
  <si>
    <t>17 Nov 2021- AFRO shared update, nine cases reported with no death, cause of the outbreak considered to be the same as last year – seaweed producing a toxin called portimine. /18 Nov 2021: A follow up question sent to AFRO to find out if skin lesion samples sent for orthopox testing to IP Dakar. AFRO responded to say they will reach out to WCO revert to us./23 Nov 21: AFRO responded to say they dont have update and are still waiting to hear from WCO</t>
  </si>
  <si>
    <t>Lidia/Elvis</t>
  </si>
  <si>
    <t>12 Nov/ Under verification. Awaiting for the the additional details from AFRO following a requat sent on 11 Nov.</t>
  </si>
  <si>
    <t>Dunja/Savina</t>
  </si>
  <si>
    <t xml:space="preserve">18 November proposed, waiting AFRO reply/23 November: we sent another email to AFRO to propose to start a RRA; AFRO forwarded reports from Mukedi and Gingu health zone, AFRO interpretation: not so worrying, sample results still pending from INRB. AFRO would wait for more info before proposing RRA/24 Nov: meeting for 26 Nov arranged with AFRO and HQ DVA and TT to discuss / 26 Nov: meeting postponed by AFRO (YF AFRO regional RRA + grading call overload) to Mon (29 Nov) or early same week / 29 Nov: follow up with AFRO to request meeting plan / 1 Dec: meeting takes place, data summary and key qustions discussed / 6 Dec: New field report received / 6-9 Dec: after further discussions between AFRO and TT HQ, AFRO and WCO AFRO event transferred to TT and AFRO to follow up, HQ DVA to provide further support in case new concerning data or new pathogen identified later. </t>
  </si>
  <si>
    <t>16 Nov 21: Awaiting additional details from AFRO/WCO on the 268 deaths reported in Kwilu province, DRC suspected to be malaria /18 Nov 21: AFRO shared investigation reporting confirming that it is malaria./ 23 Nov: Stefan raised at AEM issue that high test positivity may be due to hyper/holoendemic area and malaria can be a co-morbidity of another acute disease, taking into account the high CFR / WCO responded with context on aggravating factors - health worker strike (unavailable health services) + malnutrition/ AFRO responded by sharing reports from Mukedi and Gingu health zones, according to AFRO these reports suggest the situation is not so worrying/ AFRO is following up on details of the report and lab results / Nov 28: EBS indicates INRB results are still pending, entomological survey carried out found 100% Anopheles among captured mosquitoes; high infection with plasmodium among mosquitoes; trophozoites in blood samples both from healthy population and healthcare-seeking patients. / Dec 6: New field report from Gungu HZ shared, strengthening evidence that malaria is chief driver of deaths and providing data over time showing outbreak is not on increase and in some localities on decrease</t>
  </si>
  <si>
    <t>Lidia / Elvis</t>
  </si>
  <si>
    <t>AFRO Regional</t>
  </si>
  <si>
    <t>2021-E000381</t>
  </si>
  <si>
    <t>14 Nov/ YF PCR pos results in Chad conformed by IPD. 15 Nov/Proposition for a Regional YF RRA at the EYS strategy meeting. Consensus with YF FP in AFRO. 16 Nov/ Email with official propositin sent to AFRO and technical FP. Elvis and Lidia started to gater the data, as the RRA draft will be started at HQ level. 17 Nov/ 3LTC with Ghana on YF, updated  information will be incorporated in the Regional RRA, under development</t>
  </si>
  <si>
    <t>2 Dec 21: Draft prepared and circulated at HQ/3 Dec: Draft with comments from HQ shared with AFRO/7 Dec: comments from AFRO received/8 Dec: EIS finalised and published</t>
  </si>
  <si>
    <t>Etsub/Harsh/Plummer</t>
  </si>
  <si>
    <t>2021-E000384</t>
  </si>
  <si>
    <t>18 Nov 21: first draft received, circulated with TT for review with deadline by COB 19 Nov. /22 Nov 21: Shared for final clearance before posting. Published on 22 November 2021.</t>
  </si>
  <si>
    <t>mpox</t>
  </si>
  <si>
    <t>19/11/2021: RRA-No (Cases from Maniema in weeks 44-46 (69) won’t increase national cumulative numbers over baselines for 2019 and 2020 (W1-40 2019 – 4,311; W1-40 2020 – 6,231, W 1-43 2021 – 2,780). Maniema has been affected before (in 2020) - not a new area. CFR is relatively high (17%, 12 deaths), still comparable to highest CFR detected in 2020 outbreak (when overall CFR  since start of 2020 was 3.7% with extremes ranging from 0% in Maniema to 16.6% in Kwilu))</t>
  </si>
  <si>
    <t>Dunja/Plummer</t>
  </si>
  <si>
    <t xml:space="preserve">2021-E000392 </t>
  </si>
  <si>
    <t>18 November sent a suggestion to EMRO to draft EIS, waiting for EMRO confirmation/ 22 November reminder sent to EMRO</t>
  </si>
  <si>
    <t xml:space="preserve">17-Nov-2021, situation update received from EMRO highligting number of cases, deaths and response actions. Dunja proposed EIS and DON as these cases are higher than expected. </t>
  </si>
  <si>
    <t>2021-E000387</t>
  </si>
  <si>
    <t xml:space="preserve">
2021-E000387</t>
  </si>
  <si>
    <t>19 November: the draft shared with EMRO with HQ input. Maria sent to EMRO additional comments.</t>
  </si>
  <si>
    <t>No one from HQ technical team replied</t>
  </si>
  <si>
    <t>Polio - cVPD2</t>
  </si>
  <si>
    <t>2020-E000298</t>
  </si>
  <si>
    <t>23 Nov 21: Sent a suggestion to EMRO to draft EIS/24 Nov: EMRO accepted EIS and proposed HQ assist to draft./25 Nov 21: HQ Polio TT shared first draft, PHI revised and shared it with the TT and EMRO. Deadline for input is by noon 26 November 2021. Reminder sent to EMRO on 26 Nov 21 and EMRO responded that they are waiting for review by TT and clearance from their side and promised to share it soon. /29 Nov: Final version received after IHR NFP accuracy check. Currently, pending final clearance./30 Nov: Published</t>
  </si>
  <si>
    <t xml:space="preserve">27 Nov 21: Draft received from WPRO, sent to TT inputs.The case is a 54-year-old female farmer from Zigong City, Sichuan Province with onset of illness on 17 November 2021. The case was hospitalized on 21 November 2021 and died on 23 November 2021. The case had exposure to a backyard dead poultry. No family members have developed symptoms at the time of reporting.
Following the reporting of this case, there have been 26 human cases of avian influenza A(H5N6) reported from China in 2021. </t>
  </si>
  <si>
    <t>Kaja/Harsh</t>
  </si>
  <si>
    <t xml:space="preserve">30 Nov 21: Draft received from WPRO,received inputs from TT and sent back to WPRO for inputs . The case is a 3-year-old male from Nanning City, Guangxi Province with onset of illness on 15 November 2021. The case was hospitalized on 16 November 2021 with severe pneumonia. The case had exposure to live poultry and  market before illness onset. No family members have developed symptoms at the time of reporting. 
There have been 27 human cases of avian influenza A(H5N6) reported from China in 2021, including this case. </t>
  </si>
  <si>
    <t>Etsub/Anastasia</t>
  </si>
  <si>
    <t>1 Dec 2021: first draft received, circulated for review with TT, deadline for input COB 2 Dec 2021/ 8 Decembe: in discussion with TT to identify the best format of presenting information for each country. TT's feedback is expected today. / 9 December: Draft with HQ comments and inputs shared with AFRO / 14 Dec: discussed with AFRO. They plan to provide the second version by Friday / 21 Dec: second version with HQ comments sent back to AFRO. There are still many disrepancies and questions in the text. AFRO is planning grading on Wednesday 22 Dec. /27 Dec 21: A final revised version shared back with AFRO for checking with Info product and grading propositions. Once this is addressed, the document is ready for distribution. The RRA was disseminated on 27 December 2021</t>
  </si>
  <si>
    <t>7 Jan 22: First draft shared with TT at HQ for review. Once inputs are finalized, it will be shared with AFRO/12 Jan: Draft announcement with HQ inputs shared with AFRO for review/ 18 Jan 22: EIS announcement was published</t>
  </si>
  <si>
    <t>2021-E000402</t>
  </si>
  <si>
    <t>https://ems.who.int/Event/eventSummary.aspx?eid=2021-E000402</t>
  </si>
  <si>
    <t>1 Dec/ AFRO agreed to start an EIS draft. 7 Dec/ Reminder sent to AFRO / 13 Dec: draft with HQ comments shared with AFRO. AFRO shared it with CO for review and further sharing with NFP. 16 Dec/ AFRO sent a reminde to WCO. 22 Dec/ Reminder sent to AFRO</t>
  </si>
  <si>
    <t>22 Dec / email sent to AFRO requesting confirmation for initiating the DON</t>
  </si>
  <si>
    <t>1 dec/ EIS draft shared by AFRO. 2 Dec/ EIS shared ate HQ for inputs. 3 Dec/ EIS shared back to AFRO and WCO. WCo repllied with several comments. 6 Dec/ EIS draft adjusted at HQ and sent back to AFRO. WCO shared with the NFP. 8 Dec/WCO sent reminder to the NFP. 17 Dec/WCo sent a 3rd reminder to the NFP. 22 Dec/EIS posted</t>
  </si>
  <si>
    <t>Dear Harsh and colleagues. The DON for this event has been drafted by FRO and circulated. I have looped you in the communication chain. Grateful if you could follow up at your earlier convinience with this draft.</t>
  </si>
  <si>
    <t>2021-E000403</t>
  </si>
  <si>
    <t>Deadline with the TT 3 dec 14:00</t>
  </si>
  <si>
    <t>2017-E000441</t>
  </si>
  <si>
    <t>. The case was a 58-year-old male farmer from Hengyang, Hunan Province with onset of illness on 4 December 2021. The case was in a mild condition at time of report. The case had exposure to backyard poultry before illness onset. No family members have developed symptoms at the time of reporting.</t>
  </si>
  <si>
    <t>49 and 72 year old male</t>
  </si>
  <si>
    <t>9 December 2021: Verification request sent, pending additional information from RO/WCO on the recent investigation/ 16 Dec 21: According to the latest preliminary finding from the field mission, it was concluded that there is an upsurge of malaria cases in flooding displaced settings. The MoH press release was also published on 16 Dec 21. Malaria TT (Stephane Hoyer) indicated additional hypotheses regarding Anthrax and possible outcomes following floodwater contamination with crude oil. Respective technical team are in the loop.</t>
  </si>
  <si>
    <t>2018-E000138</t>
  </si>
  <si>
    <t>16 Dec 21: Following the update received from AFRO/WCO, threis no need to have a RRA at the moment and we keep on monitoring</t>
  </si>
  <si>
    <t>13 Dec 21: Additional details requested from AFRO and more information is being awaited</t>
  </si>
  <si>
    <t xml:space="preserve">18 Dec: received from WPRO with NFPs inputs </t>
  </si>
  <si>
    <t>7-year-old female student from Meizhou City, Guangdong Province with onset of illness on 6 December 2021. This is the 20th case of avian influenza A(H9N2) reported from China in 2021. A cumulative number of 60 cases of human infection with avian influenza A(H9N2) have been officially reported from China to WHO since December 2015. The breakdown of cases reported from China per year (according to date of onset of illness) includes: 2015 (4 cases), 2016 (6 cases), 2017 (6 cases), 2018 (7 cases), 2019 (5 cases), 2020 (16 cases), 2021 (16 cases).</t>
  </si>
  <si>
    <t>68-year-old male from Huizhou City, Guangdong Province with onset of illness on 3 December 2021.There have been 31 human cases including 10 deaths of avian influenza A(H5N6) reported from China in 2021, including these cases.</t>
  </si>
  <si>
    <t>20 Dec/ Discussed with PAHO and agreed to keep monitoring the situation as the risk assessed with the RRA performed on 10 October hasnt changed.</t>
  </si>
  <si>
    <t>Kaja/Dunja</t>
  </si>
  <si>
    <t>2021-E000420</t>
  </si>
  <si>
    <t>https://ems.who.int/Event/eventSummary.aspx?eid=2021-E000420</t>
  </si>
  <si>
    <t>Published</t>
  </si>
  <si>
    <t>NA</t>
  </si>
  <si>
    <t>6 December: AFRO suggested to post EIS byy request from SA. AFRO will share the first draft. COVID Intel team is coordinating.</t>
  </si>
  <si>
    <t xml:space="preserve">https://ems.who.int/Event/eventSummary.aspx?eid=2017-E000441 </t>
  </si>
  <si>
    <t>https://ems.who.int/Event/eventSummary.aspx?eid=2018-E000340</t>
  </si>
  <si>
    <t>Ryo/Etsub</t>
  </si>
  <si>
    <t xml:space="preserve">	2021-E000142</t>
  </si>
  <si>
    <t>https://ems.who.int/Update/UpdateReview.aspx?eid=2021-E000142&amp;updateID=2021-U0023211&amp;UrlReferrer=http%3a%2f%2fems.who.int%2fEvent%2fEventUpdateList.aspx%3feid%3d2021-E000142</t>
  </si>
  <si>
    <t>On 13 January, EMRO agreed with RRA publication. RRA is in progress. On 20 Jan. a reminder sent to EMRO. 23 Jan 22: EMRO said they will share the draft when ready/ on 26 Jan, first draft shared from EMRO and circulating to TTs for their input. /28 Jan 2022, Revised RRA shared back with EMRO after HQ review./31 Jan 22: Revised advance draft shared back with PHI by EMRO./3 Feb 22: Reminder sent to EMRO to share the revised version of the RRA./9 Feb 2022: 3 level TC conducted. Consensus reached on the risk level to keep it as very high at national, moderate at the regional, and low are global levels. A revised version will be sent back by 10 Feb 2022 by PHI HQ./10 Feb 22: Revised version sent back to EMRO, WCO, and TT</t>
  </si>
  <si>
    <t>4 Jan 22: EIS publication is under consideration consulting with EMRO. On January 5, EMRO agreed on EIS and started preparing a draft. On January 12, initial draft received from EMRO and shared with FP and TT for their inputs. On January 13, initial draft sent back to EMRO with HQ inputs. On January 17, an updated version received, but waiting for further inputs from WCO before final clearance. On Jan. 20,  a remider send to EMRO./20 Jan 22: EMRO to share the final EIS./ 26 Jan 22: final draft shared with us for final clearance./27 Jan: EIS was published.</t>
  </si>
  <si>
    <t>EMRO is confirming with WCO.</t>
  </si>
  <si>
    <t>https://ems.who.int/Event/eventSummary.aspx?eid=2021-E000338</t>
  </si>
  <si>
    <t>Draft shared with AFRO for comments. AFRO replied on 6 April. 7 April: with Esther for clearance</t>
  </si>
  <si>
    <t xml:space="preserve">13 April: draft shared with TT for comments, deadline - COB 13 April / 14 April: shared with AFRO / 25 April: draft with additional inputs from AFRO and WCO received. WCO informed that they are sharing the draft with NFP. / 28 April: another reminder sent to AFRO. According to AFRO, the draft is still with the NFP. / 2 May: another reminder sent to AFRO / 4 May: another reminder sent to AFRO asking to confirm whether there is a response from NFP by COB 5 May. Otherwise, EIS will be posted without NFP feedback </t>
  </si>
  <si>
    <t>2015-E000078</t>
  </si>
  <si>
    <t>19 Jan/RRA draft received from WCO shared with TT; 24/01 3LTC; 25/01 HQ and WCO inputs to RRA after 3LTC shared with AFRO / 31/01 (PM) AFRO returns to HQ consolidated version of the RRA for Lassa Fever in Nigeria with WCO inputs to HQ and RGO comments; 01/02 - final responses obained from HQ TT, RRA cleared and distributed by HQ</t>
  </si>
  <si>
    <t>25 Jan drafted by HQ; 26 Jan shared with AFRO/ACO for inputs (AFRO/ACO requested to obtain NFP concurrence); 01/02 reminder sent to AFRO</t>
  </si>
  <si>
    <t>EIS and DON recommended during RRA 3LTC on 24 Jan 2022</t>
  </si>
  <si>
    <t>Dunja/Kaja</t>
  </si>
  <si>
    <t>2022-E000009</t>
  </si>
  <si>
    <t>https://ems.who.int/Event/eventSummary.aspx?eid=2022-E000009</t>
  </si>
  <si>
    <t>19 Jan first draft received from EURO, and the same day sent back with TT and PHI feedback. Revised  EIS and NFP responses received on 26 Jan. However we were on the same day informed that NFP will include additional info received from hospital. The final draft received from EURO on 27 Jan with additional infomation on the same day reviewd and sent back to EURO. On 28 Jan received NFP conccurence and  will be published by COB</t>
  </si>
  <si>
    <t>Dunja/Blanche/Savina</t>
  </si>
  <si>
    <t>2022-E000010</t>
  </si>
  <si>
    <t>https://ems.who.int/Event/eventSummary.aspx?eid=2022-E000010</t>
  </si>
  <si>
    <t>RRA decision date not clear (was not discussed with us over outbreak - maybe Dunja knows? something over teams?) - first RRA draft shared by SEARO on 2022-02-10) // RRA with HQ inputs returned to SEARO on 2022-02-14 //SEARO indicates that for now no 3LTC is needed unless situation develops further // Reminder to SEARO sent on 2022-02-24 to respond to comments and return draft // SEARO sent updated draft with responses to comments on 2022-02-25. Further follow up on one comment sent over e-mail from us on 2022-02-25 // Response on 2022-02-26// Further follow up on additional comment sent on 2022-03-02 - response received from SEARO on 2022-03-02</t>
  </si>
  <si>
    <t>draft with WCO 21 Jan/ 22 received draft from SEARO/ 24 draft with HQ feedback sent back to SEARO</t>
  </si>
  <si>
    <t>Anastasia/Etsub</t>
  </si>
  <si>
    <t>United republic of Tanzania</t>
  </si>
  <si>
    <t>case 3 and 4 for 2022</t>
  </si>
  <si>
    <t>Etsub/Savina</t>
  </si>
  <si>
    <t>2022-E000011</t>
  </si>
  <si>
    <t>As of 25-Jan-22: new event rather than update the existing one as this one is iVPDV2, while the previous outbreak is cVDPV2 (with currently no proven connection between the two outbreaks even if in the same region of the country). If a connection is found, EURO will link the two events in EMS.</t>
  </si>
  <si>
    <t>Is event linked to previous Ukraine VDPV2 event</t>
  </si>
  <si>
    <t>26-Jan - waiting for draft from EURO/ 28 Jan 22: Decision was made not to proceed with the EIS as there is no change with the risk.</t>
  </si>
  <si>
    <t>case 1 for 2022</t>
  </si>
  <si>
    <t>4 cases ( 2 with onset 2021 and 2 onset 2022)</t>
  </si>
  <si>
    <t>Shigellosis - Shigella sonnei</t>
  </si>
  <si>
    <t>EURO Regional</t>
  </si>
  <si>
    <t xml:space="preserve">2022-E000022 </t>
  </si>
  <si>
    <t>https://ems.who.int/Event/eventSummary.aspx?eid=2022-E000022</t>
  </si>
  <si>
    <t>Pending epi information on the cases distributed in EURO, especially in the communities and outside of the risk groups.Pending feedback from the rest of the RO regarding cases reported , esential to asssess the risk at Global level.</t>
  </si>
  <si>
    <t xml:space="preserve">Proposed to EURO on 04-Feb-22 // EURO agreed on RRA and EIS on 7- Feb- 22. Lidia/PHI started to draft the initial RRA, specific AMR tool on 8 Feb 22. EURO agreed to draft the EIS. On 10 Feb. RRA shred with the 2L. Further to discussionas and 2l call, additional inputs and reviews done until 17 Feb. On 18 Feb, Shared with the 2L  for final agreement on the main risk questions. Further feedback on the level of Risk and additional inputs received on 22 Feb. Cleaned draft shared with the TT on 24 Feb. Deadline 25 Feb for fianl major objections and to be sent for final clearance. </t>
  </si>
  <si>
    <t xml:space="preserve">First draft shared by EURO on 9-Feb-12. Feedbak from HQ  provided on 10 Feb. Further discussionson 11 Feb (2LC), established a deadline for COB on 14 Feb, as additional teams were looped in, including comms and STI.Further discussion held on 15 and 16 February . On 17 Feb the amended EIS draft was shared back with EURo. On 18 Feb. EURO shared with the NFPs with further questions and for accuracy check.On 24 Feb there are still 4 NFP pending. Deadline COB on 25 Feb 2022. On 5 Mar 2022 , the EIS wass ent for final clearance. On 7 March, Italy NFP added updates on the EIS announcement. </t>
  </si>
  <si>
    <t>Pending discussion with EURO for DON agreement. The information is in the public domain, as the ECDC published the RA. In the WHO RRA, we have ticked the box for the RRA.</t>
  </si>
  <si>
    <t>Savina/Anastasia</t>
  </si>
  <si>
    <t>2022-E000026</t>
  </si>
  <si>
    <t>https://ems.who.int/Event/eventSummary.aspx?eid=2022-E000026</t>
  </si>
  <si>
    <t xml:space="preserve">Geographic distribution of cases; lab confirmation pending ; Some lab results received on 21 March indicating mixed aetiology as follows: According to information shared in the three-level call on the meningitis situation in Ethiopia on 21 March 2022, results from tests on the samples sent to the National Institute for Communicable Diseases in South Africa have been received. All 14 CSF samples were tested by PCR/culture. One sample (from Jimma, Oromia region) was positive for Neisseria meningitidis (serotype not identified). Two were positive for human herpesvirus 7 (HHV7) virus. In addition, eight blood samples were positive for measles.  The HHV7 and measles positive samples are from Hurso, Somali region close to the administrative border with Dire Dawa region. An additional 39 CSF samples have been collected from various locations and have arrived at the Ethiopian Public Health Institute (EPHI) for further testing.  </t>
  </si>
  <si>
    <t>Finalized</t>
  </si>
  <si>
    <t>Proposed to AFRO on 07-Feb-22</t>
  </si>
  <si>
    <t>Anastasia/Savina</t>
  </si>
  <si>
    <t xml:space="preserve">Conclusion based on the investigation report - currently there is no established outbreak </t>
  </si>
  <si>
    <t>2022-E000079</t>
  </si>
  <si>
    <t>https://ems.who.int/Event/eventSummary.aspx?eid=2022-E000079</t>
  </si>
  <si>
    <t xml:space="preserve">29 Apr 2022: AFRO shared the first draft of the RRA for review. /2 May 2022: draft RRA shared with TT for review with deadline by COB 3 May 2022./4 May 2022: Revised version with input from HQ teams (PHI and measles TT) shared back with AFRO./9 May 2022: Revised version received from AFRO. /10 May 2022: second draft shared with TT with deadline by 3 pm on 10 May. / 10 May - revised version send back to AFRO with some additional HQ inputs / 12 May - version with comments addressed sent back to HQ from AFRO / 12 May - document prepared for clearance and shared for cleareance late in evenint / 12 May Final follow-up question (whether all agree) sent to AFRO so we go to clearance without 3LTC. At this point EIS/DON are marked in RRA as "planned" / 13 May - document cleared, reminder sent to AFRO/CO for stating agreement/ 14 May - agreement received, RRA published
</t>
  </si>
  <si>
    <t>Reminder sent to AFRO on 19 May for the first draft. /30 May 22: reminder sent to AFRO /27 May 22: EIS announcement published on global measles situation and decision was made not to have separate EIS on this.</t>
  </si>
  <si>
    <t>Anastasia/Dunja/Tatiana</t>
  </si>
  <si>
    <t>2022-E000029</t>
  </si>
  <si>
    <t>https://ems.who.int/Event/eventSummary.aspx?eid=2022-E000029</t>
  </si>
  <si>
    <t>for RRA: further information on IPC capacity &amp; measures requested (as per AEM mtg 15-Mar). ; 31 Mar 2022: RRA no longer required</t>
  </si>
  <si>
    <t>RRA received from WCO on 1 March, on 4 March sent back to RO with HQ feedback / 11 Mar 2022: follow-up request sent to AFRO / 15 Mar 2022: 2nd follow-up request sent to AFRO, WCO to update RRA draft with new developments (confirmed cases and suspected cases. / 21 Mar 2022: WCO to provide updates from investigation report by tomorrow; news from MOH Mauritania declaring end of outbreak posted 28 Feb 2022. / 30 Mar 2022: AFRO shared sitrep 8, noting last case was 12 March, support provided by Dakar HUB/IPD around need for serological tests, email request sent to see if an RRA is still needed - current RRA draft with info from 1 March. / 31 Mar 2022: RRA no longer required - last case confirmed 12 Mar (6 cases in 6 weeks); CO shared their latest RRA draft but will keep internally for the record, it will not be uploaded into EMS, It no longer fulfills the 'rapid' requirements and will not influence any PH action. Therefore RRA Cancelled</t>
  </si>
  <si>
    <t>Blanche/Anastasia</t>
  </si>
  <si>
    <t>2022-E000025</t>
  </si>
  <si>
    <t>https://ems.who.int/Event/eventSummary.aspx?eid=2022-E000025</t>
  </si>
  <si>
    <t>First draft shared by EURO on 10-Feb-12 for HQ feedback by "evening"; back and forth with NFP 12/13th to clarify final points before posting on 13 Feb evening</t>
  </si>
  <si>
    <t>Follow up email sent to EURO on 16 February asking if decision made on DON; DON in progress with plans to be posted on 18 Feb</t>
  </si>
  <si>
    <t>2021-E000280</t>
  </si>
  <si>
    <t>https://ems.who.int/Event/eventSummary.aspx?eid=2021-E000280</t>
  </si>
  <si>
    <t>11 Apr 22: EMRO shared the first draft for review. Circulated with TT and FCV team for review with deadline on by 3 pm 12 April 2022. /13 April: Reviewed version shared back with EMRO, requested to have another round of review after we have a more completed version of the RRA / Reminder sent to EMRO on 21 April / Draft with WCO/EMRO inputs shared back with HQ on 27 April, circulated to FPs and TT with deadline for input - COB 28 April. 3LTC planned for 4 May 1 PM / 29 April - input from HQ send to EMRO/CO / 4 May - EMRO cancels 3TC as CO can't attend (EID)/16 May 22: reminder sent to EMRO. This is with WCO for input. / 19 May 22 - received draft with WCO input/19 May 22: revised version with pending questions sent back to EMRO./25 May 22: submitted for final clearance.</t>
  </si>
  <si>
    <t>case 5 for 2022</t>
  </si>
  <si>
    <t xml:space="preserve">2022-E000028 </t>
  </si>
  <si>
    <t>https://ems.who.int/Event/eventSummary.aspx?eid=2022-E000028</t>
  </si>
  <si>
    <t>Oficial notification from UK, total number of cases , WGS of the strain, epi link and travel history.</t>
  </si>
  <si>
    <t xml:space="preserve">IHR Notifivation received on 24 Feb. EURO asked HQ to draft the initial EIS. Lidia will draft on Monday 28 Feb, as out of office on 25 Feb. On 14 March , UK NFP aknowledge receipt for the final draft and stated that they will follow up with the assigned team for the prending questions. </t>
  </si>
  <si>
    <t>Blanche</t>
  </si>
  <si>
    <t>2022-E000037</t>
  </si>
  <si>
    <t>https://ems.who.int/Event/eventSummary.aspx?eid=2022-E000037</t>
  </si>
  <si>
    <t>Demographic profile of cases, clinical symptoms, laboratory test performed, treatment course, potential exposure, any additional cases, cause of death</t>
  </si>
  <si>
    <t>case 6,7,8 for 2022</t>
  </si>
  <si>
    <t>Wild poliovirus type 1</t>
  </si>
  <si>
    <t>17 Feb 2022: A proposal to initiate the EIS communicated to polio technical team and AFRO/18 Feb: first draft ciculated with TT for review with deadline by COB./18 Feb 22: draft EIS with pending questions shared with AFRO for response to it and for onward IHR NFP accuracy check./22 Feb 22: AFRO shared the draft with their TT to get a response from them. The draft is not yet shared with IHR NFP. /24 Feb 22: AFRO is facilitating the consultation with the IHR NFP /28 Feb 22: Reminder sent to AFRO on the IHR NFP accuracy check status.</t>
  </si>
  <si>
    <t>24 Feb 22: AFRO in agreement and emergency info colleagues to draft and circulate DON for WPV1 in Malawi. First draft circulated on 25 Feb 2022 for review.</t>
  </si>
  <si>
    <t>2022-E000031</t>
  </si>
  <si>
    <t>https://ems.who.int/Event/eventSummary.aspx?eid=2022-E000031</t>
  </si>
  <si>
    <t>35, 36 case for 2021</t>
  </si>
  <si>
    <t>Kaja/Dunja/ Tatiana</t>
  </si>
  <si>
    <t>https://ems.who.int/Event/eventSummary.aspx?eid=2017-E000441</t>
  </si>
  <si>
    <t>What is poultry product? on14 March received reply, the frozen meat is a source. Waiting for TT how we going to report this as H9N2 was never  reported in frozen meat as a source /15 March the EIS back to WPRO for aditional clarification regarding the case exposure to frozen meat product</t>
  </si>
  <si>
    <t xml:space="preserve">24 case for 2021. 
EMS entry states "This is the 23rd case of avian influenza A(H9N2) with onset of illness on 2021" and "The case is a 6-year-old female..." but initial EIS w NFP comments states this is the 24th case w onset of illness in 2021 and that the case is 5-years-old.  IHR notification states case is 6 years-old. 
25 Feb 2022: WPRO shared  the first draft EIS to HQ for review / 1 Mar 2022: the EIS with HQ TT and PHI feedback sent to WPRO prior to NFP concurrence / 6 Mar 2022: WPRO shared draft EIS w inputs from NFP to HQ / 7 Mar 2022: HQ shared question w WPRO for clarification  /  9 Mar 2022: HQ requested follow-up on pending question on EIS draft / 9 Mar 2022: WPRO  shared the EIS with NFP to address pending question /  11 Mar 2022: HQ acknowledged WPRO email that EIS is once again with NFP./ 14 March received EIS from WPRO with NFP reply, shared with TT and agreed to send back the EIS for futher clarification regarding the case exposure to frozen meat as H9N2 was never reported as a possible source of infection with H9N2 virus. / 16 Mar 2022: WPRO to reply on new wording around frozen chicken proposed by HQ/ 16 March the EIS published </t>
  </si>
  <si>
    <t>1 March 2022: AFRO agreed to prepare first draft for review./2 Mar 22: first draft circulated, input expected by 3 pm 3 March./3 Mar 22: Shared back with AFRO for response to the pending question./8 Mar 22: Revised version sent back to AFRO for onward IHR NFP accuracy check. /9 Mar 22: Reminder sent to AFRO</t>
  </si>
  <si>
    <t>12 Mar 22: AFRO in agreement for a DON. Emergency info to draft and share for review</t>
  </si>
  <si>
    <t>9 case for 2022
2 Mar 2022: WPRO shared the first draft of EIS w HQ / 7 Mar 2022: WPRO sent follow-up email to HQ for feedback on the draft EIS; HQ then shared the EIS with HQ TT and PHI feedback to WPRO for NFP accuracy check / 11 Mar 2022: HQ sent WPRO follow-up email. / 13 Mar 2022: WPRO shared EIS w comments from NFP; 14 Mar 2022: Cleared for publication and posted.</t>
  </si>
  <si>
    <t>2022-E000012</t>
  </si>
  <si>
    <t>https://ems.who.int/Event/eventSummary.aspx?eid=2022-E000012</t>
  </si>
  <si>
    <t>3 Mar 22: EMRO to share first draft /10 Mar 22: first draft shared for review with deadline by COB 11 Mar 22 /15 Mar 22: revised version sent to EMRO with inputs./22 Mar 22: 3 level TC conducted, final version to be shared by EMRO/24 Mar 22: Revised version shared again by EMRO. There is another version currently under review and clearance by Esther which will be merged together with the EMRO's version. /25 March RRA published.</t>
  </si>
  <si>
    <t>3 Mar 22: Decision made to have an EIS for this event. EMRO to share first draft for review/ 25 Mar 22: Follow up made with EMRO to share first draft for review./ 30 Mar: Reminder sent to EMRO./30 Mar 22: EMRO responded to say they are working on the draft and is currently with WCO for input./5 Apr 2022: A reminder regarding this EIS sent to EMRO asking them to share the first draft if ready./5 April 2022: First draft of the EIS received for review, currently under review by TT, PHI, and FCV country focal point with deadline COB 6 April 2022./7 Apr 22: Revised version sent back to EMRO for response to the questions reised. / 10 Apr: Gaziantep Office shared the draft with their comments. The input from Gazantep hub was shared with EMRO for compilation with the version shared with them on 8 April. Now it is pending the compilation, addressing the comments and doing IHR NFP accuracy check for which EMRO is to follow on this./ Reminder sent on 19 April (EMRO responded they're processing for NFP concurrence). There's no response on the DON question./10 May 22: reminder sent to EMRO regarding the status of this EIS. EMRO responded to say that that they are trying to resolve some political sensetivities associated with clearing this EIS with the IHR NFP as per the standard processes, considering the very sensetive situation in syria. EMRO is seeking legal advice on how to move 
forward with this and they promised to get back to us as soon as they get some clarity. /11 May 2022: PHI HQ made a follow up with IHR team on advice how to move with the publication of the EIS./11 May 2022: meeting conducted between IHR colleagues, PHI and EMRO colleagues to decide on the way forward regarding this EIS. Given the nature of the event and the immediate need to notify only neighboring Turkey and it seems to not warrant informing the whole world, the IHR team suggested/recommended/ not to proceed with the EIS for this event. They suggested to inform Turkey IHR NFP of the occurence of this event. EMRO to share this suggestion with the team and get back to us on the agreement not to continue with the EIS. A follow up will be done if no response on this from EMRO side agreeing to the decision by end of the week (13 May)./12 May 22: EMRO responded to say they also confirm that we are not proceeding with EIS. This event will be closed on this tracker accordingly.</t>
  </si>
  <si>
    <t>Pending confirmation from WCO. /11 Apr: reminder sent to EMRO to confirm if there will be a DON. Emergency info is in the loop.</t>
  </si>
  <si>
    <t xml:space="preserve">2022-E000046 </t>
  </si>
  <si>
    <t>https://ems.who.int/Event/eventSummary.aspx?eid=2022-E000046</t>
  </si>
  <si>
    <t>On 4 March, proposed to AFRO, who agreed to start the initial AFRO Regional RRA. As of 25 March 2022, awaiting for AFRO to share the initial RRA darft for the YF outbreaks in the African Region. Email received on 24 March from AFRO stating that the RRA will be shared by 25 March 2022.</t>
  </si>
  <si>
    <t>Initial draft started at PHI HQ on 10 March 2022</t>
  </si>
  <si>
    <t>Kaja/Lidia</t>
  </si>
  <si>
    <t>On 4 March, proposed to AFRO, who agreed to start the initial AFRO Regional RRA/ Draft received on 30 March 2022 deadline for HQ comments 1 April/9 April draft with AFRO/ 13 April deadline for comments from WCO/21 April follow-up email requesting consolidated draft sent</t>
  </si>
  <si>
    <t>First draft initiated byHQ and shared for review on 2 June 2022.Feedback received  by the TT on 8 July 2022. Further questions and comments were directed until  26 July, when during final clearance and discussions with the TT it was decided to start with a new draft, including mayor changes in the strucure and content of the YF EIS, due to the complexity of the data and the interpretation of situation, with the aim to have a product that will facilitate the interpretation of the situation for the MS. The new EIS draft announcement was shared with AFRO and TT on 19 August 2022. Feedback received until 24 August. Sent for clearance on 25 August 2022.</t>
  </si>
  <si>
    <t>2022-E000040</t>
  </si>
  <si>
    <t>https://ems.who.int/Event/eventSummary.aspx?eid=2022-E000040</t>
  </si>
  <si>
    <t>On 4 March, proposed to AFRO, who agreed to start the initial AFRO Regional RRA/ Draft received on 30 March 2022 deadline for HQ comments 1 April</t>
  </si>
  <si>
    <t>23 Mar: draft sent to AFRO, deadline 25 Mar</t>
  </si>
  <si>
    <t>EIS published without receiving final NFP concurrence however all information was available through 3LTC and AFRO outbreak bulletin</t>
  </si>
  <si>
    <t>2022-E000039</t>
  </si>
  <si>
    <t>https://ems.who.int/Event/eventSummary.aspx?eid=2022-E000039</t>
  </si>
  <si>
    <t>8 mar 22: EURO started and circulated first draft of EIS/ 9 Mar 22: Revised version sent back to EURO and EMRO. Agreement reached on to move this as EIS announcement /10 Mar 22: Revised version as an EIS announcement shared with EMRO and EURO /11 Mar 22: consolidated version shared with everyone for review./ 14/03/2022 - EMRO/EURO polio technical teams had a dedicated call, and, as communicated by Oliver Rosenbauer "The EMRO and EURO polio technical teams have just concluded a call, and the situation is indeed that although circulation at this time in oPt cannot be ruled out, it cannot be confirmed either.  So confirmed circulation of VDPV3 is at this point only in Israel." / 14/03/2022 - PHI, in line with these developements, revert back to normal EIS format (not announcement) and share a draft with the normal EIS format with everyone / 14/03 - EURO IHR shares draft with NFP Israel for accuracy check / 14/03 - EMRO shares draft with WCO IHR NFP oPT for their information and feedback (as cVDPV3 was detected in environmental samples from Betlehem) / 15/03 - IHR Israel responds that they have corrections and will be sharing them within the coming days / 15 Mar 22: consultation requested with the LEG department regarding this EIS to clarify on some of the wording used for the oPT vs West Bank and Gaza Strip / LEG responds they will wait for IHR Israel's corrections / 22/03 - HQ follows up with EURO on status of IHR-Israel corrections, EURO says they will wait till end of day and remind IHR Israel / 25- IHR - Israel corrections arrive and EURO forwards to HQ requesting LEG to check draft / 25 March (evening) LEG shares draft with corrections and suggests additional steps: "
(1) Given that this EIS relates to events having occurred both in Israel and the West Bank, we suggest also consulting the health authorities in Ramallah through the WHO Office for West Bank and Gaza as far as the events in the West Bank are concerned (unless this coordination has already happened); (2) To inform NFP Israel about the above, i.e. that in light of the distribution of events, the Secretariat is also coordinating with the health authorities in Ramallah to ensure technical cooperation."(EMRO and EURO are in loop) / 25/26 March - EURO responds document is ready for publishing from EURO side / 28 March afternoon EMRO responds no need to re-share with oPT (as oPT is in loop to communication) and document is ready for clearance / 29 March - document published</t>
  </si>
  <si>
    <t>Dunja/Tatiana/Katrina</t>
  </si>
  <si>
    <t>2022-E000042</t>
  </si>
  <si>
    <t>https://ems.who.int/Event/eventSummary.aspx?eid=2022-E000042</t>
  </si>
  <si>
    <t>RRA agreement on level of risk at regional level</t>
  </si>
  <si>
    <t>11 March-22 drafted by HQ / 16 March 2022: HQ shared draft with TTs/ 18 March shared with WPRO / 22 Mar 2022: Sent WPRO reminder; WPRO states currently sitting with their TTs for review and clearance; HQ sent to FAO for inputs / 23 Mar 2022: WPRO sent RRA draft to HQ; HQ shared with FAO/OIE for inputs / 25 Mar 2022: HQ sent latest RRA draft to WPRO, FAO to add inputs on Monday, 3LTC proposed for Monday to discuss level of risk / 28 Mar 2022: received FAO inputs, shared RRA with WPRO to confirm if in agreement w overall level of risks / 30 Mar 2022: WPRO sent replies on RRA with inputs from FAO; shared with TT Anindya Bose / 31 Mar 2022: shared latest draft w WPRO including A. Bose comments, asked WPRO to organize a call to finalize RRA. /  1 Apr 2022: WPRO proposed to move 3LTC to next week (4-8 Apr), invite to follow. / 5 Apr 2022: HQ sent reminder to WPRO to share the invite / 6 Apr 2022: WPRO is checking availability of VDI colleagues, noting they will respond by tomorrow. / 8 Apr 2022: received WPRO invite for 8 Apr 10am - due to short notice and conflicts from HQ side, proposed date/time changed to 12 Apr / 11 Apr 2022: WPRO confirmed 3LTC confirmed RRA meeting for Tuesday 4-5 p.m. (10 a.m. Geneva time) / 12 Apr 2022: TC took place agreed on level of risk for regional level as moderate/ 13 Apr 2022: sent final version to WPRO for review, WPRO replied with inputs, HQ sent for clearance, RRA is now distributed.</t>
  </si>
  <si>
    <t>10 March 22: EIS draft received  from WPRO / 11 March  the EIS draft reviewd by HQ TTs and PHI/ 11 March 2022: reviewed EIS with HQ feedback sent back to WPRO/ 18 March reminder sent to WPRO / 18 Mar 2022: WPRO shared EIS draft with NFP comments to HQ; EIS posted / 28 Mar 2022: Received feedback from FAO to be sent to WPRO and to confirm for finalization.</t>
  </si>
  <si>
    <t>12 Apr 2022: 3LTC for RRA held,  WPRO informed us that despite several reminders to the NFP for Australia, they did not receive any response. Since WHO received the notification on 7 March, more than a month ago, with WPRO agreement we decided not to publish DON / 13 Apr 2022: reconsidering DON at HQ level, HQ to reach out to WPRO for confirmation.</t>
  </si>
  <si>
    <t>2022-E000043</t>
  </si>
  <si>
    <t>https://ems.who.int/Event/eventSummary.aspx?eid=2022-E000043</t>
  </si>
  <si>
    <t>9 March 22: Proposed by EMRO/ 15 Mar 22: First draft received today and circulated for review by 2 pm tomorrow. /16 Mar 22: Reviewed version with proposed input shared back with EMRO. /28 March: Revised RRA shared with proposed 3LTC for 29 March 2022, time to be confirmed. 3LTC conducted on 29 Mar. Revised version to be shared by EMRO./30 Mar 22: Revised clean version reviewd for clearance and pending questions are to be addressed before anothe round of review./1 Apr 2022: Revised version sent to EMRO for response on clarifying epi situation. /4 Apr 2022: Final version received from EMRO after addressing the pending question received. Currently, shared for final clearance before dissemination./5 Ap 2022: RRA published</t>
  </si>
  <si>
    <t xml:space="preserve">29 March: Agreed to have an EIS, EMRO to draft./11 April: reminder sent to EMRO regarding sharing the first draft of this EIS./11 April 22: First draft received, circulated for review with deadline by COB 12 April 2022./13 April: Revised draft shared back with EMRO for subsequent follow up with pending questions and IHR NFP accuracy check./ IHR NFP concurred draft received on </t>
  </si>
  <si>
    <t>29 Mar 22: Pending WCO confirmation, 30 March 22: EMRO confirmed through the final RRA that DON will be published. 7 April: WPRO shared the draft but asked not to publish until they hear back from Australia NFP</t>
  </si>
  <si>
    <t>Tatiana/Dunja</t>
  </si>
  <si>
    <t>11 March 2022: Received EIS draft from WPRO on 1 case - 2 y/o female Anhui province; reviewed by HQ TT and PHI teams and sent back to WPRO. / 15 March 2022: WPRO shared EIS with NFP comments/approval, EIS cleared for publication and posted</t>
  </si>
  <si>
    <t>2022-E000048</t>
  </si>
  <si>
    <t>https://ems.who.int/Event/eventSummary.aspx?eid=2022-E000048</t>
  </si>
  <si>
    <t>14 March 2022: Received EIS draft from WPRO noting IHR notification was on 11 Mar;  EIS reviewed by HQ TT and PHI teams and sent back to WPRO / 17 Mar 2022: Sent follow-up email on status of EIS to WPRO colleagues, noting there was no acknowledgment from WPRO IHR on receipt of EIS with HQ PHI and TT comments sent on 14 Mar / 17 Mar 2022: HQ sent reminder to WPRO on status of EIS; WPRO replied following up w NFP / 21 Mar 2022: HQ sent reminder to WPRO; WPRO replied EIS is still w NFP</t>
  </si>
  <si>
    <t>Etsub/Abdallah</t>
  </si>
  <si>
    <t>2021-E000032</t>
  </si>
  <si>
    <t>https://ems.who.int/Event/EventCurrentCoreDetail.aspx?eid=2021-E000032</t>
  </si>
  <si>
    <t>21 Sep RRA draft recievved from EMRO and shared with HQ TT for edits and inputs, 22 Sep reminder sent to Measles TT for thier inputs./27 Sept 2022: reviewed version shared back with EMRO</t>
  </si>
  <si>
    <t>12 Oct 2022: HQ PHI requested EMRO to prepare first draft for review as per the agreement in the RRA disseminated on 12 Oct./19 Oct: first draft received from EMRO and circulated for review with TT with deadline by 10 am 20 Oct 2022.EIS sent back to EMRO for NFP accuracy check on 20 October.. 28 October EMRO communicated that the event has been closed and EMS closed as well as there were no additional cases reported after September 18th 2022. Therefore the EIS and DON will not be published</t>
  </si>
  <si>
    <t>Anastasia/Kaja</t>
  </si>
  <si>
    <t>2022-E000053</t>
  </si>
  <si>
    <t>https://ems.who.int/Event/eventSummary.aspx?eid=2022-E000053</t>
  </si>
  <si>
    <t>AFRO shared first draft. Shared with TT for review by COB 5 Apr. Draft with HQ inputs shared with AFRO on 5 April. 7 April: with Esther for clearance</t>
  </si>
  <si>
    <t>13 April: the draft EIS with HQ  comments shared with AFRO to address comments and share with NFP</t>
  </si>
  <si>
    <t>2022-E000097</t>
  </si>
  <si>
    <t>https://ems.who.int/Event/eventSummary.aspx?eid=2022-E000097</t>
  </si>
  <si>
    <t>31 May 22: A 3LTC was conducted and the risk is assessed as very high at national, moderate at regional level, and low at global level. Revised clean version to be shared by EMRO for clearnace./2 June 22: shared with Blanche for clearance before dissemination</t>
  </si>
  <si>
    <t>19 May 22: Revised draft sent back to EMRO to respond to one pending question.</t>
  </si>
  <si>
    <t>2012-E000288</t>
  </si>
  <si>
    <t>https://ems.who.int/Event/EventUpdateList.aspx?eid=2012-E000288</t>
  </si>
  <si>
    <t xml:space="preserve">17 Mar 2022: contacted EMRO to confirm the total number of laboratory-confirmed MERS-CoV infection cases and associated deaths reported globally to WHO as this question was not confirmed in the final document / 21 Mar 2022: Request to have annual breakdown for cases and deaths (total, not by country, in sentence form). / 22 Mar 2022: pending reply from TT / Distribution of cases received, EMRO waiting for clarification from EMRO TT on cases reported in 2014. / 24 Mar 2022: EIS will proceed as is </t>
  </si>
  <si>
    <t>3 Mar 22: EMRO shared the first draft for review/ 7 Mar 22 : the EIS  with HQ TT and PHI feedback sent to EMRO/ 9 March EMRO shared the EIS with NFP for accuracy check and to provide the missing information. / 15 Mar 2022: Follow up email sent to EMRO re status of EIS; EMRO still waiting for NFP reply. / 17 Mar 2022: HQ received EIS with NFP comments. Pending question sent to EMRO for TT prior to publication to confirm the numer of globaly reported cases and deaths. / 20 Mar 2022: EMRO sent confirmed Global MERS cases and deaths (cumulative); 21 Mar 2022: HQ requested breakdown of cases/deaths per year to EMRO, as no data prior to 2016 available; EMRO colleagues forwarded request to TT / 22 Mar 2022: EMRO sent reminder to TT for reply/ 23 Mar 2022: EMRO TT shared breakdown by yr/outcome / 23 Mar 2022: EMRO pending question on 2014 total number of cases for 2014, waiting for confirmation from EMRO TT / 23 Mar 2022: HQ reminder to EMRO for publishing today;  EMRO waiting for clarification from EMRO TT / 25 Mar 2022: published EIS</t>
  </si>
  <si>
    <t>2022-E000062</t>
  </si>
  <si>
    <t>https://ems.who.int/Event/eventSummary.aspx?eid=2022-E000062</t>
  </si>
  <si>
    <t xml:space="preserve">distribution of global number of cases/deaths per year/24 March received from EMRO </t>
  </si>
  <si>
    <t>22 Mar 2022: HQ received IHR notification; EMRO shared EIS draft; HQ shared with HQ PHI and TT / 23 Mar 2022: HQ sent reminder request to HQ TT; HQ TT shared inputs on sharepoint. HQ shared EISdraft with EMRO for NFP; 28 Mar 2022: sent follow-up on EIS w NFP to EMRO / 30 Mar 2022: sent 2nd follow-up to EMRO requesting status update on EIS w NFP comments, requested confirmation of DON. EMRO replied it is w NFP / DON has been planned /  4 Apr 2022: EMRO suggested to merge this EIS w NFP comments with new case reported 3 Apr. HQ in agreement. Waiting on new EIS draft for both these cases (22 Mar and 3 Apr) / 5 Apr 2022: EMRO shared draft EIS for combined cases, HQ shared w TT. Rebecca (TT) provided comments / 6 Apr 2022: sent EIS draft w HQ PHI TT comments to EMRO. EMRO confirms receipt to be sent to NFP for concurrence / 8 Apr 2022: sent EMRO status update on EIS draft w NFP. EMRO replied it is still w NFP / 11 Apr 2022: no new information received, email sent to EMRO acknowleding response from late night 8 Apr / 13 Apr 2022: update request sent, EMRO replied it is still w NFP / 14 Apr 2022: EMRO communicated NFP-Qatar to reply today; no email received / 19 Apr 2022: HQ sent another request for information to EMRO. IHR-NFP checking on confirmed figures. / 28 Apr 2022: EMRO shared EIS w NFP comments. EIS shared with TT to review numbers and provide accuracy check. / 29 Apr 2022: Requested permission to publish from TT (Maria) / 29 Apr 2022: EIS review/clearance stage.</t>
  </si>
  <si>
    <t>2022-E000063</t>
  </si>
  <si>
    <t>https://ems.who.int/Event/eventSummary.aspx?eid=2022-E000063</t>
  </si>
  <si>
    <t xml:space="preserve">Confirming DON </t>
  </si>
  <si>
    <t>23 Mar: initial EIS draft received from PAHO; Shared with HQ TT; 24 Mar 2022: EIS draft reviewed by HQ TTs and PHI shared with PAHO; 25 Mar 2022 EIS received for clearance and publication.</t>
  </si>
  <si>
    <t>23 Mar 2022: proposed DON pending for confirmation from AMRO; 25 Mar 2022: PAHO confirmed no DON</t>
  </si>
  <si>
    <t>2022-E000061</t>
  </si>
  <si>
    <t>https://ems.who.int/Event/eventSummary.aspx?eid=2022-E000061</t>
  </si>
  <si>
    <t>29 April 2022: AFRO to share the first draft for review./6 May 2022: AFRO shared the first draft of the RRA for review. It has been circulated for review with deadline for review by 2 pm on 9 May 2022./10 May 2022: Revised version shared with AFRO after PHI and TT's input./12 May 2022: revised version shared with AFRO for final look before clearance./13 May 2022: WCO shared further inputs. /16 May 22: revised version received from AFRO with WCO input. Pending final review before going on clearance./17 May 22: with Esther for final clearance.</t>
  </si>
  <si>
    <t xml:space="preserve">18 May 22: AFRO to draft./24 May 22: in light of the current EIS announcement, this is not needed and is therefore closed. </t>
  </si>
  <si>
    <t xml:space="preserve">Anastasia/Victoria/Felix </t>
  </si>
  <si>
    <t>27 Sep: first draft received from AFRO. 28 Sep: The darft with HQ  comments sent back to AFRO.</t>
  </si>
  <si>
    <t>13 October 2022 HQ prepared initial EIS draft and shared with TT and AFRO for inputs
18 October HQ sent reminder to AFRO to provide inputs by 19 Oct 1pm CET
Additional reminders sent 19, 20,24 Oct. 
25 October NFP concurrence received</t>
  </si>
  <si>
    <t>2022-E000068</t>
  </si>
  <si>
    <t>https://ems.who.int/Event/eventSummary.aspx?eid=2022-E000068</t>
  </si>
  <si>
    <t>13 April: in addition to the email talked with SEARO and they confirmed that they will draft the EIS.  20 April: The draft with HQ comments shared with SEARO to address the inputs and share with NFP. / 23 April: SEARO forwarded reply from NFP. NFP thinks more discussion is needed on the situation before communicating about this event. WCO is in discussion with NFP to encourage the posting. / 2 May: another reminder sent to SEARO</t>
  </si>
  <si>
    <t>10th case for onset of illness in 2022
25 Mar 2022: initial EIS draft and IHR notification received from WPRO colleagues; Shared with HQ TT / 28 Mar 2022: sent EIS draft to WPRO / 30 Mar 2022: follow-up email to WPRO on EIS / 31 Mar 2022: no reply/acknowledgment from WPRO / 1 Apr 2022: received EIS w NFP comments; sent for clearance. Posted EIS.</t>
  </si>
  <si>
    <t>11th case illness onset in 2022
4 Apr 2022: WPRO shared IHR notification w HQ on 3 Apr; EIS draft shared w TT for inputs, reminder at 4 to provide inputs by COB today; HQ shared EIS draft w WPRO / 6 Apr 2022: sent WPRO status update on the EIS draft that was to be shared w NFP / 8 April: WPRO shared draft for posting; sent to Esther for clearance / 8 Apr 2022: EIS posted.</t>
  </si>
  <si>
    <t>Dunja/Blanche</t>
  </si>
  <si>
    <t>EURO Regional, AMRO Regional</t>
  </si>
  <si>
    <t>2022-E000081 - United Kingdom</t>
  </si>
  <si>
    <t>https://ems.who.int/Event/eventSummary.aspx?eid=2022-E000081</t>
  </si>
  <si>
    <t>23-April 2022: first draft by HQ</t>
  </si>
  <si>
    <t>23 Published</t>
  </si>
  <si>
    <t>6 apl 22</t>
  </si>
  <si>
    <t>2022-E000082</t>
  </si>
  <si>
    <t>https://ems.who.int/Event/eventSummary.aspx?eid=2022-E000082</t>
  </si>
  <si>
    <t>6 Apr 22: Decision made to have an RRA across the 3 levels of the organization. Initial draft to be developed and shared for review by WCO. colleagues. WCO shared the initial draft for review on 20 April 2022./ Draft shared with TT (Measles and FCV), comments collected, shared back with AFRO/ACO on 22 April) / AFRO prepared a consolidated version with HQ/AFRO suggestions and forwarded it to ACO on 25 April for ACO to address pending questions by 26 April COB / ACO/AFRO draft with input received on 29 April (evening) with question whether clearance can be done (likely without 3LTC) / Cleared and published on 03 May</t>
  </si>
  <si>
    <t>6 May 2022: the first draft received. Input provided to the EIS by PHI and Measles TT. On 10 May 2022 revised version was shared back with AFRO for subsequent follow-up with the WCO to address the pending questions./16 May 22: reminder sent to AFRO./30 May 22: reminder sent to AFRO/2 June 22: escalated to Blanche./3 June 22: The proposal to drop this EIS is shared with AFRO and AFRO is in agreement and looped WCO colleagues. Status of the EIS and DON is closed as agreed. if objection comes from WCO, we can revisit this.</t>
  </si>
  <si>
    <t>2022-E000081</t>
  </si>
  <si>
    <t xml:space="preserve">https://ems.who.int/Event/EventCurrentCoreDetail.aspx?eid=2022-E000081 </t>
  </si>
  <si>
    <t>Blanche/Savina</t>
  </si>
  <si>
    <t>2022-E000076</t>
  </si>
  <si>
    <t>https://ems.who.int/Event/eventSummary.aspx?eid=2022-E000076</t>
  </si>
  <si>
    <t>details about the case in the USA to know whether from consumption related to travel Europe or local consumption within the US; PAHO reported case was lost to follow-up so no further information on this available</t>
  </si>
  <si>
    <t>7 Apr 2022: decision to conduct RRA during AEM meeting, HQ to draft; draft initiated by HQ on 8 April; shared with TT and RO colleagues on 12 April. Feedback received by COB 13 April. All agreed on suggested risk levels - no TC needed. RRA distributed on 14 April 2022.</t>
  </si>
  <si>
    <t>INFOSAN to draft; shared with TT, EURO, PAHO and PHI on 8 APril; consolidate and cleared on 13 April 2022; posted EIS annoucement on 13 Apr 2022.</t>
  </si>
  <si>
    <t>https://ems.who.int/Event/eventSummary.aspx?eid=2021-E000343</t>
  </si>
  <si>
    <t xml:space="preserve">25 May - we're notified that WCO is updating the RRA; 7 June - first draft received for HQ inputs; 10 June - Draft with HQ inputs sent back to EMRO. 23 Aug: from Esther: "Following consultation with Abdi in which EMRO RED and Soce were copied the recommendation was not to post this as AWD when we know there is lab confirmation of cholera. I forwarded the email to outbreak for the records. We have communicated this to Aura. Let us see how the NFP responds." 15 Sep: No response from NFP received. </t>
  </si>
  <si>
    <t xml:space="preserve">On 31 July, EMRO shared the first draft. On 4 August the draft with comments from HQ was sent back to EMRO. On 12 August, EMRO shared the updated draft for additional review. On 15 August, the updated clean draft with minor additional questions shared back with EMRO for further sharing with the NFP. On 19 August, reminder sent EMRO regarding the EIS status. As of 20 September, no reply from NFP. During one of the recent weekly calls, WCO mentioned that MOH once again denied that there is cholera in Afghanistan. </t>
  </si>
  <si>
    <t>Date of sharing with NFP here is the date when we shared the updated draft with our comments with EMRO. No regarding when exactly the draft was shared with NFP</t>
  </si>
  <si>
    <t>Dunja/Tatiana</t>
  </si>
  <si>
    <t>12th case 
12 Apr 22: EIS draft received from WPRO and shared w TT. Sent EIS draft w HQ PHI and TT inputs to WPRO. 18 Apr 2022: EIS draft w NFP comments received</t>
  </si>
  <si>
    <t>2022-E000091</t>
  </si>
  <si>
    <t xml:space="preserve">https://ems.who.int/Event/eventSummary.aspx?eid=2022-E000091 </t>
  </si>
  <si>
    <t>16 May: with WCO for inputs as the first draft was missing a lot of information. HQ (PHI) has provided some preliminary comments, but more reviewing is needed once back from WCO; Second draft received on 31 May, HQ inputs sent back on 1 June, 3LTC on 2 June / 6 June: sent for final clearance</t>
  </si>
  <si>
    <t>1 June NFP concurred draft received (with NFP additions) - agreement with EMRO over teams to hold off further work until after RRA 3LTC, as EIS is with outdated numbers and risk assessment may need to be reworded</t>
  </si>
  <si>
    <t>Savina</t>
  </si>
  <si>
    <t>https://ems.who.int/Event/eventSummary.aspx?eid=2022-E000114</t>
  </si>
  <si>
    <t>25 April - AFRO proposes RRA, we agree and loop in TT / 03 May - reminder sent to AFRO for first draft / 03 May - HQTT ask whether to proceed with RRA as cases down / 03/04 May (night) - first draft received from AFRO with comment that it's already advanced and that we should continut, we respond that we agree, draft shared with TT/FCV for input by 13:00 GVA 05 May /Draft with HQ inputs shared with AFRO on 5 May / AFRO shares back revised draft on 11 May / Draft with additional inputs (on risk levels, as there were inconsistencies) shared back with AFRO/CO on 12 May (HQ agreeing with AFRO to  hold off DON/EIS) / 17 AFRO shares draft with WCO inputs and ACO shares further information on their opinion on risk levels / 18 HQ consolidates feedback and prepares draft for clearance, sends over a summary of finalized risk levels for written approval from AFRO/CO and AFRO approve. / 20 May RRA cleared and distributed</t>
  </si>
  <si>
    <t xml:space="preserve">25 April: Sent to HQ TT for review by 5pm </t>
  </si>
  <si>
    <t>Not applicable (drafted by RO)</t>
  </si>
  <si>
    <t>2022-E000098</t>
  </si>
  <si>
    <t>https://ems.who.int/Event/eventSummary.aspx?eid=2022-E000098</t>
  </si>
  <si>
    <t>proposed level of risk for RRA at National level - HQ LOW vs WCO/AFRO MODERATE</t>
  </si>
  <si>
    <t xml:space="preserve">25 Apr 2022: first draft of RRA shared by AFRO, CO initiated it. Inputs from HQ needed by tomorrow 26 April 11am. Shared RRA with HQ TT for feedback COB / 26 Apr 2022: HQ sent RRA with HQ PHI and TT comments to AFRO, proposed level of risks National HIGH, Regional LOW, Global LOW. / 28 Apr 2022: Received RRA from AFRO in agreement w proposed level of risk, shared finalized copy from AFRO for clearance and publication / 29 Apr 2022: sent confirmation email to AFRO on agreement for finalization over email, including proposed level of risk, actions and recommendations. RRA with tracked changes has been uploaded to SharePoint and a clean version - pending confirmation email to be sent for clearance. Sent AFRO clean and tracked changes as reference. Agreement reached. Sent for review/clearance. Published.
</t>
  </si>
  <si>
    <t xml:space="preserve">25 Apr 2022: Received RRA from AFRO initiated by WCO, stating within that an EIS is planned to be shared on 27 April / 26 Apr 2022: Requested status update on EIS draft to AFRO. EIS received from AFRO on 28 April and shared with TT at HQ, feedback requested by COB on the same day / 28 Apr 2022: received initial EIS draft from AFRO. Shared with HQ TT, due by COB. / 28 Apr 2022: Shared EIS draft w HQ teams input to AFRO. / 2 May 2022: sent follow-up email to AFRO on status of EIS draft / 4 May 2022: sent second follow-up request to AFRO, AFRO replied it is still w NFP. / 6 May 2022: sent followup request to AFRO for NFP concurrence - it has been 8 days since HQ shared comments back to AFRO for NFP. / 9 May 2022: received EIS w NFP feedback. Cleared for publication.
</t>
  </si>
  <si>
    <t>28 Apr 2022: HQ proposed DON for this event. Confirmation pending from AFRO/WCO. Will need to amend RRA on this.</t>
  </si>
  <si>
    <t>Team agreed to touch bases re. algorithm for polio EIS/Announcements etc. with Esther</t>
  </si>
  <si>
    <t>WPRO Regional</t>
  </si>
  <si>
    <t>2022-E000102</t>
  </si>
  <si>
    <t>https://ems.who.int/Event/eventSummary.aspx?eid=2022-E000102</t>
  </si>
  <si>
    <t>26 Apr 2022: HQ informed of new case of H3N8 in human (first globally) via WPRO Report and EMS entry. HQ contacted WPRO to initiate EIS and DON would also be needed. HQ shared available info with HQ TT. WPRO resent IHR notification and EIS draft. HQ shared with TT for inputs - due tomorrow 10am. / 27 Apr 2022: HQ shared EIS draft w WPRO. WPRO shared draft w NFP. / 29 Apr 2022: request for status update on EISdraft from NFP sent to WPRO / 2 May 2022: WPRO has been reaching out to NFP-China on 29 Apr and 2 May following-up, HQ in the loop. Sent acknowledgment email to WPRO. / 4 May 2022: WPRO sent EIS w NFP comments - to be shared for clearance/publication</t>
  </si>
  <si>
    <t>first human case of AI A(H3N8) infection reported in China and globally, EIS/DON required</t>
  </si>
  <si>
    <t>2022-E000108</t>
  </si>
  <si>
    <t>https://ems.who.int/Event/eventSummary.aspx?eid=2022-E000108</t>
  </si>
  <si>
    <t>overall risk assessment; reference link</t>
  </si>
  <si>
    <t>28 Apr 2022: IHR notification received from EMRO for one case, EIS will be drafted by EMRO and shared on Monday. TT has been made aware. / 2 May 2022: sent follow up email to EMRO on status of EIS draft. EMRO reply, will share as soon as available. / 3 May 2022: EMRO shared first EIS draft. HQ shared w TT. HQ sent EMRO EIS w HQ PHI TT comments / 4 May 2022: EIS w comments from Hala in EMRO. Not yet sent to NFP / 6 May 2022: status update request sent to EMRO, they replied it is still with NFP / 9 May 2022: received feedback from NFP. Additional inputs from EMRO TT arrived separately. Pending question around overall risk assessment. Sent to HQ TT for support, due tomorrow by 11am. Also pending question on reference link. Clearance received pending feedback from TT.</t>
  </si>
  <si>
    <t>Tatiana</t>
  </si>
  <si>
    <t>2022-E000111</t>
  </si>
  <si>
    <t>https://ems.who.int/Event/eventSummary.aspx?eid=2022-E000111</t>
  </si>
  <si>
    <t>First human infection w H5  in USA. EIS Bulletin and DON are required.
1 May 2022: first draft of EIS was shared by PAHO / 2 May 2022: EIS draft has been shared w HQ PHI and TT and sent to PAHO. TT provided additional comments past the deadline for submission; these were later sent as version 2 to PAHO, but they had already shared the first version with NFP. / 3 May 2022: Received EIS w NFP concurrence, but no changes were added from version 2. EIS was posted.</t>
  </si>
  <si>
    <t>2022-E000106</t>
  </si>
  <si>
    <t>https://ems.who.int/Event/eventSummary.aspx?eid=2022-E000106</t>
  </si>
  <si>
    <t>laboratory and response capacity for RRA</t>
  </si>
  <si>
    <t>28 Apr 2022: received initial RRA from AFRO/WCO, AFRO scheduling 3LTC 1. to determine if RRA is needed, grading or other support. WCO scheduled to proceed w grading. Call this afternoon. Shared with TT for feedback before the 4pm call. 3LTC - waiting for version 3 from WCO with additional inputs on the meeting. Level of risk at national level remains to be discussed. Grading has been proposed. / 29 Apr 2022: received RRA from WCO, added inputs from PHI and TT and sent back to WCO/AFRO colleagues / 2 May 2022: sent follow up email on the status of RRA, also if decision has been made for EIS and DON. / 3 May 2022: Received RRA w inputs from WCO, pending confirmation from AFRO if they are in agreement w proposed levels of risk and actions/recommendations. For the EIS and DON - so far there is no authorization for these from national authorities / 4 May 2022: in clearance stage,  questions pending for CO to reply around lab/cases / 6 May 2022: still waiting for updates on lab side and index case details. Added Belinda representing lab for AFRO / 9 May 2022: received feedbakc from WCO on lab etc (4 May) / 10 May 2022: cleared for publication - published</t>
  </si>
  <si>
    <t>2 May 2022: sent follow up email on the status of RRA, also if decision has been made for EIS and DON/ 3 May 2022: so far there is no authorization for these from national authorities. 13 May 2022: MoH approved for EIS/DON; AFRO to initiate EIS draft / 14 May 2022: EIS draft received from AFRO over the weekend / 16 May 2022: Sent EIS w HQ PHI and TT inputs to AFRO. / 17 May 2022: WCO sent their inputs to AFRO/ 18 May 2022: AFRO compiling new inputs from WCO received today. / 19 May 2022: sent for clearance, noted EIS was sent with no NFP input / 20 May 2022: sent EIS with HQ edits back to AFRO so they can send to NFP for concurrence. AFRO sent to WCO for NFP concurrence today.</t>
  </si>
  <si>
    <t>3 May 2022: so far there is no authorization for these from national authorities.  13 May 2022: MoH approved for EIS/DON</t>
  </si>
  <si>
    <t>2022-E000121</t>
  </si>
  <si>
    <t>https://ems.who.int/Event/eventSummary.aspx?eid=2022-E000121</t>
  </si>
  <si>
    <t xml:space="preserve">9 May 2022: EURO initiated EIS draft and shared with HQ and AFRO using EURO SharePoint link. HQ forwarded link to HQ TT for inputs for 12 noon 10 May. </t>
  </si>
  <si>
    <t>2022-E000124</t>
  </si>
  <si>
    <t>https://ems.who.int/Event/eventSummary.aspx?eid=2022-E000124</t>
  </si>
  <si>
    <t>11 May 2022: proposed EURO draft initial EIS / 12 May 2022: EURO IHR to initiate first draft. Shared w TT</t>
  </si>
  <si>
    <t>WCO shared the first draft with everyone at the same time. TT started providing inputs.</t>
  </si>
  <si>
    <t>First draft received on 2 June and shared with TT/FCV for review by COB. Inputs shared back with AFRO on 3 June. Reminder sent on 13 June to AFRO, response is that it was shared with NFP on 6 June and is still waiting for concurrence. Another reminder sent on 21 June to AFRO (noting that numbers may now need to be updated). / 4 Aug: another reminder sent to AFRO. EIS was put on pause until results from IPD are available, however no further communication fro AFRO has been received so far.</t>
  </si>
  <si>
    <t>It was decided not to proceed with EIS and DON for this event as questions were raised regarding the reliability of laboratory confirmation done in the country. Samples were sent to IPD and so far results were inconclusive. In case the situation evolves, a new EIS can be initiated.</t>
  </si>
  <si>
    <t>13 May 2022: received IHR notification for a familial cluster of 2 confirmed cases of MPX, 1 additional suspected case. / 15 May 2022: notification of four additional cases (MSM) identified. / 16 May 2022: EIS draft sent to NFP, EIS w NFP concurrence received, Published on EIS site</t>
  </si>
  <si>
    <t>Tatiana, Kaja, Blanche, Lidia (RRA)</t>
  </si>
  <si>
    <t>2022-E000137</t>
  </si>
  <si>
    <t>https://ems.who.int/Event/eventSummary.aspx?eid=2022-E000137</t>
  </si>
  <si>
    <t>Draft will be initiated on 14 June</t>
  </si>
  <si>
    <t>14 June 2022: EIS draft initiated and sent to IMST and RO - due date Wed 15 June COB.</t>
  </si>
  <si>
    <t>Lidia, Katrina, Tatiana, Kaja</t>
  </si>
  <si>
    <t>2022-E000129</t>
  </si>
  <si>
    <t>https://ems.who.int/Event/eventSummary.aspx?eid=2022-E000129</t>
  </si>
  <si>
    <t>Tatiana, Kaja, Lidia</t>
  </si>
  <si>
    <t xml:space="preserve">22 June 2022: initiate EIS draft based on RRA, distributed to ROs and IMST due Thurs. </t>
  </si>
  <si>
    <t>20 May 2022: initial RRA Global &amp; Regional shared w HQ PHI</t>
  </si>
  <si>
    <t>17 May 2022: EURO has requested HQ initiate EIS draft</t>
  </si>
  <si>
    <t>19 May 2022: received EIS draft from WPRO. Shared w TT, feedback due by 10am 20 May / 21 May: sent EIS to WPRO w HQ and TT feedback / 24 May: Sent follow-up email on status of EIS.</t>
  </si>
  <si>
    <t>18 May 22: Polio TT at HQ to provide first draft for review./20 May 22: first draft received from polio TT, reviewed and shared it back with AFRO for response on pending question and onward accuracy check./24 May 22: with IHR NFP./30 May 21: reminder sent to AFRO. 1 June 22: pending final input from WCO and to check if it is accuracy checked./2 June 22: escalated it to Blanche./8 June 22: Escalated it to Esther / 10 June - Esther sends a reminder and this is forwarded from AFRO to WCO/16 June: Follow up email sent on the request for the status of the EIS as intially it was indicated that we give the IHR NFP 24 to 48 hrs to respond. No reply so far./ 17 June: final version received and posted on EIS platform on 17 June.</t>
  </si>
  <si>
    <t>19 May 2022: received EIS draft from WPRO. Shared w TT, feedback due by 10am / 21 May: sent EIS to WPRO w HQ and TT feedback / 24 May: Sent follow-up email on status of EIS.</t>
  </si>
  <si>
    <t>18 May 22: A decision was made to develop a measles global update on the measles situation as an EIS announcement on 13 May. HQ PHI team drafting./19 May 22: first draft shared with TT for review with deadline by COB 20 May 2022./24 May 22: revised clean version shared with regions and requested them to confirm their agreement by 11 am GVA time on 25 May 22.</t>
  </si>
  <si>
    <t>Tatiana, Katarina, Kaja, Lidia</t>
  </si>
  <si>
    <t>Draft shared by HQ on 26 May with deadline 27 May - noon</t>
  </si>
  <si>
    <t xml:space="preserve">2 June 2022: received EIS draft from WPRO. Shared w TT /  6 June 2022: EIS sent to WPRO w HQ PHI and TT inputs / 9 June 2022: sent WPRO an email checking on status of EIS / 13 June: on the status of this EIS for the first case reported (2 y/o male child from Guizhou province). 14 June 2022: Sent third reminder on the status of the EIS to WPRO this is for the 5th case of H5N6 w onset of illness in 2022 in China, we already published the 6th case. / 15 June 2022: WPRO is following up w NFP on the status of the EIS / 16 June 2022: EIS received with NFP inputs. </t>
  </si>
  <si>
    <t>3 June 2022: received EIS draft from WPRO / 6 June 2022: Shared w TT, feedback requested by 2pm. / EIS sent to WPRO w HQ teams input / 7 June: WPRO confirms receipt / 9 June 2022: sent WPRO an email checking on status of EIS / 13 June: received EIS w NFP inputs for the second case 5 y/o male from Hunan Province. The discrepancy around the date of notification to WHO remained (should be 2 June). Sent email to WPRO confirming the date for this EIS and also on the status of the first EIS for the first case reported (2 y/o male child from Guizhou province - reported 1 June).</t>
  </si>
  <si>
    <t>Savina/Etsub</t>
  </si>
  <si>
    <t>08 June (late) - first draft received for input, shared with TT/FCV for input with deadline by COB 09 June; Inputs sent back to AFRO on 10 June./16 June: Revised version with input from WCO and AFRO received. All inputs consolidated and a revised final version ready for clearance have been shared back asking the 3 levels of the organization to indicate if they agree on the risk levels and other sections of the RRA./17 June 2022: submitted for final review and clearance before dissemination.</t>
  </si>
  <si>
    <t>First draft shared with HQ for inputs on 28 June, Draft shared back with HQ inputs (inputs only from from HQ DVA team, as no response from TT after some reminders) on 30 June,  AFRO shared with WCO requesting NFP concurrence on 30 June, AFRO reminded WCO regarding pending NFP concurrence on 5 July, and once again on 11 July./15 July: reminder sent to AFRO and WCO./ 18 July - reminder sent to AFRO and WCO / 25 July - reminder sent to AFRO and WCO</t>
  </si>
  <si>
    <t>2022-E000189</t>
  </si>
  <si>
    <t>https://ems.who.int/Event/eventSummary.aspx?eid=2022-E000189</t>
  </si>
  <si>
    <t>8 June 2022: Decision was made to have an EIS on this event. Polio technical team to share first draft for review. 9 June - TT shares draft for review within HQ. 10 June draft reviewed by DVA and send to AFRO. 14 June AFRO forwards to WR requesting concurrence/16 June: AFRO made follow up on the EIS with WCO (WR) to check if the EIS was shared with IHR NFP for accuracy check./ 21 June 22: reminder sent to AFRO. /22 June 22: EIS is on hold until further notice according to AFRO colleagues.
28 June 2022: reminder sent to AFRO asking the status of this EIS./13 July 22: escalated to Esther for further follow up./13 July 22: AFRO is working with AFRO IHR to get the NFP concurrence and no update so far on this./18 July 22: Esther sent a reminder to AFRO./27 July 2022: follow up email sent to AFRO by Esther asking for update./16 Aug: reminder sent by Esther to AFRO IHR./19 Aug: Escalated to IHR secretariat. The plan is to escalate it to the RED. /26 September 2022: No reply received on this. After discussion with Esther, this EIS is considered closed given the long time spent without any response.</t>
  </si>
  <si>
    <t xml:space="preserve">9 June - first draft received for HQ inputs; 12 June - first draft shared back with AFRO; 14 June - 3LTC; </t>
  </si>
  <si>
    <t xml:space="preserve">17 June 2022: followed up with EMRO regarding planned EIS / 19 June 2022: EMRO asked for our support in preparing the first draft / 28 June: EIS draft prepared by EMRO with inputs from HQ shared back with EMRO </t>
  </si>
  <si>
    <t>2022-E000194</t>
  </si>
  <si>
    <t>https://ems.who.int/Event/EventCurrentCoreDetail.aspx?eid=2022-E000194</t>
  </si>
  <si>
    <t>8 June 2022: EIS proposed to SEARO / 9 June 2022: SEARO to confirm with WCO-SRL / 10 June 2022: The WCO advises that we will not develop EIS now but will carefully monitor – we will continue to work with WCO and when agreed, SEARO will develop the first draft for the EIS  (message from WPRO)</t>
  </si>
  <si>
    <t>Lidia, Farah</t>
  </si>
  <si>
    <t>14 June 2022: EIS draft received from WPRO, shared w TT, Sent back w TT and PHI inputs to WPRO / 21 June 2022: sent status update request of EIS / 23 June 2022: Sent another status update request of EIS; WPRO replied stating EIS has been cleared by IHR NFP and will be shared shortly for posting after internal review.</t>
  </si>
  <si>
    <t>2022-E000207</t>
  </si>
  <si>
    <t>https://ems.who.int/Event/eventSummary.aspx?eid=2022-E000207</t>
  </si>
  <si>
    <t xml:space="preserve">7 Aug: EMRO addressed comments from HQ and shared the updated draft for a 3-level call scheduled for Monday, 8 Aug at 3pm Geneva time. 8 Aug: 3-level call to discuss RRA was on 8 Aug. EMRO shared the draft updated after the call for last inputs before final clearance. </t>
  </si>
  <si>
    <t>During RRA call on 8 Aug, CO insisted on not posting DON for this event due to high political sensitivity in the country</t>
  </si>
  <si>
    <t>Tatiana/Victoria</t>
  </si>
  <si>
    <t>25 June 2022 - draft received and shared with TT, inputs due 1pm Monday 26 June. To be included into the DLS on Monday / 27 June 2022: Shared EIS draft with HQ teams inputs to WPRO / 1 July 2022: Sent follow up request to WPRO / 4 July 2022: Sent 2nd follow up request to WPRO / 6 July 2022: Sent 3rd request to WPRO on status of EIS. / 7 July 2022: Received feedback from WPRO w NFP comments, sent for clearance.</t>
  </si>
  <si>
    <t>Anastasia/Tatiana</t>
  </si>
  <si>
    <t>unsure of declaration 3 or 4 July</t>
  </si>
  <si>
    <t>28 June 2022: EIS has been shared w TT, plan to send to AFRO by COB / 29 June 2022: EIS draft sent to AFRO  / 1 July 2022: received from AFRO, figures to be updated on 2 July evening;  sent to Esther for clearance</t>
  </si>
  <si>
    <t>2022-E000205</t>
  </si>
  <si>
    <t>https://ems.who.int/Event/eventSummary.aspx?eid=2022-E000205</t>
  </si>
  <si>
    <t>4 July 2022: EIS draft received and shared with TT and sent to SEARO / 5 July 2022: SEARO acknowledged receipt of draft EIS and stated they will be confirming with WCO for release of the DON / 7 July 2022: Request for status of the EIS sent to SEARO.  / 8 July 2022: SEARO replied EIS draft was sent to NFP on 7 July. / 13 July 2022: SEARO sent draft with NFP inputs to outbreak Friday afternoon after communicating earlier. This has now been sent for clearance.</t>
  </si>
  <si>
    <t>David</t>
  </si>
  <si>
    <t>2022-E000254</t>
  </si>
  <si>
    <t>finalised</t>
  </si>
  <si>
    <t>Adedoyin</t>
  </si>
  <si>
    <t>https://ems.who.int/Event/EventCurrentCoreDetail.aspx?eid=2022-E000137</t>
  </si>
  <si>
    <t>Almost finalised</t>
  </si>
  <si>
    <t>2022-E000268</t>
  </si>
  <si>
    <t>https://ems.who.int/Event/eventSummary.aspx?eid=2022-E000268</t>
  </si>
  <si>
    <t>15 July 2022: decision made for EIS. Polio TT at HQ will share first draft for review.25  July - polio TT shared first draft for review./2 Augst: reminder sent to AFRO and reply came back to say EIS with the IHR NFP./16 Aug: AFRO IHR sent reminder to IHR NFP. /19 Aug: Escalated to IHR secretariat. The plan is to escalate it to the RED./30 Aug: final draft received, cleared, and published.</t>
  </si>
  <si>
    <t>2022-E000267</t>
  </si>
  <si>
    <t>https://ems.who.int/Event/eventSummary.aspx?eid=2022-E000267</t>
  </si>
  <si>
    <t>AFRO will start the draft. Information on the way to do an EIS draft was shared with the new comers in AFRO on 23 Juky 2022. / 30 July 2022: received email that EIS was cleared by MoH for publication, however no attachment with the final versio was received. DO requested from AFRO to provide / 31 July 2022: Received final cleared version from AFRO and shared with Esther for clearance.</t>
  </si>
  <si>
    <t>29 July: EIS announcement posted with clearance from all 5 ROs, data cut off 24 July. Included links to guidance, updated epi curve, info on global survey</t>
  </si>
  <si>
    <t>next (final) EIS tentatively planned end August, to include survey results</t>
  </si>
  <si>
    <t>8 Sept published</t>
  </si>
  <si>
    <t>Victoria / David/ Dunja</t>
  </si>
  <si>
    <t>2022-E000312</t>
  </si>
  <si>
    <t>https://ems.who.int/Event/eventSummary.aspx?eid=2022-E000312</t>
  </si>
  <si>
    <t>[Note: This is a PHSA rather than an RRA]</t>
  </si>
  <si>
    <t>Draft received from EMRO on 18 September, 20 September sent back to EMRO with PHI, dengue and Malaria TT inputs</t>
  </si>
  <si>
    <t>Savina/Kaja/Lidia</t>
  </si>
  <si>
    <t>2022-E000313</t>
  </si>
  <si>
    <t>https://ems.who.int/Event/eventSummary.aspx?eid=2022-E000313</t>
  </si>
  <si>
    <t>EIS and potential DON paused/suspended due to sensitivities. Event closed for the time benig on 30 November 2022.</t>
  </si>
  <si>
    <t>2022-E000301</t>
  </si>
  <si>
    <t>https://ems.who.int/Event/eventSummary.aspx?eid=2022-E000301</t>
  </si>
  <si>
    <t xml:space="preserve"> EIS on hold, Waiting  laboratory samples results from US CDC</t>
  </si>
  <si>
    <t>7 August: first draft received from PAHO. Deadline for review by COB 9 August 2022./11 Aug: PAHO responded to say the National Immunization Commission in Bolivia decided to send the samples to the Centers for Disease Control and Prevention (US-CDC) for perform avidity tests in order to determine the final classification of the case. Therefore, we will wait for that information prior to continue with the EIS posting on this event. Therefore, we are on stand by for this EIS./24 Aug 22: reminder sent to PAHO asking if they heard back on the result of the avidity test./24 Aug 22: Response from PAHO was received and indicated that they have followed up with the WCO and no response has been received so far./According to EMS update, on 3 October 2022, Bolivia Country Office responded to the follow-up sent by PAHO on 22 September 2022 regarding the final classification of the rubella case. Bolivia IHR NFP informed that the final classification from CDC laboratory is not available at the moment./13 Oct 2022: the laboratory samples were sent to the US CDC on 4 October and results are still pending. /15 Dec 22: EIS is closed pending the result of the lab confirmation from US CDC.</t>
  </si>
  <si>
    <t>Victoria</t>
  </si>
  <si>
    <t>2022-E000316</t>
  </si>
  <si>
    <t>https://ems.who.int/Event/eventSummary.aspx?eid=2022-E000316</t>
  </si>
  <si>
    <t>7 August: first draft received from PAHO. Deadline for review by 2pm 8 August 2022.</t>
  </si>
  <si>
    <t>10 August: first draft received from WPRO. Deadline for review by COB 11 August 2022.</t>
  </si>
  <si>
    <t>David/Anastasia/Tatiana</t>
  </si>
  <si>
    <t>2022-E000320</t>
  </si>
  <si>
    <t>https://ems.who.int/summary/summaryCountry.aspx?countryID=79</t>
  </si>
  <si>
    <t>30 August 2022: RRA will be finalised via email, AFRO colleagues to share.</t>
  </si>
  <si>
    <t xml:space="preserve">2022-E000328 </t>
  </si>
  <si>
    <t>https://ems.who.int/Event/eventSummary.aspx?eid=2022-E000328</t>
  </si>
  <si>
    <t>18 August draft received from RO</t>
  </si>
  <si>
    <t>19 August: first draft shared with HQ TT for review by 20 August 2022 before 4pm.</t>
  </si>
  <si>
    <t>Victoria/Tatiana</t>
  </si>
  <si>
    <t>20 August draft received, shared for comments, deadline 11AM 22 August</t>
  </si>
  <si>
    <t xml:space="preserve">
2022-E000031</t>
  </si>
  <si>
    <t>https://ems.who.int/summary/summaryCountry.aspx?countryID=215</t>
  </si>
  <si>
    <t>21 August EIS draft received, PAHO request review by midnight</t>
  </si>
  <si>
    <t>2020-E000475</t>
  </si>
  <si>
    <t>https://ems.who.int/Event/eventSummary.aspx?eid=2020-E000475</t>
  </si>
  <si>
    <t>Draft received and shared with TT on 31 August</t>
  </si>
  <si>
    <t>2021-E000192</t>
  </si>
  <si>
    <t>https://ems.who.int/Event/eventSummary.aspx?eid=2021-E000192</t>
  </si>
  <si>
    <t>2022-E000342</t>
  </si>
  <si>
    <t>https://ems.who.int/Event/eventSummary.aspx?eid=2022-E000342</t>
  </si>
  <si>
    <t>Farah, Lidia</t>
  </si>
  <si>
    <t>Final comments on 6 September 2022</t>
  </si>
  <si>
    <t>Abdallah/Dunja/ Felix</t>
  </si>
  <si>
    <t>2022-E000345</t>
  </si>
  <si>
    <t>https://ems.who.int/Event/eventSummary.aspx?eid=2022-E000345</t>
  </si>
  <si>
    <t>15 Sep: SEARO said RRA is being drafted, 16 September RRA draft received from SEARO; 16 Sep RRA sent back to SEARO with PHI and TT inputs; 21 September received the final draft back from SEARO, 23 Sep RRA finalized and distributed</t>
  </si>
  <si>
    <t>20 Sep received EIS draft from SEARO; 21 Sep shared back with SEARO, 22 Sep EIS with NFP waiting response may be by 26 Sep,29 Sep received final draft from SEARO to be cleared and posted on 30 Sep, 30 Sep eis published</t>
  </si>
  <si>
    <t xml:space="preserve">Anastasia/Victoria </t>
  </si>
  <si>
    <t>2022-E000363</t>
  </si>
  <si>
    <t>https://ems.who.int/Event/eventSummary.aspx?eid=2022-E000363</t>
  </si>
  <si>
    <t>14 September: draft shared with TT for review before 4pm on 15 Sep. 16 September: reviewed draft sent back to AFRO. 22 September: reminder dent to AFRO</t>
  </si>
  <si>
    <t>28 September: AFRO is drafting, 04 October 2022 initial draft received from AFRO, shared with HQ PHI and TT for inputs, deadline 05 October 2022 3pm,  05 October 2022, EIS  with HQ inputs shared with AFRO, 10 October 2022 followed up with AFRO on the status of teh EIS for Cholera in Niger</t>
  </si>
  <si>
    <t>DON has been withdrawn</t>
  </si>
  <si>
    <t>Polio - cVDP2</t>
  </si>
  <si>
    <t>3 Sep 22: the first draft received and circulated for review with a deadline on 5 Sep 22 by 11 am. Revised draft shared back with EURO.</t>
  </si>
  <si>
    <t>5 Sp 22</t>
  </si>
  <si>
    <t>https://ems.who.int/Event/eventSummary.aspx?eid=2022-E000091</t>
  </si>
  <si>
    <t>Drafted by PHI and shared with EMRO and TT on 7 September with deadline 12 September. 13 Sep: EMRO sent a reminder to WCO regarding their inputs</t>
  </si>
  <si>
    <t>2022-E000352</t>
  </si>
  <si>
    <t>https://ems.who.int/Event/eventSummary.aspx?eid=2022-E000352</t>
  </si>
  <si>
    <t>15 September: being finalized</t>
  </si>
  <si>
    <t xml:space="preserve">15 September: EIS is marked as planned in the RRA finalized on 15 September. 20 September: on 18 September EMRO shared the first draft. On 20 September, the draft with inputs from HQ was sent back to EMRO. </t>
  </si>
  <si>
    <t>2022-E000358</t>
  </si>
  <si>
    <t>https://ems.who.int/Event/eventSummary.aspx?eid=2022-E000358</t>
  </si>
  <si>
    <t>21 September EIS draft shared by EMRO,shared with TT at the same day, 22 september draft shared back to EMRO with HQ edits and inputs, 29 Sep reminder sent to EMRO and replied that the EIS is with Pakistan NFP for accuracy check, 6 October EIS received from EMRO with agreement from NFP for DON, 6 October EIS revised and cleared by Esther and ready for posting, 6 October EIS is published!</t>
  </si>
  <si>
    <t xml:space="preserve">	2022-E000279</t>
  </si>
  <si>
    <t>https://ems.who.int/Event/eventSummary.aspx?eid=2022-E000279</t>
  </si>
  <si>
    <t>12 September 2022: EIS draft sent to PAHO with HQ inputs. 15 September PAHO sent back the EIS with NFP concurrence ,</t>
  </si>
  <si>
    <t xml:space="preserve">
2022-E000254</t>
  </si>
  <si>
    <t>https://ems.who.int/Event/eventSummary.aspx?eid=2022-E000254</t>
  </si>
  <si>
    <t>Unknown declaration date, date of end of outbreak 16 September.</t>
  </si>
  <si>
    <t>13 September 2022: EIS has been drafted by HQ, and shared w TT  2022, expect to send to AFRO on 14 September for end of outbreak on 16 September in anticipation of declaration (unk date).</t>
  </si>
  <si>
    <t>Anastasia/Felix</t>
  </si>
  <si>
    <t>2022-E000370</t>
  </si>
  <si>
    <t>https://ems.who.int/Event/eventSummary.aspx?eid=2022-E000370</t>
  </si>
  <si>
    <t xml:space="preserve">15 Oct (Saturday), CO shared with AFRO and PHI the first draft asking to put it on SharePoint. The draft shared with HQ TT with a deadline 1pm on 17 Oct. On 17 Oct, the draft with HQ inputs (PHI and TT) sent back to AFRO. 20 Oct. - 3-level call was conducted and everyone agreed on the level of risk. The draft is with CO to address remaining comments/questions before finalization. </t>
  </si>
  <si>
    <t>Etsub/Victoria</t>
  </si>
  <si>
    <t>AMRO Regional</t>
  </si>
  <si>
    <t>20 September 2022: Draft shared by PAHO, 21 September draft shared with TT for review before 4pm  on 21 September. /23 sept 22: reviewed version shared back with AMRO.</t>
  </si>
  <si>
    <t>2022-E000372</t>
  </si>
  <si>
    <t>https://ems.who.int/Event/eventSummary.aspx?eid=2022-E000372</t>
  </si>
  <si>
    <t>RRA finalized. Grading call was on 21 September - grade 2</t>
  </si>
  <si>
    <t xml:space="preserve">21 September: updated verson sent to AFRO following the discussions about the correct nomenclature. </t>
  </si>
  <si>
    <t>David/Tatiana</t>
  </si>
  <si>
    <t>202-E000384</t>
  </si>
  <si>
    <t>https://ems.who.int/Event/eventSummary.aspx?eid=2022-E000384</t>
  </si>
  <si>
    <t>15 Sep: WCO decision to draft RRA for RVF, 20 September, email reminder sent to AFRO,  22 September reminder sent again to AFRO, 27 September initial draft received from AFRO and shared with HQ TT for edits and inputs. Draft circulated for review with deadline on 28 September 2022 by 2pm./30 Sep 2022: RRA was published.</t>
  </si>
  <si>
    <t>06 October 2022 received initial draft from AFRO, shared draft with HQ TT and PHI for inputs deadline Friday 7 October by 1pm Geneva time, 07 October 2022, shared with AFRO draft with HQ inputs / 10 October 2022: Sent follow up request to AFRO.</t>
  </si>
  <si>
    <t>Depands of the information we will have from WCO</t>
  </si>
  <si>
    <t>2022-E000376</t>
  </si>
  <si>
    <t>https://ems.who.int/Event/eventSummary.aspx?eid=2022-E000376</t>
  </si>
  <si>
    <t>26 September 2022 initial draft received from EMRO, shared with HQTT, 27 September sent back to EMRO for further inputs, 06 October 2022 received draft from RO , 06 October received feedback fro RO and finalized EIS</t>
  </si>
  <si>
    <t>Victoria/Kaja/Dunja</t>
  </si>
  <si>
    <t>28 September HQ initiated drafting of RRA, 04 October 2022 draft shared with the regions and TT for their inputs, 12 October 2022 shared with Boris and Rosamund for final review and inputs, 13 October 2022 shared draft with AFRO nad EMRO to provide further inputs updates to tehir RRA sections</t>
  </si>
  <si>
    <t>Victoria/Dunja</t>
  </si>
  <si>
    <t>2022-E000340</t>
  </si>
  <si>
    <t>29 September 2022 initial draft received from WPRO, shared with HQ TT for inputs deadline 30 September 4pm and shared back with WPRO, 07 October 2022 followed up with WPRO on revised draft and WPRO is following up with CO, 10 Oct 2022 followed up with WPRO on status of the EIS, 12 October 2022 received feedback fro WPRO that they are waiting for feedback from WCO</t>
  </si>
  <si>
    <t>Avian Influenza A (H5N1)</t>
  </si>
  <si>
    <t>2022-E000391</t>
  </si>
  <si>
    <t>https://ems.who.int/Event/eventSummary.aspx?eid=2022-E000391</t>
  </si>
  <si>
    <t>05 October 2022 initial draft received from EURO deadline 6 October 5pm Geneva time, 06 October shared with HQ PHI and TT for inputs and HQ sent back draft with comment and inputs to EURO, 10 Oct 2022 EURO shared revised draft with HQ for finalization, 12 October EIS finalized and published</t>
  </si>
  <si>
    <t>Lidia/Anastasia/Kaja</t>
  </si>
  <si>
    <t>2022-E000389</t>
  </si>
  <si>
    <t>https://ems.who.int/Event/eventSummary.aspx?eid=2022-E000389</t>
  </si>
  <si>
    <t xml:space="preserve">On 9 Oct 22AFRO sent the draft with the pending comments for further feedback to WCO. On 11 Oct . AFRO sent a reminder to WCO. On 14 Oct, consolidated draft was shared across the 3L. Agreement from AFRO /WCO recieved on 17 Oct. Pending TT final feedback. On 19 Oct, TT replied that they dont agree with some actions reflected in the RRA. Second round follow up was done accross the 3L. Final agreement  received in the evening on 19 Oct. Sent for clerance on 20 Oct. </t>
  </si>
  <si>
    <t>Draft received from AFRO 3 October 2022 and shared with TT . Mayor adjustments on the level of Risk and the content of the RRA made by PHI. Sent back to AFRO 6 Oct 22 and SM informed. Two rounds  for the agreement on the main actions specified in the RRA. Final agreement on 19 Oct, in the evening. Final clearance and distribution on 20 Oct 2022.</t>
  </si>
  <si>
    <t>Victoria/Felix</t>
  </si>
  <si>
    <t>2022-E000377</t>
  </si>
  <si>
    <t>https://ems.who.int/Event/eventSummary.aspx?eid=2022-E000377</t>
  </si>
  <si>
    <t>06-Oct-22 Initial draft prepared by HQ and shared with HQ ANd AFRO, 07-Oct-22 link to  RRA draft shared by AFRO for simultaneous inputs by the 2 levels (HQ/RO). 10 October, shared with TT for review. 14 October, the draft with HQ inputs (PHI and TT) sent back to AFRO. 19 October, reminder sent to AFRO. On 24 October, another reminder sent to AFRO. On 1 November, WCO shared the updated version. On 2 November, the draft with additional HQ comments sent back to AFRO with a deadline 12:00 on 3 Nov. 3. On 14 Nov, 3 level call to discuss risk levels. on 16 november, reminder sent to AFRO to provide RRA document including latest changes from 3 level call. On 16 Nov, draft including changes from 3 level call shared with HQ, cleared and distributed 16 Nov.</t>
  </si>
  <si>
    <t>18 November 2022; received initial draft from AFRO and shared with HQ for inputs with deadline Monday 21 November 2022 1pm , 21 November 2022, EIS draft with HQ input sent back to AFRO; 24 November reminder sent to provide version with NFP concurrence, deadline for monday, 28 november 10am. 30 Nov another reminder sent to AFRO, deadline 1 December 10am, another reminder sent 6 December, deadline by 7 December 8am; 9 Dec Ddraft with NFP concurrence received, published 9 Dec 2022</t>
  </si>
  <si>
    <t>2022-E000398</t>
  </si>
  <si>
    <t>https://ems.who.int/Event/eventSummary.aspx?eid=2022-E000398</t>
  </si>
  <si>
    <t>09 Oct 22 initial draft received from PAHO, shared with HQ TT for inputs deadline 10 Oct 22 11am CET, 10 Oct-22 shared draft with HQ inputs with PAHO, 13 October 2022 followed up with PAHO on EIS status</t>
  </si>
  <si>
    <t>Etsub, Victoria, Abdallah</t>
  </si>
  <si>
    <t>2017-E000099</t>
  </si>
  <si>
    <t>https://ems.who.int/Event/eventSummary.aspx?eid=2017-E000099</t>
  </si>
  <si>
    <t>13 March 23: first draft received from WCO./16 March: reviewed version shared with AFRO. /3 April 23: 3LTC planned for Tuesday 4 April 2023 to finalize the RRA, 3LTC has been conducted and agreed on EIS and DON and the new level of risk as high for national and regional and low for global level. /11 April 2023: after two rounds of back and forth on 6 April and 10 April feedback, revised version received from WCO. /11 April: submitted for final clearance with Boris.</t>
  </si>
  <si>
    <t>11 April 23: An email requesting for first draft of the EIS sent to AFRO. /12 Ap 23: AFRO responded to say they will draft the EIS and will revert to us for review.</t>
  </si>
  <si>
    <t>Victoria/Anastasia/Felix</t>
  </si>
  <si>
    <t>2022-E000399</t>
  </si>
  <si>
    <t>https://ems.who.int/Event/eventSummary.aspx?eid=2022-E000399</t>
  </si>
  <si>
    <t>13 Oct received draft by EMRO. 14 Oct HQ comments integrated. 3 level TC on RRA, to be sent by EMRO to HQ again for clearance and dissemination. 17 Oct, received the final draft from EMRO with all comments addressed, and the RRA was cleared and disseminated.</t>
  </si>
  <si>
    <t>10 October 2022 EMRO prepared initial EIS draft and shared with HQ for inputs, ,deadline 10 October 5pm, HQ shared inputs with EMRO, 12 October 2022 Received EIS draft with NFP concurrence from EMRO, 13 October 2022 shared reviewed EIS with EMRO for further inputs as per HQ comments</t>
  </si>
  <si>
    <t>Victoria/ Dunja</t>
  </si>
  <si>
    <t>2022-E000406</t>
  </si>
  <si>
    <t>https://ems.who.int/Event/eventSummary.aspx?eid=2022-E000406</t>
  </si>
  <si>
    <t xml:space="preserve">14 October 2022 EURO prepared an initial EIS draft and shared with HQ for inputs, draft was shared with HQ TT with deadline Monday 17 October 2022 12pm CET, 18 October received feedback fro RO, finalized and posted </t>
  </si>
  <si>
    <t>Etsub, Abdallah, Victoria</t>
  </si>
  <si>
    <t>2022-E000498</t>
  </si>
  <si>
    <t>https://ems.who.int/Event/eventSummary.aspx?eid=2022-E000498</t>
  </si>
  <si>
    <t>8 Feb 23: first draft received from AFRO. It is circulated for review by 11 am 9 Feb 23./10 Feb 23: revised version with HQ's proposed input shared back with AFRO./20 Feb 23: revised version with pending question shared back with AFRO./22 Feb 23: submitted for clearance to Esther.</t>
  </si>
  <si>
    <t>7 March: first draft received, circulated for review with deadline by noon 8 March 2023./9 March 23: reviewed EIS shared with AFRO./13 March: shared with Boris/Olivier for final review and clearance./14 March: published.</t>
  </si>
  <si>
    <t>16 October 2022 WPRO prepared an initial EIS draft and shared with HQ for inputs, draft was shared with TT with deadline Monday 17 October COB, shared HQ feedback with WPRO, 20-Oct-22 Followed up with WPRO on EIS status, 19 November 2022 received final draft with NFP concurrence from WPRO</t>
  </si>
  <si>
    <t>2022-E000410</t>
  </si>
  <si>
    <t>https://ems.who.int/Event/eventSummary.aspx?eid=2022-E000410</t>
  </si>
  <si>
    <t>17-0ct-22</t>
  </si>
  <si>
    <t>20 Oct - the first draft shared by TT. 24 Oct - comments received from all regions except  for WPRO.</t>
  </si>
  <si>
    <t>16 October 2022 WPRO prepared an initial EIS draft and shared with HQ for inputs, draft was shared with TT with deadline Monday 17 October COB, shared HQ feedback with WPRO, 20-Oct-22 Followed up with WPRO on EIS status, 26 October 2022 followed up with WPRO on EIS status, 3 November 2022 followed up with WPRO on EIS status</t>
  </si>
  <si>
    <t>22 October 2022: EURO replied that they will discuss on Monday whether or not to proceed with a DON. / 24 October 2022: EURO has agreed to publish a DON based on: It is rather unusual having more than 1 human case infected; There are a number of influenza A/H5N1 outbreaks in animals in recent years; We hope a DON can catch the attention of at least those people who need to contact with animals (eg. farm workers) to better protect themselves; There might be upcoming media inquiries.</t>
  </si>
  <si>
    <t>Avian Influenza A (H5)</t>
  </si>
  <si>
    <t>2022-E000422</t>
  </si>
  <si>
    <t>https://ems.who.int/Event/eventSummary.aspx?eid=2022-E000422</t>
  </si>
  <si>
    <t>22 October 2022: WPRO shared initial EIS draft as well as IHR notification. EIS was uploaded to SharePoint and shared with PHI FPs and TT for deadline of COB on Monday 24 October. / 24 October 2022: EIS sent to EPRO w HQ teams comments. / 25 October 2022: Aspen TT requested to add further inputs to EIS, these were then sent to WPRO (they had not yet sent to NFP yesterday). / 27 October 2022: cleared and posted.</t>
  </si>
  <si>
    <t xml:space="preserve">22 October 2022: As of today, an EMS has not been opened for this event and we need confirmation if a DON will be published. An email to this effect was sent on the 22nd to WPRO.  / 24 October 2022: WPRO replied they plan to open this event on Monday before circulating daily surveillance report. Once they receive additional inputs from HQ on Monday, they will send to NFP for further inputs and clearance. Hopefully subtyping will be known before EIS publishing. They are working with WCO whether DON should be considered. They will keep posted with updates. / 24 October 2022: an EMS event was opened / 31 October 2022: WPRO replied: "Per advice of WCO and senior management, DON posting should not be considered at this stage." </t>
  </si>
  <si>
    <t>Lidia / Kaja</t>
  </si>
  <si>
    <t xml:space="preserve">In mid October 2022, discussion held with the EYE technical forum, PHI and AFRO to further update the Regional RRA on a 6 months basis, based on the montly  feedback provided by the YF IMST. Agreement to have a finalised version before 5 December 22, for planning purposes in regards to the ongoing response and according to the ERF. First draft RRA received from AFRO on 22 November 2022 and shared with  the 3 levels simultaneously. The deadline for inputs is established on Wednesday, 23 November 2022. </t>
  </si>
  <si>
    <t xml:space="preserve">First draft expected by 15 Dec 22 / 17 December 2022: Received EIS announcement draft from AFRO. </t>
  </si>
  <si>
    <t>https://ems.who.int/Event/eventSummary.aspx?eid=2012-E000288</t>
  </si>
  <si>
    <t>17 October 2022: Will need to have updated entry into EMS prior to EIS publication. Need to determine if a DON will be published. / 18 October 2022: EMS updated, waiting on feedback from NFP on proceeding or not with the DON / 1 November 2022: pending final results of MERS cases for KSA</t>
  </si>
  <si>
    <t>17 October 2022: EMRO prepared an initial EIS draft and shared w HQ for inputs. Draft was shared w TT with deadline for tomorrow Tuesday 18 October 10am. EMRO requesting turn around by 12 noon if possible. / 18 October 2022: EIS was sent back to EMRO with comments from HQ teams. / 23 October 2022: Sent a follow up request to EMRO on status of EIS and feedback from NFP on proceeding with the DON. Pending reply regarding the reporting of the 4 cases to WHO/EMRO.  / 25 October 2022: EMRO replied they have already sent to NFP (though no date when it was sent was provided), they also shared back to HQ clean version that was sent to NFP along w replies to HQ TT; this version will now be forwarded onto HQ TT for their records. EMRO TT is still in data synchronization phase with KSA MOH on the figure for total cases and deaths in KSA and hence global MERS CoV. 28 October 2022: We hope to probably receive EIS on Sunday (PHI) but can follow up on Monday. / 30 October 2022: Received EIS / 31 October 2022: Asked to hold on publishing according to request from KSA IHR NFP, they are conducting now a review of cases. EMRO will update HQ once we receive the update from them supposably on the 7th of November. / 9 November 2022: the EIS w updated figures were shared Monday pm - this has now been uploaded and shared for clearance</t>
  </si>
  <si>
    <t>Request for DON was sent with EIS draft sent to IHR NFP-KSA from EMRO</t>
  </si>
  <si>
    <t xml:space="preserve">Draft shared by AFRO on 1 Nov. On 1 Nov, shared for comments with TT and other HQ colleagues with a deadline by COB. HQ review finished on 2 November. On 2 November shared back with AFRO asking them to address comments by 10am on Thursday, 3 November. </t>
  </si>
  <si>
    <t>Abdallah</t>
  </si>
  <si>
    <t>2022-E000437</t>
  </si>
  <si>
    <t>https://ems.who.int/Event/eventSummary.aspx?eid=2022-E000437</t>
  </si>
  <si>
    <t>RRA first draft was received from EMRO on 8 Nov. and shared with HQ TT for their inputs, shared back with EMRO on 9 November after HQ inputs,3ltc was conducted on 10 November, the consolidated draft was shared on 11 November for HQ inputs and shared back with EMRO on 12 November, Final version shared back from EMRO on 14 November for final review and clearance before posting, The RRA was published on 16 November 2022.</t>
  </si>
  <si>
    <t>EIS first draft was received from EMRO on Sunday 20 November and was shared with TT on 21 November for inputs with a deadline of 22 November 1 pm.EIS sent to EMRO for IHR NFP concurrence on 22 Nov., EMRO shared it back afier IHR NFP concurrence on 12 Dec.EIS cleared and published on 13 DEC.</t>
  </si>
  <si>
    <t>2 December 2022: This event is currently on stand-by as we wait for IHR NFP concurrence as well as an update for the case numbers. EMRO sent an email to this effect on 1 December stating "Sorry for the delay, it’s only pending the cases update as they mentioned number of cases is now different than what’s written but still didn’t the updated figure to clear the EIS. It’s taking long as the IHR NFP was out of country and unreachable. We are following this up and will share with you the updated version once we receive it from the CO." Also noting inability to retrieve information from MoH, as per RRA "The age distribution or an update on case numbers is not available as the Ministry of Health Development (MOHD) in Somaliland has not shared any the data with WHO (all information regarding Somaliland are from other confidential sources)"</t>
  </si>
  <si>
    <t>Felix/Tatiana</t>
  </si>
  <si>
    <t>https://ems.who.int/summary/summaryCountry.aspx?countryID=18</t>
  </si>
  <si>
    <t>9 November 2022: will we need a new EMS event opened due to different geographical location (Dhaka vs CXB)? - discussed with Dunja, not necessary.</t>
  </si>
  <si>
    <t xml:space="preserve">8 November 2022: SEARO shared initial EIS draft, it has been sent to TT for review with deadline for 10am on Thursday 10 November. Request from SEARO is to return by COB on Thursday.
10 Nov  draft with HQ inputs sent back to SEARO, also asked for the need of DON. / 14 November 2022: Sent email to SEARO requesting status of EIS. SEARO replied they are following up with WCO colleagues on the EIS and checking whether they can proceed for DON. </t>
  </si>
  <si>
    <t>Etsub, Abdallah</t>
  </si>
  <si>
    <t>2022-E000459</t>
  </si>
  <si>
    <t>https://ems.who.int/Event/eventSummary.aspx?eid=2022-E000459</t>
  </si>
  <si>
    <t>28 Dec 2022: first draft received from SEARO for review. /5 Jan 2023: revised version sent back to SEARO./17 Jan 2023: reminder sent to SEARO./25 Jan. RRA published</t>
  </si>
  <si>
    <t>Felix, Anastasia, Victoria</t>
  </si>
  <si>
    <t xml:space="preserve">
2022-E000386</t>
  </si>
  <si>
    <t>https://ems.who.int/Event/eventSummary.aspx?eid=2022-E000386</t>
  </si>
  <si>
    <t xml:space="preserve">RRA draft received by PAHO 29 Nov, no previous headsup, unclear when decision to do RRA was made; shared with TT; Shared back with PAHO 30 Nov; 2 Dec, shared for clearance by PAHO; However, not WHO template used, shared RRA in WHO template again with PAHO on 2 December; 2 December final version for clearance received by PAHO; due to confusion surrounding numbers, RRA held back until 6 Dec; </t>
  </si>
  <si>
    <t>1st draft received 2 Dec, shared with TT; Shared back to PAHO 5 Dec, received version with NFP concurrence 5 Dec;</t>
  </si>
  <si>
    <t>Decision to draft DON confirmed by PAHO 12-Dec;</t>
  </si>
  <si>
    <t>Victoria/Etsub</t>
  </si>
  <si>
    <t>2022-E000447</t>
  </si>
  <si>
    <t>Event Summary (who.int)</t>
  </si>
  <si>
    <t>On 30 November 2022, received initial RRA draft from SEARO and shared with TT deadline Thursday 1 December 2022, 12pm Geneva time/1 December 2022: shared back with SEARO with proposed inputs.</t>
  </si>
  <si>
    <t>5 Dec 2022: first draft of the EIS received from SEARO. It is circulated for review with deadline for input by 10 am 6 December 2022.</t>
  </si>
  <si>
    <t>Tatiana/ Victoria</t>
  </si>
  <si>
    <t>The number of affected poultry farms in Europe - Dunja to search for the information</t>
  </si>
  <si>
    <t>5 December 2022: received EIS draft from EURO, shared with influenza TT with a deadline of 0900 on Tuesday 6 December. EURO requesting to have feedback by 10am. / 6 December 2022: EIS draft with HQ inputs sent back to EURO for further inputs and concurrance by NFP Spain; EIS sent to EURO w comments from TT and PHI teams, 7 December 2022; EIS draft received from EURO with NFP concurrence and input, HQ provided further comments and draft was shared with EURO to address the comments. 08 Dec 2022 received final draft from EURO for finalizing and dissemination</t>
  </si>
  <si>
    <t>Felix, Blanche, Lidia</t>
  </si>
  <si>
    <t>UK, Netherlands, Ireland, France, Sweden</t>
  </si>
  <si>
    <t>2022-E000483</t>
  </si>
  <si>
    <t>https://ems.who.int/Event/eventSummary.aspx?eid=2022-E000483</t>
  </si>
  <si>
    <t>10 December published</t>
  </si>
  <si>
    <t>Etsub, Victoria</t>
  </si>
  <si>
    <t>2022-E000493</t>
  </si>
  <si>
    <t>https://ems.who.int/Event/eventSummary.aspx?eid=2022-E000493</t>
  </si>
  <si>
    <t>11 Dec 22: first draft received from PAHO. It was circulated for review with deadline by noon 12 Dec 22. /13 Dec 22: revised draft shared back with PAHO.</t>
  </si>
  <si>
    <t>14 Dec 22: first draft received from WCO. Deadline for review 15 Dec 22 COB./15 Dec: revised version shared back with AFRO and WCO for addressing the pending questions./21 Dec 22: WCO colleagues responded with a revised draft. AFRO to consolidate and share a revised version with HQ PHI./22 Dec 22: revised version received from AFRO. The current version is shared with TT to address one pending question on the same day. Deadline for input is by COB 22 Dec 22./27 Dec 22: follow up made with measles TT to address pending question on the RRA addressed to HQ TT./28 Dec 22: revised version with pending question shared back with AFRO. / 29 December 2022: final inputs into the RRA received from AFRO, under clearance to publish</t>
  </si>
  <si>
    <t>29 December 2022: On the RRA, AFRO agreed to proceed with EIS, EIS draft to be shared shortly by AFRO./4 Jan 2023: AFRO shared first draft and revised version shared back with AFRO on 5 Jan./17 Jan 23: remidner sent to AFRO./26 Jan 23: reminder sent to AFRO./1 Feb 23: final version shared with Esther for clearance.</t>
  </si>
  <si>
    <t>29 December 2022: On the RRA, AFRO agreed to proceed with DON, IND colleagues in copy.</t>
  </si>
  <si>
    <t>Felix, Anastasia, Harsh</t>
  </si>
  <si>
    <t>2023-E000015</t>
  </si>
  <si>
    <t>https://ems.who.int/Event/eventSummary.aspx?eid=2023-E000015</t>
  </si>
  <si>
    <t>5 january received 1st draft for IDP camps in Nyiragongo and Karisimbi health districts in DRC. This email must have been missed. 10 January draft shared with TT for inputs, deadline, 11 January COB. Draft shared back with AFRO to re-structure document as it did not allow for meaningful review process in current state on 10 January. Received revised draft back 13 January. Shared with TT with deadline 16 January COB. 17 January shared back with AFRO to address comments by 18 January 2pm Geneva time.</t>
  </si>
  <si>
    <t>19 January, AFRO shares intent to draft EIS, to be expected on Monday 23 January. 25 January 1st draft received, shared with HQ colleagues, deadline 26 January COB. 26 January: TT's feedback received. 26 January shared back to AFRO. 30 January: AFRO sent reminder to WCO. WCO replied that EIS was shared with NFP and reply is pending.</t>
  </si>
  <si>
    <t>Influenza A(H1N2)v</t>
  </si>
  <si>
    <t>2022-E000482</t>
  </si>
  <si>
    <t>https://ems.who.int/Event/eventSummary.aspx?eid=2022-E000482</t>
  </si>
  <si>
    <t>5 December 2022: received IHR notification and shared w WPRO, requesting if EIS draft is planned. / 6 December 2022: WPRO requested HQ write the EIS draft;  HQ shared initial EIS draft with TT, deadline of 11am Wednesday 7 Dec. ; Informed WHO FP/LEG/WPRO of EIS and inquired about DON; 07 December 2022 EURO indicated there will be no DON for the event, draft EIS shared with EURO for inputs deadline 9am Thursday 8 Dec. 8 Dec 2022; received inputs from WPRO and shared draft with Fernando for NFP concurrence (with IHR, legal and WPRO in copy) / 13 December 2022: Pending LEG approval. Will first need Fernando (IHR contact point for TWA matters) to request information of TCDC about the public health measures adopted, PHI to then to complete the PH response section of the EIS communication based on the information provided by TCDC. PHI team to then share the EIS communication again with LEG for review prior to posting, as per LEG recommendations. / 14 December 2022: Email request was sent from Fernando to TCDC requesting PH response. / 16 December 2022: LEG shared email from TWA on PH response, PHI team to insert info into the EIS draft. / 18 December 2022: Shared clean EIS version with LEG, including PH response. Pending LEG review.  / 26 December 2022: EIS posted.</t>
  </si>
  <si>
    <t>2020-E000359</t>
  </si>
  <si>
    <t>https://ems.who.int/Event/EventUpdateList.aspx?eid=2020-E000359</t>
  </si>
  <si>
    <t>19 Dec 22: Decision was made to have an EIS on this event. HQ polio TT to prepare first draft for review and share it with HQ and EMRO PHI./21 Dec 22: first draft shared by polio TT. Currently it is under review./22 Dec 22: reviewed version shared with EMRO for subsequent follow up on the pending question and NFP accuracy check. /25 Dec 22: final version received after NFP concurrence and published on 27 Dec.</t>
  </si>
  <si>
    <t>2022-E000512</t>
  </si>
  <si>
    <t>https://ems.who.int/Event/eventSummary.aspx?eid=2022-E000512</t>
  </si>
  <si>
    <t>8 Jan 2023: first draft received, circulated for review with TT with deadline by 3pm 9 Jan 2023. /10 Jan 2023: revised version sent back to PAHO</t>
  </si>
  <si>
    <t>24 Dec 22: first draft received from PAHO. It is currently with TT for review with deadline by COB 27 December 2022. It is with TT. Revised version sent back to PAHO on 27 Dec 22. / 29 December 2022: EIS with Canada-NFP concurrence received from PAHO, under clearance for publication.</t>
  </si>
  <si>
    <t>Draft received 26 November, shared wIth TT and PHI FP deadline for inputs Monday 28 Nov. 2022 13:00 / 28 November 2022: EIS was sent back to WPRO with HQ teams comments / 28 November 2022: WPRO acknowledged receipt of EIS and that it will now be shared with NFP for concurrence / 2 December 2022: Sent WPRO an email requesting status of EIS. 9 December 2022 WPRO responded indicating they still have not received feedback from NFP after following up on Monday and today Friday . 15 December 2022; followed up with WPRO on the status of the EIS if they have received feedback from NFP, WPRO responded indicating they have reached out to WCO to follow up with NFP and will revert as soon as they get feedback. 20 December 2022; sent reminder to WPRO for NFP concurrance. 28 December 2022; sent updated EIS draft to WPRO not requoring NFP further inputs with deadline for concurran ce and posting of EIS set for 29 December 3pm Geneva time / 29 December 2022: WPRO request to extend deadline for China NFP to review revised EIS posts from 29 December Thursday 15:00 GVA, to 30 December Friday 04:00 GVA; TL approved / 30 December 2022: We received information from WPRO that they have not received feedback from China NFP and to go ahead with posting; EIS under clearance for publication</t>
  </si>
  <si>
    <t>Draft received 26 November, shared wIth TT and PHI FP deadline for inputs Monday 28 Nov. 2022 13:00 / 28 November 2022: EIS was sent back to WPRO with HQ teams comments / 28 November 2022: WPRO acknowledged receipt of EIS and that it will now be shared with NFP for concurrence / 2 December 2022: Sent WPRO an email requesting status of EIS. 9 December 2022 WPRO responded indicating they still have not received feedback from NFP after following up on Monday and today Friday . 15 December 2022; followed up with WPRO on the status of the EIS if they have received feedback from NFP, WPRO responded indicating they have reached out to WCO to follow up with NFP and will revert as soon as they get feedback. 20 December 2022; sent reminder to WPRO for NFP concurrance. 28 December 2022; sent updated EIS draft to WPRO not requoring NFP further inputs with deadline for concurran ce and posting of EIS set for 29 December 3pm Geneva time /  29 December 2022: WPRO request to extend deadline for China NFP to review revised EIS posts from 29 December Thursday 15:00 GVA, to 30 December Friday 04:00 GVA; TL approved / 30 December 2022: We received information from WPRO that they have not received feedback from China NFP and to go ahead with posting; EIS under clearance for publication</t>
  </si>
  <si>
    <t>2022-E000439</t>
  </si>
  <si>
    <t>https://ems.who.int/Event/eventSummary.aspx?eid=2022-E000439</t>
  </si>
  <si>
    <t xml:space="preserve">Received 1st draft by AFRO on 22 december, sent back to AFRO with HQ inputs 28 december with deadline for 30 december ; 5 January reminder sent to AFRO with deadline 6 January 10 am. </t>
  </si>
  <si>
    <t>13 Jan 2023: first draft received from AFRO and shared with TT for review with a deadline 1pm on 16 Jan. 16 January: Reviewed draft sent back to AFRO. 19 January: reminder sent to AFRO. AFRO replied that EIS was shared with NFP and the reply is pending. 24 January: another reminder sent to AFRO. Also raised during the grading call for Kenya on 25 January. 30 January: AFRO sent a reminder to WCO. 7 February: another reminder from AFRO to WCO: 14 february still no feedback received. because of this, decision to temporarily halt the EIS process and re-evaluate after the next sitrep.</t>
  </si>
  <si>
    <t>Received 1st draft by AFRO 19 december, shared with HQ inputs with AFRO 20 december, with deadline 22 december; received fom AFRO 26 december. Shared for few remaining comments 28 december, with deadline ASAP. / 29 December 2022: received the revised RRA for cholera in Malawi from AFRO colleagues. Sent to Kate (TT) for one final review prior to clearance. / 30 December 2022: Kate reviewed and provided additional documents to help with the many inconsistencies within the document. / 31 December 2022: ongoing review with Kate with new updates and clarifications for many of the points that needed to be addressed. 31 December RRA uploaded to EMS. 3 January RRA circulated (due to IT issues not possible earlier)</t>
  </si>
  <si>
    <t>26 January DEcision to update EIS made; received 1st draft at HQ 30 January, shared back 1 February with AFRO; 3 February HQ received draft with addressed comments. Asked for NFP concurrence 3 February, sent reminder to AFRO for NFP concurrence 7 February and 8 february: received draft with nfp concurrence 13 february. due to problems with EIS platform posting 14 february</t>
  </si>
  <si>
    <t>cholera IMST requests DON for this event 19 January, draft initiated same day</t>
  </si>
  <si>
    <t>2018- E000340</t>
  </si>
  <si>
    <t>4 January 2023: Received initial EIS draft from WPRO and shared with TT for inputs. EIS with TT inputs shared with WPRO for further inputs; 9 January 2024: Received feedback fromWPRO with NFP concurrance</t>
  </si>
  <si>
    <t>2023-E000008</t>
  </si>
  <si>
    <t>https://ems.who.int/Event/EventCurrentCoreDetail.aspx?eid=2023-E000008</t>
  </si>
  <si>
    <t>18 Jan 23: first draft received from SEARO for review. Cirucalated with HQ TT for review with deadline by COB 19 Jan 23./8 Feb 23: Revised version send back to SEARO. Once comment addressed, this will be disseminated.</t>
  </si>
  <si>
    <t>13 feb 23: First draft received from SEARO for review. Shared with TT for review with the deadline for review by 4 pm on 14 Feb 23./15 Feb: revised draft sent back to SEARO./20 Feb 23: revised version sent back again to address pending questions./28 Feb 23: submitted for final clearance for posting the EIS. Published on 28 Feb 23.</t>
  </si>
  <si>
    <t>Victoria, Abdallah</t>
  </si>
  <si>
    <t>2023-E000007</t>
  </si>
  <si>
    <t>https://ems.who.int/Event/eventSummary.aspx?eid=2023-E000007</t>
  </si>
  <si>
    <t xml:space="preserve">6 January 2023: Request for EIS draft and DON sent to EMRO. 18 January 2023; received the initial draft from EMRO and shared with HQ PHI and TT for inputs deadline 19 January 2023 1pm Geneva time. 19 Jan 2023: EIS draft with HQ inputs shared with EMRO. 22 January: EMRO shared the revised draft with our comments addressed. </t>
  </si>
  <si>
    <t>Victoria, Tatiana</t>
  </si>
  <si>
    <t>2023-E000005</t>
  </si>
  <si>
    <t>https://ems.who.int/Event/eventSummary.aspx?eid=2023-E000005</t>
  </si>
  <si>
    <t>6 January 2023: WHO drafted EIS upon request from EURO. Shared EIS draft with TT, deadline of 1pm on Monday 9 January. 9 January 2023 shared initial EIS draft with EURO for inputs</t>
  </si>
  <si>
    <t>Tatiana, David</t>
  </si>
  <si>
    <t>5 January 2023: WHO HQ prepared first EIS draft for the declaration of the end of the outbreak, shared with TT with deadline of 6 Jan. / 6 January 2023: EIS draft with HQ PHI and TT inputs  was sent to AFRO</t>
  </si>
  <si>
    <t>Anastasia, Felix</t>
  </si>
  <si>
    <t>2022-E000228</t>
  </si>
  <si>
    <t>https://ems.who.int/Event/EventHistoryList.aspx?eid=2022-E000228</t>
  </si>
  <si>
    <t>1 January 2023: WCO suggested doing RRA for this event, supported by AFRO. WCO is preparing the first draft. 21 January: reminder sent to AFRO and WCO. WCO replied that they will share the draft shortly.  23 January: received the first draft prepared by WCO with comments from AFRO. Shared with TT for review with a deadline COB on 24 January. 25 January 2023 received a revised RRA addressing comments from HQ. 26: January: final clean draft re-reviewed by TT. With Esther for clearance.</t>
  </si>
  <si>
    <t>3 February received 1st draft by AFRO, deadline for HQ inputs by monday, 11 am. 6 February: sent back to AFRO to address comments and share with NFP. 10 February: reminder sent to AFRO to ask about the EIS status. 13 February: with Esther for clearance  : 14 february publication</t>
  </si>
  <si>
    <t>Lidia, Kaja</t>
  </si>
  <si>
    <t>2024-E000009</t>
  </si>
  <si>
    <t>https://ems.who.int/Event/eventSummary.aspx?eid=2024-E000009</t>
  </si>
  <si>
    <t>EIS draft initiated on 11 January 2024</t>
  </si>
  <si>
    <t>Victoria, Dunja</t>
  </si>
  <si>
    <t>10 January 2023; PAHO prepared the initial EIS draft and shared with HQ for inputs deadline Wednesday 11 2023, 5pm EST, draft shared with HQ PHI and TT for inputs with deadline 1pm Geneva time, draft with HQ inputs sent back to PAHO, 13 January 2023 final draft received from PAHO for finalizing and dissemination</t>
  </si>
  <si>
    <t>Kaja, Anastasia</t>
  </si>
  <si>
    <t>2022-E000513</t>
  </si>
  <si>
    <t>https://ems.who.int/Event/eventSummary.aspx?eid=2022-E000513</t>
  </si>
  <si>
    <t xml:space="preserve">11 January draft received. 17 January: WCO addressed comments and sent back to AFRO suggesting to discuss risk levels at a call. Waiting for next steps from AFRO. </t>
  </si>
  <si>
    <t xml:space="preserve">HQ TT shared 1st draft 17 January; Shared with regions on 18 January with deadline by 19 January COB. 19 January: Replies received from PAHO, AFRO and EMRO, reminder sent to other regions. 20 January: Reply from WPRO, EURO and SEARO received. 21 January: cleared and disseminated. </t>
  </si>
  <si>
    <t>24 January 2023: the first draft was prepared by PHI and shared with TT for review. 25 January: the draft shared with ROs for review with a deadline by COB 26 January. 27 January: replies received from PAHO, EMRO, AFRO. EURO replied that they need more time as they shared it wit NFPs. Reminder sent to WPRO and SEARO.</t>
  </si>
  <si>
    <t xml:space="preserve">The DON was published on 16 December 2022,the second DON published on 11 Feb. 2023 </t>
  </si>
  <si>
    <t>2023- E000022</t>
  </si>
  <si>
    <t>https://ems.who.int/Event/eventSummary.aspx?eid=2023-E000022</t>
  </si>
  <si>
    <t>20 Jan 23: SEARO and WCO Bangladesh initiated drafting RRA for this event, 25-Jan23 initial draft received from SEARO and shared with HQ PHI and TT for inputs deadline Thursday 26 January 2023, 26 January 2023 shared draft with HQ inputs with SEARO. 31 January 2023; received revised draft from SEARO with updated statistics and NFP concurrence, proceeding with finalizing and dissemination</t>
  </si>
  <si>
    <t>20-Jan-23: SEARO agreed to proceed with EIS, draft to be shared in due course. 28 January 2023; we received the initial EIS draft from SEARO and sharedw ith HQ PHI and TT for inputs deadline Monday 30 January 3pm Geneva time, 30 January 2023; shared EIS draft with HQ inputs with SEARO for further inputs 06 February 2023; received revised EIS draft from SEARO for finalizing and dissemination</t>
  </si>
  <si>
    <t>2023-E000026</t>
  </si>
  <si>
    <t>https://ems.who.int/Event/EventCurrentCoreDetail.aspx?eid=2023-E000026</t>
  </si>
  <si>
    <t>1 Feb 23: First draft received from SEARO. Circulated for review deadline by COB 2 Feb 23./14 Feb 23: Final version shared with Esther for clearance.</t>
  </si>
  <si>
    <t>16 Feb: decision made to have EIS. /9 March: follow up made with SEARO to share first draft./20 March: a follow up email sent to SEARO. SEARO said they are following up with WCO and they will get back to us./3 April 2023: reminder sent to follow up on the status. 04 April 2023, SEARO responded to enquiry on EIS status stating that the EIS has been drafted but waiting for WCO, NFP and SME's inputs and will revert back to us once they have the inputs. /11 April 23: reminder sent to SEARO./13 April 23: reviewed draft with IHR NFP accuracy check received from SEARO. Circualted for review with TT and PHI colleagues with deadline by 10 am 14 April 2023.</t>
  </si>
  <si>
    <t>2023-E000027</t>
  </si>
  <si>
    <t>https://ems.who.int/Event/eventSummary.aspx?eid=2023-E000027</t>
  </si>
  <si>
    <t>24 Jan 2023; PAHO shared the initial draft with HQ for inputs, draft shared with TT nad PHI for inputs with deadline Wednesday 25 January 3pm Geneva time. 25 Jan 2023; HQ provided inputs and shared draft with PAHO for further inputs. 27-Jna-23, received final EIS  draft from PAHO for finalizing and dissemination</t>
  </si>
  <si>
    <t>Victoria, David, Dunja</t>
  </si>
  <si>
    <t>2019-E000076</t>
  </si>
  <si>
    <t>https://ems.who.int/Event/eventSummary.aspx?eid=2019-E000076</t>
  </si>
  <si>
    <t>1 February 23; EMRO share initial draft, shared with HQ PHI nad TT for inputs deadline 1 Feb 2023 5pm; 2 Feb 2023: conducted 3LTC and revised draft with inputs from the 3LTC shared with HQ and CO for further inputs deadline 3 Feb 2023 3pm Geneva time; 3 February 2023 shared RRA draft with EMRO for further inputs. 6 February 2023; received final RRA draft from EMRO for clearance and dissemination</t>
  </si>
  <si>
    <t>07 February 2023; Followed up with EMRO on the status of the initial EIS draft; 9 February 2023: received initial EIS draft from EMRO and shared with HQ  for inputs deadline 4pm 9 Feb 2023; Sent EIS drat with HQ inputs to EMRO for further inputs; 15- Feb-23 Followed up with EMRO on the status of the EIS draft; 21 February 2023: EMRO informed PHI that Djibouti currently does not have a NFP and EMRO is still looking for a suitable person to review the statistics in the EIS. EMRO will revert with revised EIS once they obtain NFP concurrence. Follow up will be put on hold. 14 April 2023, It was decided to close the EIS nad DON for this event</t>
  </si>
  <si>
    <t>EIS and DON stopped</t>
  </si>
  <si>
    <t>Kaja, Felix</t>
  </si>
  <si>
    <t>2023-E000052</t>
  </si>
  <si>
    <t>https://ems.who.int/Event/eventSummary.aspx?eid=2023-E000052</t>
  </si>
  <si>
    <t>23 February final draft received</t>
  </si>
  <si>
    <t>2023-E000043</t>
  </si>
  <si>
    <t>https://ems.who.int/Event/eventSummary.aspx?eid=2023-E000043</t>
  </si>
  <si>
    <t>7 Mar 2023 draft back with AFRO. 17 March: reminder sent to AFRO asking about the staus of the EIS. AFRO the same day wrote to WCO asking them to address comments in EIS, WCO confirmed the receipt. 27 March still waiting for draft</t>
  </si>
  <si>
    <t>Influenza A(H5N6)</t>
  </si>
  <si>
    <t>2023-E000041</t>
  </si>
  <si>
    <t>https://ems.who.int/Event/eventSummary.aspx?eid=2023-E000041</t>
  </si>
  <si>
    <t>5 February 2023; WPRO shared initial EIS draft and this was shared with HQ PHI nad TT for inputs and comments deadline Monday 6 February 5pm; 6 February 2023; EIS draft with HQ inputs and comments shared with WPRO for further inputs; 14 Feb 2023: Followed up with WPRO on EIS status; 21 Feb 2023, followed up with WPRO on the status of the EIS and WPRO is following up with WCO to assist in getting NFP concurrence</t>
  </si>
  <si>
    <t>Influenza A(H9N2)</t>
  </si>
  <si>
    <t>2023- E000040</t>
  </si>
  <si>
    <t>https://ems.who.int/Event/eventSummary.aspx?eid=2023-E000040</t>
  </si>
  <si>
    <t>Lidia, Felix</t>
  </si>
  <si>
    <t>On 26 July , RRA sent back to AFRO and WCO with pending questions and for further agreement.</t>
  </si>
  <si>
    <t xml:space="preserve">14 July 2023 9AEMM request to update the RRA sent to AFRO. 21 July , initial draft v2 received from AFRO and shared with the TT. Deadline COB , Monday 24 July. On 26 July the RRA was sent back to AFRO and WCO . There major adjustments on the RRA draft and in the different sections, as it was adapted to the ongoing situation, with several questions pending to be addressed. </t>
  </si>
  <si>
    <t>Received 1st draft 14 august, circulated with TT, deadline 15 august COB</t>
  </si>
  <si>
    <t>Anastasia, Dunja</t>
  </si>
  <si>
    <t>2023-E000057</t>
  </si>
  <si>
    <t>https://ems.who.int/Event/eventSummary.aspx?eid=2023-E000057</t>
  </si>
  <si>
    <t xml:space="preserve">13 Feb 2023: AFRO is requested to initiate the draft, AFRO requested WCO. 14 Feb: CO shared the fist draft with AFRO, AFRO provided inputs and shared with HQ. Shared with TTs for review with a deadline 12:00 on 15 Feb. 15 February: The darft with HQ comments shared back with AFRO. There was a general agreement on risk levels during grading call. </t>
  </si>
  <si>
    <t xml:space="preserve">13 Feb 2023: AFRO is requested to start the draft. 15 February: reminder sent to AFRO. 16 February: AFRO shared the first draft in the evening. 17 February: Shared with TT for review with a deadline by 2 pm on 17 Feb. The draft with HQ comments was sent to AFRO asking them to re-share with us after they address the comments. 20 Feb: Reminder sent to AFRO.  22 Feb: The issue of pending EIS was raised during the 3-level call, WCO promised to send it the next day. 23 Feb: Another reminder sent to AFRO. 24 Feb: Ramazani today informed in Teams that the WCO finished yesterday evening to address all questions/inputs and AFRO advised them to secure the NFP concurrence to gain time. AFRO sent a message to check on the status, they will let us know. According to AFRO, the draft EIS was shared with NFP yesterday (23 Feb) evening, no reply was received so far. WCO sent us the draft that was shared with NFP. Published on 24 Feb on direct instructions from Mike without a reply from NFP. </t>
  </si>
  <si>
    <t>2023-E000018 - Paraguay</t>
  </si>
  <si>
    <t>https://ems.who.int/Event/eventSummary.aspx?eid=2023-E000018</t>
  </si>
  <si>
    <t xml:space="preserve">4 March: email sent to PAHO regarding  using the formalised RRA and further follow up with the ERF process. Formalised RRA Regional draft received on 8 March. Reviewed and shared back to PAHO on 9 March. Internal discussions at PAHO internal level. Reviewed draft by PAHO TT receved on 17 March. On 17 March, consolidated version sent back to PAHO and TT for final review and agreement on the recommendation for a grading call. </t>
  </si>
  <si>
    <t xml:space="preserve">4 March: Risk evaluation received by PAHO that will be published on the PAHO website. A follow up email sent regarding the formalised RRA template according to the ERF. 8 March, first formalised Regional RRA draft received.Reviewed and shared back to PAHO on 9 March. Internal discussions at PAHO internal level. Reviewed draft by PAHO TT receved on 17 March. On 17 March, consolidated version sent back to PAHO and TT for final review and agreement on the recommendation for a grading call. On 20 March PAHO replied that they agree with the grading . Further minor adjustments were provided on the RRA draft. On 21 March Overnigh, PAHO sent major updates on the case count for several countries, and aligning the numbers between the RRA and DON. Further feedback recieved again by the TT. On 21 March consolidated version sent for final clearance. </t>
  </si>
  <si>
    <t>https://extranet.who.int/ihr/eventinformation/event/2023-e000057</t>
  </si>
  <si>
    <t>Check the numbers once DON returns</t>
  </si>
  <si>
    <t>21 March email sent to AFRO. 29 March: sent for final clearannce to Boris and Olivier. 30 March: reminder sent to Boris and Olivier. Cleared and distributed on 30 March.</t>
  </si>
  <si>
    <t xml:space="preserve">Anastasia, Dunja, Tatiana </t>
  </si>
  <si>
    <t xml:space="preserve">17 March: EIS is initiated as decided in AEM. The draft prepared by PHI, shared with TT, reviwed draft shared with AFRO with a dealine 4pm today. </t>
  </si>
  <si>
    <t>Kaja, Lidia, Anastasia</t>
  </si>
  <si>
    <t>2023-E000061</t>
  </si>
  <si>
    <t>https://ems.who.int/Event/eventSummary.aspx?eid=2023-E000061</t>
  </si>
  <si>
    <t xml:space="preserve">27 Feb: RRA received from AFRO. Circulated for review at HQ. 2 March sendback to AFRO. Mayor changes in the content and in the risk proposed by PHI FP. On 7 March feeback received from AFRO and WCO, with agreement  on the chages proposed. On 8 March reviewd and sent back  for e 3L agreement on the risk kevel. Deadline on 9 March. As of 10 of March 23 No agreement on the level of risk, nor on the grading call. 3LTC set up fon 14 March 23. Update of the dtata provided by WCO and further inputs form the TT, based on othe first Sitrep. Agreement and adjustment of the RRA with the updated data and backgroung in formation on actioned preformed by the TT. </t>
  </si>
  <si>
    <t xml:space="preserve">22 March - Initial draft received and shared at HQ  for review. </t>
  </si>
  <si>
    <t>Tatiana, Victoria, Dunja</t>
  </si>
  <si>
    <t>2023-E000065</t>
  </si>
  <si>
    <t>https://ems.who.int/Event/eventSummary.aspx?eid=2023-E000065</t>
  </si>
  <si>
    <t xml:space="preserve">24 February 2023: Decision to proceed with an RRA was made during the 3LTC call this afternoon. / 26 February 2023: RRA draft has been shared with TT, deadline for inputs on Monday 26 February at 12 noon. / 27 February 2023: RRA draft including HQ inputs sent to WPRO with deadline of Tuesday 28 February by COB. / 28 February 2023: WPRO replied that WCO is unable to provide feedback by requested date "The KHM WCO colleagues have yet to complete input to the RRA as they have a meeting with FAO tomorrow to finalise some of the required details; hence we will not be able to submit the RRA by COB 28 today." / 1 March 2023: Follow up email sent to WPRO requestsing status of RRA. / 2 March 2023: WPRO shared the RRA draft w WCO comments. This was then shared w TT for agreement on overall risk and further comments if needed. There were no comments from WPRO on level of risk/risk questions/overall level of risk. Sent back to WPRO with a few comments from HQ teams for additional inputs from WPRO. / 3 March 2023: Received RRA from WPRO, shared for further review w TT and PHI team. </t>
  </si>
  <si>
    <t>24 Feb 2023: WPRO shared initial EIS draft and this was shared with TT for inputs and comments deadline 24 Feb 2023 1pm Geneva time / EIS clean version and with tracked changes were sent to WPRO and WCO colleagues for NFP concurrence.</t>
  </si>
  <si>
    <t>Tatiana, Dunja</t>
  </si>
  <si>
    <t>3 March 2023: Received EIS update from WPRO, updates on clade and response. Has been shared with TT for inputs and deadline is 5pm today. Shared w WPRO for NFP concurrence</t>
  </si>
  <si>
    <t>Victoria, Tatiana, Dunja</t>
  </si>
  <si>
    <t>2023-E000068</t>
  </si>
  <si>
    <t>https://ems.who.int/Event/eventSummary.aspx?eid=2023-E000068</t>
  </si>
  <si>
    <t>27 Feb 2023: HQ received initial EIS draft from WPRO and shared with PHI and TT for inputs, deadline 28 February 2023 1pm Geneva time. 28 February 2023, sent back to WPRO the draft EIS with HQ inputs; 2 March 2023: Followed up with WPRO on the EIS status if they have received NFP concurrence  / 3 March 2023: Received reply from WPRO on status of EIS request sent yesterday 2 March for update from NFP, WPRO replied with email from NFP generic email acknowledging receipt. Guidance sought from Esther on implementing escalation process; 8 March 2023: Followed up with WPRO on EIS status on NFP concurrence; 13 March 2023: followed up with WPRO on EIS status and copied Abdi and Esther for their awareness</t>
  </si>
  <si>
    <t>Felix, Kaja</t>
  </si>
  <si>
    <t>2023-E000066</t>
  </si>
  <si>
    <t>https://ems.who.int/Event/EventCurrentCoreDetail.aspx?eid=2023-E000066</t>
  </si>
  <si>
    <t>10 March draft received from SEARO, 30 MArch draft received again</t>
  </si>
  <si>
    <t>2023-E000040</t>
  </si>
  <si>
    <t>11 March 2023: initial EIS draft received from WPRO and shared with TT for inputs with deadline Monday 13 March 2023 12pm Geneva time; 13 March 2023: sent EIS draft with HQ inputs back to WPRO; 15 March 2023: followed up with WPRO on status of the EIS</t>
  </si>
  <si>
    <t xml:space="preserve">2023-E000082 </t>
  </si>
  <si>
    <t>https://ems.who.int/Event/eventSummary.aspx?eid=2023-E000082</t>
  </si>
  <si>
    <t xml:space="preserve">13 March first draft received. Shared with HQ TTs for review. Sent back to EURO on 14 March 23. </t>
  </si>
  <si>
    <t>2023-E000102</t>
  </si>
  <si>
    <t>https://ems.who.int/Event/eventSummary.aspx?eid=2023-E000102</t>
  </si>
  <si>
    <t>17 Mach: first draft received from TT, circulated for review after amending it to the EIS template./21 March 23: shared with AFRO to address pending questions and move forward with IHR NFP accuracy check and revert to us for posting./30 March: reminder sent to AFRO to check if they have the final version for posting/31 March: email send to AFRO informing them that we will proceed with the publication if no input is received by 10 am CET on 3 April 2023. ON 3 April, another email sent to let them know that we are proceeding with the publication as the WCO said they will share a draft on Monday but nothing was received till 4 pm CET. /3 April 2023: EIS shared with Boris and Olivier for final review and clearance.</t>
  </si>
  <si>
    <t>2023-E000109</t>
  </si>
  <si>
    <t>https://ems.who.int/Event/EventCurrentCoreDetail.aspx?eid=2023-E000109</t>
  </si>
  <si>
    <t>23 March email sent to AFRO. 23 March - sent for clearance. 24 March - cleared for distribution</t>
  </si>
  <si>
    <t>Cleared for posting on 24 March 2023.</t>
  </si>
  <si>
    <t>Anastasia, Tatiana, Dunja</t>
  </si>
  <si>
    <t xml:space="preserve">24 May 2023: an email sent to AFRO asking if they are planning to initiate the draft. 25 May 2023: After a confirmation from AFRO on Teams, the first draft was prepared by PHI HQ ans shared with TT/IMST for review by COB on Monday, 29 May. / 29 May 2023: Inputs and comments from TT/IMST were received, EIS draft has now been shared with AFRO for further review with a deadline of 4pm GVA time on Wednesday 31 March prior to declaration of the outbreak on 01 June. / 31 May 2023: received feedback from AFRO and WCO, NFP has been informed. </t>
  </si>
  <si>
    <t>Tatiana, Dunja, Abdallah</t>
  </si>
  <si>
    <t>https://ems.who.int/Event/eventSummary.aspx?eid=2021-E000366</t>
  </si>
  <si>
    <t>8 March 2023: Received RRA draft from EMRO colleauges, first draft initiated by CO on 3 March. It has EIS and DON planned and no grading recommended. Draft was shared with dengue TT with deadline of Thrusday 9 March 2pm.  / 9 March 2023: RRA draft with HQ inputs has been shared with EMRO. / 14 March 2023: sent status update request for RRA, also noting we did not receive invite for the planned 3LTC on Monday at 12noon Cairo time. / 15 March 2023: requested EMRO send RRA draft again but with tracked changes, as the one they sent back was a clean version (though it had tracked changes in the document). 3LTC scheduled for tomorrow / 16 March 2023: Received the same document from EMRO, with no tracked changes. Requested once more to receive document with tracked changes, agreed to send when circulating at end of the meeting with new inputs from the call for finalization via email. / 20 March 2023: Sent an email requesting the status update on the RRA since 3LTC last week Thursday, no information was received over the weekend. / 21 March 2023: There was no reply or acknowledgment email received for yesterday's request for RRA status. Another email was sent to EMRO following up. / 23 March 2023:  Still no replies from the previous two requests for information. / 29 March 2023: A third email sent this morning requesting status of RRA, if we can go ahead and proceed with publishing and also asking about EIS. RRA received later in the afternoon.</t>
  </si>
  <si>
    <t>Due to the current escalation of the armed conflict in Sudan, the EIS for this event is deprioritized</t>
  </si>
  <si>
    <t>Victoria, Etsub</t>
  </si>
  <si>
    <t>25 March draft received from SEARO, 27 March draft circulated for review at HQ/28 March: revised draft shared back with SEARO/31 March 23: revised version received from SEARO./3 April 2023: revised version sent back to SEARO to address pending questions. 4 April 2023, SEARO sent back revised RRA addressing HQ comments, proceeding with finalizing and clearance.</t>
  </si>
  <si>
    <t>05 April 2023: Received initial EIS draft from SEARO and shared with HQ PHI and TT for inputs deadline 6 April 1pm Geneva time.6 April 2023; shared the reviewed EIS draft with SEARO deadline Thursday 6 April 4pm Geneva time</t>
  </si>
  <si>
    <t>Anastasia, Victoria</t>
  </si>
  <si>
    <t>2021-E000236</t>
  </si>
  <si>
    <t>https://ems.who.int/Event/eventSummary.aspx?eid=2021-E000236</t>
  </si>
  <si>
    <t>29 March 2023: TT informed PHI that WCO Nigeria is drafting the RRA for Lassa Fever in Nigeria which will be shared with AFRO and HQ / 30 March 2023: Received first draft of RRA, shared with PHI FPs and TT with a deadline of 1 pm Friday 31 March. 31 March: Reviewed draft shared with AFRO. 5 April 2023 Followed up with AFRO on the RRA status and 3LTC; received final draft and shared with Boris and Olivier for clearance</t>
  </si>
  <si>
    <t>6-April 2023; Followed up with AFRO on the EIS initial draft status, AFRO is working on the darft and will share by COB Friday 7 April. 13 Apri 2023: Followed up with AFRO on the satus of the EIS draft, AFRO shared the draft which was shared with TT for inputs !4 April 2023: Reviewed draft shared with AFRO for further inputs. 18 April 2023: EIS draft/feedback not received from AFRO by stated deadline, we proceeded  with clearance and posting of EIS without NFP concurrence as communicated in email to AFRO</t>
  </si>
  <si>
    <t>Tatiana, Victoria</t>
  </si>
  <si>
    <t>2022-E000486</t>
  </si>
  <si>
    <t>https://ems.who.int/Event/eventSummary.aspx?eid=2023-E000081</t>
  </si>
  <si>
    <t>30 March 2023: After detecting press release, HQ sent email request asking about an EIS . PAHO later sent the first EIS draft that they had started the night before on the 29th. They requested to receive feedback by 2 pm DC time on Friday 31st.  Draft was then shared w TT requesting feedback by 1pm on Friday.</t>
  </si>
  <si>
    <t>Tatiana, Dunja, Victoria</t>
  </si>
  <si>
    <t>28 March 2023: Received the first draft EIS from WPRO, shared with TT for inputs by COB today. Shared back w WPRO. / 29 March 2023: received acknowledgment email from WPRO that they received the document w HQ Teams inputs / 30 March 2023: Sent email requesting feedback by 24h otherwise we proceed w publication.</t>
  </si>
  <si>
    <t>29 March 2023: Sent request to WPRO to see if  a DON is planned. 3 April Abdi approved publication, without NFP feedback. However the EIS is pending Boris clearance.</t>
  </si>
  <si>
    <t>Tatiana, Anastasia, Dunja</t>
  </si>
  <si>
    <t>29 May 2023: AFRO colleagues will be drafting initial EIS draft for end of countdown 07 June and declaration on 08 June. / 31 May 2023: AFRO agreed to have EIS draft by this Friday 02 June.</t>
  </si>
  <si>
    <t>2023-E000123</t>
  </si>
  <si>
    <t>https://ems.who.int/Event/eventSummary.aspx?eid=https://ems.who.int/Event/eventSummary.aspx?eid=2023-E000123</t>
  </si>
  <si>
    <t>6 April sent 1st draft to EURO</t>
  </si>
  <si>
    <t>DON moved to the updated EIS line, close this one</t>
  </si>
  <si>
    <t>8 May reminder sent to RO</t>
  </si>
  <si>
    <t>2023-E000486</t>
  </si>
  <si>
    <t>https://ems.who.int/Event/eventSummary.aspx?eid=2022-E000486</t>
  </si>
  <si>
    <t>11 April 2023 HQ updated the existing EIS with new information provided by Chile IHR NFP, shared with TT and PAHO for inputs. PAHO responded indicating that they will share with RO TT and IHR NFP for inputs and revert by Thursday 13 April 2023 2pm WDC time. 14 April 2023: Received the final EIS draft from PAHO for clearance and dissemination</t>
  </si>
  <si>
    <t>to be entered</t>
  </si>
  <si>
    <t>12 April agreement to draft EIS; 17 April: the first draft shared with TT for review with a deadline by COB the same day. Additional information shared by TT which raises questions regarding the confirmation of the cases. Additional discussion including with WCO is required to make decision about EIS.</t>
  </si>
  <si>
    <t>Victoria, Dunja, Kaja</t>
  </si>
  <si>
    <t>https://ems.who.int/Event/eventSummary.aspx?eid=2018-E000214</t>
  </si>
  <si>
    <t>19 April drafting the EIS</t>
  </si>
  <si>
    <t>Felix, Kaja, Anastasia, Abdallah</t>
  </si>
  <si>
    <t>Draft RRA received by AFRO on 20 April, sent back to AFRO with HQ comments 26 April, deadline 27 April COB</t>
  </si>
  <si>
    <t xml:space="preserve">as no new cases reported since 13 April, proposed to AFRO on 3 May,  to close this event , RRA, EIS will not be relevant </t>
  </si>
  <si>
    <t>21 April: first draft received from PAHO, circulated for review with TT, deadline by COB 24 April./25 April: sent back to PAHO with inputs from PHI team. TT did not provide input to the RRA.</t>
  </si>
  <si>
    <t>Felix, Anastasia</t>
  </si>
  <si>
    <t>2023-E000130</t>
  </si>
  <si>
    <t>https://ems.who.int/Event/eventSummary.aspx?eid=2023-E000130</t>
  </si>
  <si>
    <t>12 April agreement to draft EIS; 13 April 1st draft shared among HQ colleagues, shared with AFRO 14 april;</t>
  </si>
  <si>
    <t xml:space="preserve">
2023-E000137</t>
  </si>
  <si>
    <t>https://ems.who.int/Event/eventSummary.aspx?eid=2023-E000137</t>
  </si>
  <si>
    <t xml:space="preserve">Receive 1st draft from EMRO 26 April, shared with HQ colleagues for comments with deadline 27 April 10:30; </t>
  </si>
  <si>
    <t>first draft circulated to RO colleagues 5 may; 10 may received all inputs from ROs, shared with HQ for comments</t>
  </si>
  <si>
    <t>Given the publication of monthly global cholera sitreps, EIS will be just a repetition of the same information and dublication of efforts. IMST Epi pillar was informed.</t>
  </si>
  <si>
    <t>Felix, Kaja, Lidia</t>
  </si>
  <si>
    <t>2023-E000152</t>
  </si>
  <si>
    <t>https://ems.who.int/Event/eventSummary.aspx?eid=2023-E000152</t>
  </si>
  <si>
    <t>16 May 1st draft received and shared with HQ TT, received back from EURO 24 May, sent for clearance. Additional questions during clearance, sent back to EURO 24 May to address; EURO checks with NFP to address questions 25 May23</t>
  </si>
  <si>
    <t>12 May HQ PHI drafted EIS and shared with TT and RO for inputs, Received inputs from WPRO and shared with LEG to share with China IHR NFP for accuracy check; 18 May 2023: Followed up with LEG on EIS status, LEG is still following up with China IHR NFP; Taipe21 May 2023 Received feedback from Taipei through LEG, proceeded with final clearance.</t>
  </si>
  <si>
    <t>2023-E000162</t>
  </si>
  <si>
    <t>https://ems.who.int/Event/eventSummary.aspx?eid=2023-E000162</t>
  </si>
  <si>
    <t xml:space="preserve">15 May 2023; EURO requested for further information from UK colleagues regarding the influenza H5 case and the answers are still pending, meeting has been planned.  for 3pm today; 16 May 2023: questions were addressed and 3LTC call conducted </t>
  </si>
  <si>
    <t>17 May 2023 Initial EIS draft received from EURO and shared with HQ TT/PHI for inputs; 18 May 2023: Shared EIS draft with EURO for further inputs; 19 May 2023: EIS draft shared with UK NFP to address comments; 22 May 2023: Received EIS draft with NFP concurrance, reshared with TT for further review; 23 May 2023 shared with EURO for further inputs, received revised final draft and sent for clearance</t>
  </si>
  <si>
    <t>22 May 2023 initial EIS and IHR notification received from WPRO, shared draft with HQ TT/PHI colleagues for inputs and comments; 23 May 2023 shared draft with WPRO for further inputs; 25 May 2023 Followed up with WPRO on the staus of the EIS draft</t>
  </si>
  <si>
    <t>Victoria, Dunja, Neil</t>
  </si>
  <si>
    <t>2023-E000174</t>
  </si>
  <si>
    <t>https://ems.who.int/Event/eventSummary.aspx?eid=2023-E000174</t>
  </si>
  <si>
    <t>25-May-23 WPRO created an EMS event reporting a new human case infected with Influenza A(H5N6) in China. We followed up to enquire on the EIS draft from WPRO; 26 May 2023 we received the initial EIS draft from WPRO and shared with TT for inputs deadline Friday 26 May 2023 4pm Geneva time, EIS with HQ inputs sent back to WPRO for further inputs; 30 May 2023 Followed up with WPRO on status of EIS draft deadline for sharing feedback 3pm Geneva time Tuesday 30 May 2023</t>
  </si>
  <si>
    <t>2022-E000444</t>
  </si>
  <si>
    <t>https://ems.who.int/Event/eventSummary.aspx?eid=2022-E000444</t>
  </si>
  <si>
    <t>25 May 2023 PAHO suggests EIS</t>
  </si>
  <si>
    <t>2023-E000180</t>
  </si>
  <si>
    <t>https://ems.who.int/Event/eventSummary.aspx?eid=2023-E000180</t>
  </si>
  <si>
    <t>31 May 2023: First draft received from EMRO. It was circulated for review with TT with deadline to review by 11am 1 June 2023./1 June 23: Reviewed version shared back with EMRO. 3LTC is going to be organized on Monday 5 June 2023. /5 June: 3LTC conducted and revised version will be shared by EMRO after incorporating all the points discussed./8 June 2023: EMRO responded with revised version. /9 June 2023: PHI reviewed it and send it back to EMRO to addresss pending question back to EMRO./12 June 23: RRA published.</t>
  </si>
  <si>
    <t>2023-E000185</t>
  </si>
  <si>
    <t>https://ems.who.int/Event/eventSummary.aspx?eid=2023-E000185</t>
  </si>
  <si>
    <t>9-June 2023: First draft received from SEARO and sharedw ith TT for inputs; 13 June 2023 followed up with SEARO on the status of the RRA for another round of reviews by HQ, received draft from SEARO and shared with TT for further review; 14 June 2023 Draft shared with SEARO for further inputs; 16 June 2023 Followed up with SEARO on status of RRA and proposed schedule for 3LTC</t>
  </si>
  <si>
    <t>22 June 2023: Followed up with SEARO on the staus of the initial draft; 26 June 2023 Followed up with SEARO on the status of the initial EIS draft and if they will require support from us; 3 July 2023: Followed up again with SEARO on the status of the EIS and if they will require HQ support, SEARO shared draft, draft shared with HQ for inputs deadline 11am Tuesday 4 July 2023; 04 July 2023 Draft with HQ inputs shared with SEARO deadline for revised draft set for 6 July 2pm Geneva time; 7 July 2023 Followed up with SEARO on the status of the EIS pending IHR NFP inputs; 12 July Followed up with SEARO on EIS status; 13 July 2023 SEARO responded indicating the draft is still with NFP but they sent a follow up requesting for clearance and posting; 25 July 2023: EIS discontinued due to failure to get IHR concurrence and update- agreement made between SEARO and HQ</t>
  </si>
  <si>
    <t>2023-E000190</t>
  </si>
  <si>
    <t>https://ems.who.int/Event/eventSummary.aspx?eid=2023-E000190</t>
  </si>
  <si>
    <t>8 June evening draft received and shared with Flu team. Shared HQ inputs with PAHO at 4pm Geneva time. 12 June 2023: Followed up with PAHO on EIS status, PAHO responding indicating pending IHR NFP inputs which they are following up; 12 June 2023: received final EIS draft with IHR NFP inputs for finalization and posting</t>
  </si>
  <si>
    <t xml:space="preserve">12 June 2023: Received initial EIS draft from WPRO nad shared with TT for inputs, deadline 10am 13 June 2023; 13 June 2023 sent EIS with HQ inputs back to WPORO for further inputs deadline Thursday 15 June 2023 10am Geneva time </t>
  </si>
  <si>
    <t>Felix, Lidia, Kaja</t>
  </si>
  <si>
    <t>1st draft created and shared with HQ and EURO colleagues 21 June, deadline COB 22 June; received back from EURO 27 june after collecting info from various NFPs</t>
  </si>
  <si>
    <t>22-27 June</t>
  </si>
  <si>
    <t>2023-E000220</t>
  </si>
  <si>
    <t>https://ems.who.int/Event/EventCurrentCoreDetail.aspx?eid=2023-E000220</t>
  </si>
  <si>
    <t>23 June 2023: received IHR notification, shared with TT, pending EIS draft from EURO as they have asked additional information from IHR NFP, may receive over the weekend. / 26 June 2023: EURO communications confirmed EIS is underway, a call to discuss questions has been proposed to UK IHR (also to include ECDC). / 28 June 2023: EIS draft arrived overnight. Request for feedback on Thursday 30 June by 5pm. Shared with TT. NEW deadline for feedback is now 9am Thurs 29 June. / 30 June 2023: Held conference call with WHO EURO HQ colleagues and a team of UKHSA experts, and the conclusion was that an EIS post will follow. Waiting to hear feedback from UK on updates from draft shared with NFP UK. / 3 July 2023: EURO shared updated EIS with NFP Poland on Saturday 1 July with deadline of Monday 3 July at 12 noon. 4 July 2023; Followed up with EURO on the status of the EIS, the draft is still with NFP for accuracy check with indication that they would share by COB 4 July. / 4 July 2023: EIS draft with NFP comments was shared back to EURO Tuesday evening. / 5 July 2023: EIS published</t>
  </si>
  <si>
    <t>Keti, Victoria</t>
  </si>
  <si>
    <t>2023-E000231</t>
  </si>
  <si>
    <t>https://ems.who.int/Event/eventSummary.aspx?eid=2022-E000231</t>
  </si>
  <si>
    <t xml:space="preserve">28 October sent to AFRO with TT and PHI inputs. Sent to TT for input and review. Waiting for WCO to clarify inconsistencies. </t>
  </si>
  <si>
    <t>Abdallah, Dunja</t>
  </si>
  <si>
    <t>8 July 2023: draft EIS announcement received from PAHO, shared with HQ and TT with deadline 10 July (Monday) 1pm. / 10 July 2023: shared draft with PAHO including inputs from HQ and TT, 13 July final draft received from PAHO.cleared and published on 13 July.</t>
  </si>
  <si>
    <t>Dunja, Victoria</t>
  </si>
  <si>
    <t>2023-E000239</t>
  </si>
  <si>
    <t>https://ems.who.int/Event/eventSummary.aspx?eid=2023-E000239</t>
  </si>
  <si>
    <t xml:space="preserve">11 July 2023: Received initial draft from EMRO, sharedw ith HQ TT/PHI FP for inputs deadline 11am Wednesday 12 July 2023; 12 July 2023 Shared with EMRO the EIS draft with HQ inputs </t>
  </si>
  <si>
    <t>2023-E000217</t>
  </si>
  <si>
    <t>https://ems.who.int/Event/eventSummary.aspx?eid=2023-E000217</t>
  </si>
  <si>
    <t>On 26 June reqested by Abdi who ask for GLEWS support / 27 June 2023: EURO requested HQ draft initial RRA. Info products are pending further discussion with WCO/IHR NFP. RRA was shared with TT and EURO with deadline of 3pm Wednesday 28 June / 30 June 2023: RRA draft was shared to WHO TT EURO and also to WOAH FAO for inputs with a deadline of Tuesday 4 July 3pm/ 03 July 2023: EURO shared RRA draft with WCO for inputs / 5 July 2023: Shared merged version of RRA with EURO and TT for inputs with deadline for tomorrow Thursday 4pm. / 9 July 2023: RRA published</t>
  </si>
  <si>
    <t>9 July 2023: EIS announcement draft by HQ started. / 10 July 2023: sent to EURO for NFP concurrence.12 Jul 2023 Received NFP feedback but with some data inconsistencies. 13 July 2023: EIS draft sent back to NFP for accuracy check; 14July 2023: Feedback received from NFP proceeding with final clearance and posting</t>
  </si>
  <si>
    <t>2023-E000268</t>
  </si>
  <si>
    <t>https://ems.who.int/Event/eventSummary.aspx?eid=2023-E000268</t>
  </si>
  <si>
    <t>12 July 23: TT shared initial draft for review. Inial draft revised by PHI HQ and ciruclated with TT for review with deadline for review by tomorrow 13 July 2023 COB./14 June 23: reviewed version shared with AFRO to address pending questions, do IHR NFP accuracy check, and revert to PHI with final EIS for posting./18 July: follow up was made with AFRO. AFRO said that they have shared the EIS with AFRO's input to the IHR NFP for accuracy check./20 Jul 23: Follow up email sent with deadline for response on 21 July 2023 by 4PM CET. If no response is received, the EIS will be submitted for final review and clearance and posting./21 July 23: EIS is published.</t>
  </si>
  <si>
    <t>2023-E000211</t>
  </si>
  <si>
    <t>14 July EIS shared by PAHO Shared with TT</t>
  </si>
  <si>
    <t>Victoria,  Dunja</t>
  </si>
  <si>
    <t>14 July 2023 draft received and send to TT for comments, reviewed EIS shared back with WPRO for further inputs</t>
  </si>
  <si>
    <t>2023-E000172</t>
  </si>
  <si>
    <t>EIS received from WPRO 17 July 2023, HQ provided inputs and shared draft with WPRO; 21 July 2023 Followed up on the EIS status deadline for NFP inputs 25 July 2023 11am Geneva time</t>
  </si>
  <si>
    <t>2022-E000231</t>
  </si>
  <si>
    <t>19 July 2023, draft EIS received already with NFP concurrence; 20 July 2023 EIS draft shared with HQ for inputs; 25 July 2023: EIS draft with HQ inputs shared with AFRO for NFP concurrence; 27 July 2023: Followed up with AFRO on DRC NFP feedback; 28 July 2023: NFP indicated they have no intention of publishing an EIS- EIS discontinued</t>
  </si>
  <si>
    <t>19 July 23: First draft received from TT, circulated for review. Deadline for review by 4 pm 20 July 2023./20 July 23: reviewed version sent to AFRO with dealine for response by 24 July 23. If no response is received by the dealine, PHI HQ will proceed with final review, clearance, and publication./25 Jul 23: EIS is published.</t>
  </si>
  <si>
    <t>Keti, Etsub, Victoria</t>
  </si>
  <si>
    <t>2023-E000269</t>
  </si>
  <si>
    <t>https://ems.who.int/Event/eventSummary.aspx?eid=2023-E000269</t>
  </si>
  <si>
    <t>4 March 2024: first draft received from SEARO. It was circulated with TT and PHI for review and a reviewed version was shared back with SEARO on 5 March./21 March: SEARO shared final draft. However after consultation with team leads at HQ,decision was made not to proceed with the EIS. This EIS is therefore cloased on 21 March. Status changed to No and closed./22 March: EIS was reopened after discussion with Massaya, Nilesh, Measles TT, and Abdi. Decision was made for SEARO to update with latest figures and revert to us early next week for further processing.</t>
  </si>
  <si>
    <t>Abdallah, Tatiana</t>
  </si>
  <si>
    <t>EIS draft received on 3 August night, Shared with TT and FPs for inputs, then shared back with EMRO on 4 August. EMRO sent it back on 6 August. On the same day, HQ Sent it back to EMRO to address some comments and change the answer to IHR criteria. EMRO sent it back on 8 Aug with approval from NFP, EIS published on 9 August.</t>
  </si>
  <si>
    <t>2023-E000279</t>
  </si>
  <si>
    <t>https://ems.who.int/Event/eventSummary.aspx?eid=2023-E000279</t>
  </si>
  <si>
    <t xml:space="preserve"> HQ review</t>
  </si>
  <si>
    <t>Dunja, Tatiana, Abdallah</t>
  </si>
  <si>
    <t>2023-E000186</t>
  </si>
  <si>
    <t>2 August 2023: sent a request to see if a DON is planned / 3 August 2023: SEARO will be in touch soon regarding the DON (usually this means they will check w WCO). / 4 August 2023: DON was approved.</t>
  </si>
  <si>
    <t>31 July draft received / 1 August 2023: sent back to SEARO / 3 August 2023: sent follow up email to check status of RRA, SEARO states they are still working on it./ 4 August SEARO sent it back for finalization, after HQ review, it is sent back to SAEARO to approve the final risk assessment and recommended actions./ 6 Aug SEARO approved it / 7 August cleared by HQ and published.</t>
  </si>
  <si>
    <t>HQ review</t>
  </si>
  <si>
    <t>2023-E000297</t>
  </si>
  <si>
    <t>https://ems.who.int/Event/eventSummary.aspx?eid=2023-E000297</t>
  </si>
  <si>
    <t>5 August 2023: shared with HQ for review; 7 August 2023  EIS draft shared with PAHO for additional inputs</t>
  </si>
  <si>
    <t>2023-E000137</t>
  </si>
  <si>
    <t>8 August 2023: decided to use WHO RRA template for a GLEWS+ RRA, sharing with FAO WOAH and WHO colleagues today</t>
  </si>
  <si>
    <t>11 August 2023: Suggestion from Abdi during 9am was to not push for EIS and DON from our side, as it is mostly affecting animals, we should let WOAH and FAO handle publish their own. EMRO replied that theyd let us know on Sunday what they thought</t>
  </si>
  <si>
    <t>8 Novemeber 2023: Received IHR notification and initial EIS draft from WPRO, draft sharedw ith HQ TT for inputs deadline 3pm 9 Novemeber 2023</t>
  </si>
  <si>
    <t>Lidia. Felix</t>
  </si>
  <si>
    <t>2023-E000312</t>
  </si>
  <si>
    <t>https://ems.who.int/Event/eventSummary.aspx?eid=2023-E000312</t>
  </si>
  <si>
    <t xml:space="preserve">EIS draft received on 10 August 23. Following a discussion, it was agreed to go as an EIS announcment. Adjustmens made at HQ and sen for HQ review on 11 Aug, with feedback requestd by 2PM the same day. On 28 August  it was agreed with EMRO  that there is limited value in publishing the EIS now as UAE have requested it isnt and have stated they have found no evidence of contamination in their investigations. Having not seen Australia report it would be difficult to move forward with EIS at this stage. We keep monitoring for simailar signals. </t>
  </si>
  <si>
    <t>The EIS was discontinued after discussion with EMRO. More information is available in Ms teams EIS channel for this event</t>
  </si>
  <si>
    <t>2023-E000320</t>
  </si>
  <si>
    <t>https://ems.who.int/Event/eventSummary.aspx?eid=2023-E000320</t>
  </si>
  <si>
    <t>13 Aug 2023: draft EIS shared with PHI HQ by PAHO. It is circulated with TT for review with deadline by 4 PM 14 August 2023. On 14 Aug: reviewed draft shared with PAHO./15 Aug: PAHO shared final draft. /16 Aug: EIS was cleared for publication and was posted on the same day.</t>
  </si>
  <si>
    <t>EMRO shared the first draft on 23 August and shared with HQ TT for their inputs, RRA shared back with EMRO with HQ inputs on 29 Aug. / 6 September 2023: EMRO Shared back RRA (clean and track changes) for review prior to the 2LC this afternoon at 1pm GVA. / 6 September 2023: RRA (clean version) was updated by EMRO and resent this morning at 8:17am with 2 additional comments. / 6 September 2023: EMRO shared the regional RRA with updates post 2LTC this afternoon. TDeadline for comments and inputs from HQ teams is 1pm on Monday 11 September.  RRA sent for clearance on 11 September. RRA finalized and distributed on 13 September 2023</t>
  </si>
  <si>
    <t>EIS draft received from EMRO on 14 August and shared with HQ TT for their inputs, Shared back with EMRO on 15 August,recieved from EMRO with NFP concurrence on 22 Aug, Posted on 23 August.</t>
  </si>
  <si>
    <t>Anastasia, Tatiana</t>
  </si>
  <si>
    <t>2023-E000305</t>
  </si>
  <si>
    <t>https://ems.who.int/Event/eventSummary.aspx?eid=2023-E000305</t>
  </si>
  <si>
    <t>14 August 2023: request by EURO for inputs into this RRA by Thursday 12 noon. Shared w TT for inputs. / 17 August 2023: shared the document back to EURO with TT and PHI inputs and comments. 23 Aug: EURO shared the final version but with discrepancies in risk questions. Sent back to EURO asking to address the discrepancies. 24 Aug: EURO shared the corrected final version. Shared with Esther for final clearance. 25 Aug: RRA is cleared and disseminated</t>
  </si>
  <si>
    <t>2023-E000324</t>
  </si>
  <si>
    <t>https://ems.who.int/Event/eventSummary.aspx?eid=2023-E000324</t>
  </si>
  <si>
    <t>21 August 2023: Request from RO/WCO to see if HQ was in agreement to proceed with an RRA. HQ has agreed to move forward on an RRA based on meeting RRA criteria and at least 2 IHR notifications. WCO to lead on the RRA, an EIS and DON are also planned.AFRO shared the 1st draft with HQ on 30 Aug after COB, and the RRA circulated to HQ TT and FCV colleagues on 31 Aug morning. 01 August 2023, draft with HQ inputs shared with AFRO for further inputs / 6 September 2023: RRA draft with comments from WCO have been received.reviewed at HQ by PHI and TT and 3LTC requested to finalize it. 3LTC conducted on 14 Sep.sent for clearance on 18 Sep and cleared, finalized and distributed on 19 September.</t>
  </si>
  <si>
    <t>EIS 1st draft by HQ on 22 Sep. and shared with HQ TT for review and inputs, On 26 Sep. shared with AFRO forupdates and  input and to be shared with Chad IHR NFP. / 2 October 2023: An EIS status update was sent to AFRO, the previous email sent to AFRO was on Tuesday 26 September.</t>
  </si>
  <si>
    <t>EIS draft received from WPRO and shared with TT, deadline by 24 August 2023, 2pm Geneva time; 24 August 2023 shared the reviewed EIS draft with WPRO for NFP accuracy check deadline 29 August 2023 10am Geneva time. 29 August 2023: received revised darft from WPRO for final clearance and posting</t>
  </si>
  <si>
    <t>2023-E000338</t>
  </si>
  <si>
    <t>https://ems.who.int/Event/eventSummary.aspx?eid=2023-E000338</t>
  </si>
  <si>
    <t>WCO shared RRA draft with AFRO for review 24 aug, to be shared with HQ after; 01 August WCO addressed the comments raised by HQ, waiting for RO response to proceed with finalization and dissemination; 01 Sept 2023 received final draft from WCO wand RO confirmed no further inputs from them and we can proceed with finalization process</t>
  </si>
  <si>
    <t>Draft in English sent to AFRO on 14 September</t>
  </si>
  <si>
    <t>Felix, Lidia, Dunja</t>
  </si>
  <si>
    <t>2023-E000336</t>
  </si>
  <si>
    <t>https://ems.who.int/Event/eventSummary.aspx?eid=2023-E000336</t>
  </si>
  <si>
    <t>Decision to draft EIS and EIS started at HQ 4 sept</t>
  </si>
  <si>
    <t>Felix, Lidia</t>
  </si>
  <si>
    <t>2023-E000303</t>
  </si>
  <si>
    <t>https://ems.who.int/Event/eventSummary.aspx?eid=2023-E000303</t>
  </si>
  <si>
    <t>8 august: decision to produce RRA on GI outbreak on Congo, AFRO will share revised draft. 11 Aug: AFRO shared the updated draft. Shared with TT for review with a deadline 2pm on Monday, 14 Aug. Shared back with AFRO 14 august to address comments, deadline 16 august 1pm. received draft from AFRO 16 august. For review with TT colleagues again until 21 aug. On 22 Aug shared with all levels and TT for written agreement on risk levels. Reacher agreement across all 3 levels on 23 Aug. For clearance on 23 Aug; 28 August: revised RRA draft received from AFRO with updated information.</t>
  </si>
  <si>
    <t>Created 1st draft and shared with Hq colleagues for review 31 aug; 1 Sep: shared version reviwed by HQ with AFRO to address comments with a deadline - COB  Monday, 4 Sep. / 7 September 2023: received EIS from AFRO w NFP concurrence; EIS cleared for publication but could not publish due to EMS issues / 8 September 2023: EIS published</t>
  </si>
  <si>
    <t>2023-E000344</t>
  </si>
  <si>
    <t>https://ems.who.int/Event/eventSummary.aspx?eid=2023-E000344</t>
  </si>
  <si>
    <t>4 September 2023: EIS draft to be initiated by EURO, to be shared later in the afternoon on Monday. / 5 September 2023: EIS draft not yet received, sent follow up email to EURO</t>
  </si>
  <si>
    <t>15 september 1st draft shared with HQ colleagues; 18 september draft shared with ROs</t>
  </si>
  <si>
    <t>2023-E000362</t>
  </si>
  <si>
    <t>https://ems.who.int/Event/eventSummary.aspx?eid=2023-E000362</t>
  </si>
  <si>
    <t xml:space="preserve">14 September 2023: EIS draft shared with TT and EURO simultneously wih deadline by 2PM on Friday , 15 September 2023; </t>
  </si>
  <si>
    <t>2023-E000360</t>
  </si>
  <si>
    <t>https://ems.who.int/Event/eventSummary.aspx?eid=2023-E000360</t>
  </si>
  <si>
    <t>18 Sep: SEARO shared the first draft. 19 Sep: Reviwed draft shared back with SEARO with a deadline by COB 21 Sep. 22 Sep: SEARO shared the draft with HQ's comments addressed.</t>
  </si>
  <si>
    <t>14 September 2023: SEARO is waiting for WCO concurrence on the EIS, however is no need for a consensus regarding the EIS because this event matches two IHR criteria: Serious and Unusual.  If a genomic match with Bangladesh is also officially confirmed, the International spread will be answered as “yes.” SEARO requested to wait until tomorrow morning (on EIS and RRA). 15 Sep: reminder sent to WPRO. Masaya replied the same day that WCO is trying to obtain more information from the field, they will share towards early next week.  19 Sep: EIS with HQ inputs shared back with SEARO to address comments and share with NFP with a deadline 3 pm on 21 Sep. 21 Sep: reminder sent to SEARO. SEARO replied that they are following up with NFP and asking us to wait until tomorrow [22 Sep] morning.  22 Sep: SEARO asked for more time. In consultation with SM, it was decided to give them more time to follow up with NFP. 26 Sep: another reminder sent to SEARO</t>
  </si>
  <si>
    <t>Tatiana, Elvis, Victoria</t>
  </si>
  <si>
    <t>14 September 2023: Received EIS draft from WPRO, shared with TT, deadline today by COB. / 15 September 2023: EIS was sent to WPRO with inputs from HQ teams; Sent request to WPRO to ask if they acknowledge receipt of EIS w HQ inputs; FL reports we received confirmation of receipt for both EIS and WPRO  will give NFP 2 working days for reply. 18-19 Sept. 19 September 2023 followed up with WPRO on EIS and they informed us that the draft was going through internal clearnace and only shared with NFP today, deadline shifted to 21 September 5pm Beijing time / 29 September 2023: WPRO shared updates to this EIS from NFP, they have been uploaded into the EIS platform for this event.</t>
  </si>
  <si>
    <t>Lidia, Kaja, Felix</t>
  </si>
  <si>
    <t>2023-E000370</t>
  </si>
  <si>
    <t>https://ems.who.int/Event/eventSummary.aspx?eid=2023-E000370</t>
  </si>
  <si>
    <t xml:space="preserve">To determine whether, instead of country RRA there will be a regional RRA, including Niger. On 26 September, during a 2 L call with the participation of PHI, EMO, IVB from both levels, it was agreed to have a risk mapping on Diphtheria, to be issued by the IVB team and expected during the week of 2 of October. As soon as the situation is mapped from operatonal side ,PHI has offered to support with and EIS and DON issueance. As of 28 September   during a 2L call with SHO,EMO, PHI, DVA and TT at AFRO and HQ level it was agreed not to proceed further with the RRA, as all the decision will be mapped based on the Risk mapping/analysis document issued by the IVB team.   On 13 October a grading call was held based on the Diptheria Risk analysis performed. There are still several caveats. During the meeting HQ underscored that  is in agreement in Regional wide grade 2 instead of grading separate countries, Niger and other countries will be under this grade.  Next steps: Listing of key actions and prioritization and interventions.  IMST will be activated in the countries, and review of the capacities will be undertaken and gaps will be identified. Readiness team lead by Andersson Latt, made by updated RA and risk mapping submitted by HQ.
  </t>
  </si>
  <si>
    <t xml:space="preserve">18 september: 3L agreement to have RRA on this event;  As of 28 September   during a 2L call with SHO,EMO, PHI, DVA and TT at AFRO and HQ level it was agreed not to proceed further with the RRA, as all the decision will be mapped based on the Risk mapping/analysis document issued by the IVB team.   </t>
  </si>
  <si>
    <t xml:space="preserve">Following the Grading of the Diphtheria event in Nigeria, Niger and Guinea as Grade two, there is no information regarding any further information products planned/requested. The event is under AEE team and now moved with the IMST, who is following up jointly with the HQ Diptheria TT and the IMST. </t>
  </si>
  <si>
    <t>Victoria, Tatiana, Elvis</t>
  </si>
  <si>
    <t>2023-E000053</t>
  </si>
  <si>
    <t>https://ems.who.int/Event/eventSummary.aspx?eid=2023-E000053</t>
  </si>
  <si>
    <t xml:space="preserve">
19 Aug 23: Draft risk assessment shared by PAHO for review. It was circulated with TT for review with deadline for review by 4PM GVA time. / 21 August 2023: Feedback received from TT, will now be shared with PAHO. 18 September 2023; received the revised draft from PAHO and shared with TT for another round of reviews deadline Tuesday 19 September 4pm Geneva time. 20 September 2023 shared with PAHO the RA draft with HQ inputs and requested they transfer information to the standard WHO RRA template to follow the normal process / 27 September 2023: Followup email was sent to PAHO requesting status on RRA. / 29 September 2023: PAHO shared the Regional RRA in the usual WHO format and has been shared with T for further review with a deadline of 1 pm Friday 29 September. 4 October 2023; draft sent back to PAHO for further inputs; 6 October 2023; Followed up with PAHO on the status of the RRA</t>
  </si>
  <si>
    <t>SEARO Regional</t>
  </si>
  <si>
    <t>EIS received from SEARO on Friday 13 October 2023 at 4 pm, We shared it at the same time with HQ TT for their inputs with a deadline on Monday 16 October COB.TT reviwed it on 17 October then we shared it on the same day with RO. A reminder sent to SEARO on Friday 20 October to share the final version with NFP concurrence. SEARO shared the final version on Friday 20 October COB.EIS sent back to SEARO to update information and SEARO request to share it back with NFP and EIS updated on 24 October and shared with NFP on 25 Oct and shared with HQ on 26 Oct. The EIS then finalized, cleared and posted on 27 October</t>
  </si>
  <si>
    <t>the EIS with updated information send back by HQ to SEARO on 22 October, and again a new with again updated details sent by HQ to SEARO on 24 October</t>
  </si>
  <si>
    <t>10 October 2023 Received initial EIS draft from WPRO and shared with TT for inputs; 12 October 2023 shared EIS draft with WPRO for further inputs. Cleared and published on 15 Oct 2023.</t>
  </si>
  <si>
    <t>2023-E000364</t>
  </si>
  <si>
    <t>https://ems.who.int/Event/EventCurrentCoreDetail.aspx?eid=2023-E000364</t>
  </si>
  <si>
    <t>RRA received from AFRO on 8 Nov 2023 and shared at the same date with TT for review and input with deadline by 10 Nov.On 10 November RRA shared back with AFRO to address HQ comments, On13 November AFRO shared the RRA after addressing HQ comments and request to finalize it by HQ. On 15 Nov. the RRA has been sent for clearance.</t>
  </si>
  <si>
    <t xml:space="preserve">9 Nov decision made to have regional EIS for AFR, as situation report published on EIS as anouncement. </t>
  </si>
  <si>
    <t>2023-E000365</t>
  </si>
  <si>
    <t>https://ems.who.int/Event/EventCurrentCoreDetail.aspx?eid=2023-E000365</t>
  </si>
  <si>
    <t xml:space="preserve">8 November 2023: received RRA draft from WCO, AFRO to review before sharing again with HQ. / 9 November 2023: received RRA with AFRO inputs, it was shared with TT with a deadline of Friday by COB. / 13 November 2023: RRA was sent to AFRO / 16 November followed up with AFRO on status of final draft / 16 November 2023: received final version of RRA from AFRO to review for clearance. </t>
  </si>
  <si>
    <t>Regional EIS and DON proposed</t>
  </si>
  <si>
    <t>Cabo Verde</t>
  </si>
  <si>
    <t>2023-E000439</t>
  </si>
  <si>
    <t>https://ems.who.int/Event/eventSummary.aspx?eid=2023-E000439</t>
  </si>
  <si>
    <t>17 November 2023: Received the initial draft from AFRO and shared with dengue IMST and PHI FPs for inputs; 21 November 2023: Sent back to AFRO RRA draft with HQ inputs; 24 November 2023 Instruction to discontinue drafting of RRA was received from senior managemnt to pave way for Global dengue RRA, RRA drafting discontinued</t>
  </si>
  <si>
    <t>Victoria, Tatiana, Abdallah</t>
  </si>
  <si>
    <t>21 November 2023; Initiated the drafting process and shared with TT for inputs; 24 November 2023: Shared the draft with regions for further inputs deadline Tuesday 28 November COB</t>
  </si>
  <si>
    <t xml:space="preserve">2 December 2023: Drafted initial EIS and shared with TT for inputs; 5 December shared with the regions for further inputs deadline 7 Decemeber 10am </t>
  </si>
  <si>
    <t>Upsurge of respiratory illnesses among children</t>
  </si>
  <si>
    <t>24 November 2023; Received initial draft from WPRO and shared with TT for inputs deadline Monday 27 November 12pm; 27 November 2023: Received a revised draft incorporating information on the additional case detected and updating on the death of the first case, shared with TT for inputs deadline COB and shared the draft with HQ inputs with WPRO</t>
  </si>
  <si>
    <t>https://ems.who.int/Event/eventSummary.aspx?eid=2023-E000460</t>
  </si>
  <si>
    <t>Pending IHR NFPaccuarcy check</t>
  </si>
  <si>
    <t>30 November 2023: WPRO started to draft the initial EIS.; Received 5 Dec; 6 Dec shared updated version with HQ TT, deadline 7 dec 2pm;</t>
  </si>
  <si>
    <t>EIS  not shared back with the NFP for accracy check. Proposition to have an EIS bulletin as there is only one country involved. The EIS adjusted draft with outstanding questions was sent back to WPRO on 9 Dec for further accuracy check with the NFP. WPRO replied on 11 Dec, with a request to post the initial  EIS announcement.</t>
  </si>
  <si>
    <t>28 November 2023: Received from EURO the initial EIS drfat for A(H1N2)v in the UK</t>
  </si>
  <si>
    <t>2023-E000433</t>
  </si>
  <si>
    <t>https://ems.who.int/Event/eventSummary.aspx?eid=2023-E000433</t>
  </si>
  <si>
    <t>13 November 2023: received RRA draft from AFRO, shared with TT for review / 27 November 2023: AFRO shared final draft with combined inputs including FAO, WOAH, IPC.  PHI shared for clearance to Boris/Olivier.</t>
  </si>
  <si>
    <t>29 November 2023: EIS draft was shared with AFRO, IPC and anthrax TT with deadline of COB Thursday 30 November / 30 November 2023: AFRO did not share the EIS draft with WCO. HQ shared EIS Sharepoint link and extended the dealine for them for 12noon on 1 December stressing the need to share with NFP asap / 1 December 2023: Reminder email to AFRO for WCO feedback, informing them if we did not receive by noon then we would go ahead and publish. AFRO acknowledged receipt. EIS was published without WCO inputs and NFP concurrence.</t>
  </si>
  <si>
    <t>n/a</t>
  </si>
  <si>
    <t>Victoria, Abdallah, Sam</t>
  </si>
  <si>
    <t>5 December 2023: PAHO shared initial RRA for HQ inputs deadline 2pm WDC time, RRA draft with HQ inputs shared with PAHO</t>
  </si>
  <si>
    <t>2023-E000469</t>
  </si>
  <si>
    <t>https://ems.who.int/Event/eventSummary.aspx?eid=2023-E000469</t>
  </si>
  <si>
    <t>Etsub, Keti, Victoria, Abdallah</t>
  </si>
  <si>
    <t>2023-E000481</t>
  </si>
  <si>
    <t>https://ems.who.int/Event/eventSummary.aspx?eid=2023-E000481</t>
  </si>
  <si>
    <t>6 December 2023: Initial draft received for review from HQ polio team.7 Dec 23: reviewed draft sent to AFRO for addressing pending questions./12 Dec 23: Reminder sent to AFRO requesting the status of the EIS./14 Dec 23: reminder sent to AFRO with deadline by 4 pm 15 Dec 23. If no response received, PHI HQ will proceed with the publication.</t>
  </si>
  <si>
    <t>14 December 2023: AFRO sent email consulting to proceed with a multicountry RRA for the region. HQ confirmed to proceed. AFRO to provide the first draft based on Zambia RRA; 6 December 2023: Received initial draft from AFRO; 7 December 2023: shared draft with TT for inputs deadline 3pm Friday 8 December: 8 December 2023: Shared back with AFRO RRA draft with HQ inputs</t>
  </si>
  <si>
    <t xml:space="preserve">7 December 2023: Received notification of a deceased A(H5N6) human case, WPRO indicated an EIS is in progress; 8 Dec-2023: Received initial EIS draft and shared with HQ TT for inputs deadline Monday 11 December 2pm Geneva time; 11 December 2023: Shared HQ inputs with WPRO. 14 December 2023: Published 18 December 2023: updated posting as per WPRO request. 20 December 2023: Updated posting as per WPRO request from NFP. </t>
  </si>
  <si>
    <t>2023-E000340</t>
  </si>
  <si>
    <t>7 December 2023: Received notification of a deceased A(H5N6) human case, WPRO indicated an EIS is in progress; 8 Dec-2023: Received initial EIS draft and shared with HQ TT for inputs deadline Monday 11 December 2pm Geneva time; 11 December 2023: Shared HQ inputs with WPRO</t>
  </si>
  <si>
    <t>2023- E000470</t>
  </si>
  <si>
    <t>https://ems.who.int/Event/eventSummary.aspx?eid=2023-E000470</t>
  </si>
  <si>
    <t xml:space="preserve">7 December 2023: Received initial EIS draft from EURO nad shared with TT deadline for inputs Friday 8 December, 4pm Geneva time </t>
  </si>
  <si>
    <t xml:space="preserve">21 December 2023: Received EIS draft from PAHO, shared with FPs TT and gave deadline of 2pm Friday 22 December,  date for when they decided to do an EIS was not provided./ 22 December 2023: EIS was sent back to PAHO with inputs from TT and PHI. </t>
  </si>
  <si>
    <t>Etsub, Victoria, Keti</t>
  </si>
  <si>
    <t>2022- E000447</t>
  </si>
  <si>
    <t>https://ems.who.int/Event/eventSummary.aspx?eid=2022-E000447</t>
  </si>
  <si>
    <t>26 December 2023; SEARO initiated the RRA and shared link with HQ for inputs deadline COB 27 December 2023; 30 December 2023: HQ inputs shared with SEARO; 2 January 2024 SEARO shared updated version; 2 January 2024 further HQ inputs shared with SEARO; 3 January 2024 SEARO provided response; 3 January: HQ prepared version for clearance.</t>
  </si>
  <si>
    <t>25 December 2023: Received EIS draft from SEARO colleagues, shared with TT and FPs and provided deadline by 27 December COB. 30 December 2023: HQ inputs shared with SEARO and SEARO colleagues shared with IHR NPFs; 3 January 2024 SEARO colleagues sent IHR approved version. Follow up question by HQ sent on 4 January, 5 January and 7 January.</t>
  </si>
  <si>
    <t>2023-E000395</t>
  </si>
  <si>
    <t>https://ems.who.int/Event/eventSummary.aspx?eid=2023-E000395</t>
  </si>
  <si>
    <t xml:space="preserve">he email incorporating a table for final 3L agreement regarding the main outcomes of the RRA was sent on Friday, 2 February , with deadline 11AM on Monday, 5 February. A reminder was sent the same morning on Monday and the deadline was extended by 1 PM and later for Tuesday, 6 February, as only the HQ technical team and Senegal provided feedback at the late afternoon with discrepancies (the YF TT proposing to remove  the activation of the ERF, but to include grading  and WCO Senegal contacted AFRO requesting  to remove the  information included in the RRA, because of the political sensitivities). Following a discussion with AFRO we advocated with WCO Senegal who finally agreed to include the details for the YF cases  (found trough a research  investigation) in the RRA, but NOT to include the country in the subsequent EIS and DON planned. In parallel, there were several written exchanges with the TT  regarding the line list and epicurve. The deadline was extended until Wednesday, as we didn't received any feedback by five out the six countries involved . On Wednesday, 7 February we shared back to AFRO a consolidated draft with outstanding  questions to be confirmed by Nigeria WCO and also to have a quick turnover and review by the WCO Chad , as the country was incorporated during the reviewing process and the didn't participate in the initial round. AFRO is actively following up today on the Nigeria and Chad feedback  and we are expecting  the confirmation by COB. Of note, there is no data available in the line list for the confirmed YF cases in 2023 (only for Cameroon). On Friday, 9 of february agreemnt to proceed with a clearance with the datat available from the TT for Nigeria and Chad, as there was no feedback recieved. RRA sent for clearance on 9 Februaray. Clearance received on Sunday , 11 february. However two crucial points were raised and additinal concurrence with the proposed changes was seek from AFRO and the YF TT. Agreement was  received on 12 february and the draft was distributed the same day. </t>
  </si>
  <si>
    <t>On 9 January discussed with AFRo who will initaite the RRA regional draft. On 10 January agreement with the TT.  On 22 January draft received from AFRO. shared with TT with deadline to reply by 24 January 2024. Draft reviewd twice by the TT and PHI FPs, and on 25 Janyary 2024 shared back with AFRO. On 26 January 2024 AFRO shared back with WCOs for further inputs. On 28 Jan. 24 AFRO informed that there were issues with  the sharing and the draft was finally shared with WCO on 28 of Jan. with deadline 30 January  that was further extended to 31 January as there were 9 countries involved. The reviewd dtaft was shared back with HQ on Friday 2 February. The consolidated draft was shared the same day ( on 2  February) with a table for the 3L agreement on the main oucomes and with some pending comments to vbe adressed with a deadline 11AM on Monday 5 February.  There were further discrepancies between the WCOs and TTs that are summarised in the pending question, that delayed the finalization, as crucial data was missing and this TTA serves as a repository for the YF in AFRO.</t>
  </si>
  <si>
    <t>2024-E000007</t>
  </si>
  <si>
    <t>https://ems.who.int/Event/eventSummary.aspx?eid=2024-E000007</t>
  </si>
  <si>
    <t>This is not a usual RRA but PAHO RA that will be published in the public domain. PAHO shared the draft on 7 Feb (night) for review. On 8 February, the draft shared with TT for review by COB on 8 February. RRA reviewed by PHI and TT and sent back to PAHO on 8 February. PAHO confirmed that the comments were addressed and they will proceed with publication on 10 February.</t>
  </si>
  <si>
    <t xml:space="preserve">This is not a usual RRA, but external PAHO document "Public Health Risk Assessment related to Oropouche Virus (OVR) in the Region of the Americas " that will be published in the public domain. </t>
  </si>
  <si>
    <t>2024-E000019</t>
  </si>
  <si>
    <t>https://ems.who.int/Event/eventSummary.aspx?eid=2024-E000019</t>
  </si>
  <si>
    <t>EIS draft initiated by PAHO 17 January 2024 and shared with HQ on 18 January for inputs deadline 4pm 18 January, EIS with HQ inputs sent back to PAHO / 23 January 2024: A follow up email was sent to PAHO / 24 January 2024: PAHO replied that they have yet to receive inputs from Brazil-NFP; they have sent a second follow up message. 26 January 2024 Followed up with PAHO on EIS status; 31 January 2024: Followed up with PAHO on EIS status checking if they would need any support or we can proceed with publishing the EIS; 2 February 2024 published EIS publication with IHR NFP inputs; 3 Feb 2024 received additional IHR NFP inputs and edited EIS</t>
  </si>
  <si>
    <t>Anastasia, Keti, Victoria</t>
  </si>
  <si>
    <t>2023-E000119</t>
  </si>
  <si>
    <t>https://ems.who.int/Event/EventCurrentCoreDetail.aspx?eid=2023-E000119</t>
  </si>
  <si>
    <t xml:space="preserve">WCO shared the first draft with AFRO and HQ for review on 1 Feb 2024. AFRO replied that they would review it first and then share the draft with HQ for further review.  AFRO shared the draft reviewed from their side on Saturday, 3 February. The draft was shared with TT for review with a deadline of COB on Monday, 5 February. On 6 February, the draft reviewed by HQ PHI and TTs was sent back to AFRO  to address comments with a deadline by 3pm Geneva time on Wednesday 7 February. AFRO acknowledged the receipt on the same day. On 7 February, a reminder was sent to AFRO. AFRO replied on 7 February that they are awaiting feedback from the WCO regarding some of the comments. Another reminder sent to AFRO on 13 February. WCO replied that the updated RRA will be shared later today. Updated draft was shared by WCO on 13 Feb late evening. Not all comments were addressed. </t>
  </si>
  <si>
    <t>Felix, Keti, Victoria,Tatiana,</t>
  </si>
  <si>
    <t>2024-E000028</t>
  </si>
  <si>
    <t>https://ems.who.int/Event/eventSummary.aspx?eid=2024-E000028</t>
  </si>
  <si>
    <t>Agreement on RRA fofr this event 25 Jan; 1st draft received (before 3l agreement) by WCO colleages 24 Jan; 2nd draft received on 27 Jan by RO, revised draft sent back by HQ to RO on 29 Jan (deadline to reply: 31 Jan). Send for clearance to Boris/Olivier on 2 Feb, clearance received on 5 Feb.</t>
  </si>
  <si>
    <t>https://ems.who.int/summary/summaryCountry.aspx?countryID=106</t>
  </si>
  <si>
    <t xml:space="preserve">29 January 2024: Sent EIS draft to WPRO with inputs from TT and PHI. </t>
  </si>
  <si>
    <t>2024-E000039</t>
  </si>
  <si>
    <t>https://ems.who.int/Event/eventSummary.aspx?eid=2024-E000039</t>
  </si>
  <si>
    <t xml:space="preserve">Justificaion behind the level of risk selected at Regional level. EMRO is consulting with their technical team. </t>
  </si>
  <si>
    <t xml:space="preserve">Initial draft expected the week of 5 February 2024. New RRA template v.3.0 will be piloted. Draft received on 8 February.  Shared with within PHI with request for further adjustments. Demo and training on the neww RRA template and tool provided to the HQ TT on 12  Feb. Adjusted draft shared with the HQ TT on 12 Febr.  Requested feedback by 13 Febr, however due to challenges with the time frame proposed with the TT the feedback was received on Friday , 15 Feb. One crucial feedback was missing form one of the TT, as he was off. However the consoidated drfat was sent back to EMRO on  Sunday  18 Feb, with pending comments. Further email from PHI was shared with EMRO  indicating that the new RRA cannot be used to replace the RRA. Further discussion held and based on the consulation process with the RO in december, it was agreed to go ahead and distibute this RRA when finalised. On 28 Feb EMRO further shared the draft with WCO somalia, for them to address the comments. reminder was dsent on 3 March. On 17 March, disucssion  held with EMRO  and agreement to porceed with finalisation by email, using the email template. On 19 March, EMRO come back suggesting to have 3LTC , as there was new WR and colleagues in the WCO. The proposed dates during that week didnt fit with EMRO schedule, as ther was a colleague who was travelling , so they proposed the week after. Due to this fact a call was scheduled on Tuesday , 26 March. there was a massive attendance from the 3L , and all the points were agreed. The only pending  issue was to update with the latest numbers and WCO was taking care of this for the followig 24 h. On 22 March, further email from EMRO, indicated that one person didnt agree with the justification in the Regional statemnt  and that furtherinformation will be gathered.  Another call with EMRO on 28 March and agreement to have the final feedback by Monday 1 April and proceed with the Finalisation. </t>
  </si>
  <si>
    <t>Draft is with WCO on 21 May, the numbers are being checked</t>
  </si>
  <si>
    <t>2024-E000038</t>
  </si>
  <si>
    <t>https://ems.who.int/Event/eventSummary.aspx?eid=2024-E000038</t>
  </si>
  <si>
    <t xml:space="preserve">EIS draft initiated by SEARO (we were nota aware) and shared with HQ on 12 February  2024. Shared with HQ TT fro further review  on 12 February. Reviewed draft shared back with SEARo on 14 of February with pending comments. </t>
  </si>
  <si>
    <t xml:space="preserve">EIS was down between 19-22 February 2024. Due to high-test positivity SEARO requested validation of the results. After a week, SEARO requested cancelation of the DON fue to current capacity circumstances and uncertainty of results. </t>
  </si>
  <si>
    <t>2024-E000037</t>
  </si>
  <si>
    <t>https://ems.who.int/Event/eventSummary.aspx?eid=2024-E000037</t>
  </si>
  <si>
    <t>29 January 2024: Received EIS draft from WPRO, shared with TT for inputs deadline 12pm tomorrow Tuesday 30 Jan. / 30 January 2024: Received confirmation from WPRO that it is indeed seasonal flu (H3N2) and H10N5 is the correct subtype, not H10N3.  Extension for inputs from TT has been extended to COB.  Sent to WPRO / 31 January 2024: There has been no confirmation of the receipt of the email sent yesterday. Sent another message to WPRO including new updates from govt website, shared with TT also. / 2 February 2024: A follow up email checking on the EIS status was sent. WPRO replied that they have sent reminders to China NFP. We gave until Monday 5 February to receive NFP concurrence; 3 February 2024 (Sturday): Received EIS draft with NFP concurrance</t>
  </si>
  <si>
    <t>30 January 2024 EURO shared initial draft for HQ inputs deadline 9am Wednesday 31 January 2024, 03 February 2024  (Saturday) EURO shared EIS draft with IHR NFP inputs</t>
  </si>
  <si>
    <t>2023-E000471</t>
  </si>
  <si>
    <t>https://ems.who.int/Event/eventSummary.aspx?eid=2023-E000471</t>
  </si>
  <si>
    <t>1 February 2024: received confirmation from PAHO that an EIS draft is underway. / 2 February 2024: EIS w inputs from TT and PHI sent back to PAHO. PAHO returned the final draft for publication.</t>
  </si>
  <si>
    <t>1 February 2024: Received initial EIS draft for this event / 2 February  2024: Shared EIS back to EMRO with inputs from TT and HQ. / 5 February 2024: email sent to EMRO requesting status update on EIS. / 6 February 2024: Received reply from EMRO that they are expecting to receive NFP concurrence today. If they don't receive it, they will then send out a reminder. 7 February 2023: Reminder sent to EMRO on status of the EIS; 8 February 2024: Followed up with EMRO on EIS status / 12 February 2024: Received EIS with NFP concurrence. Notes show NFP had provided inputs on 7 Feb.</t>
  </si>
  <si>
    <t>Etsub, Keti, Victoria</t>
  </si>
  <si>
    <t>7 Feb 24: First draft received from HQ polio TT/ 8 Feb 24: revised draft after input from HQ PHI was shared with EMRO and TT to address pending question, move with IHR NFP accuracy check, and revert to HQ PHI for posting./12 Feb 24: first reminder sent to EMRO. EMRO responded to say they have shared it with NFP and there might be a delay due to current situation in the country./15 Feb 24: A second reminder was sent to EMRO about the status of the EIS and if DON is considered. EMRO responded to say they have difficulty in reaching the IHR NFP and are trying to get concurrence via WCO. They are also checking with WCO if a DON is considered./16 Feb 24: revised final version received from EMRO after NFP concurrence. They also said DON is agreed upon. The final version is cleared and published on 16 Feb 24.</t>
  </si>
  <si>
    <t>Kaja, Sam, Lidia, Anastasia</t>
  </si>
  <si>
    <t>Draft received over weekend, shared with TT deadline 3 on 12 FEbruary 2024, draft back with AFRO 14 FEbruary. REquest for update sent to AFRO 16 February . REminder sent 20 February.</t>
  </si>
  <si>
    <t>11-Feb-24: Received the initial EIS draft from WORO and shared with HQ TT for inputs, WPRO recalled the draft to revise text adding another case; 14 Feb 2024 Received revised EIS draft from WPRO and shared with TT for inputs deadline 3pm Thursday 15 February; 15 February 2024 Shared back  with WPRO EIS draft with HQ inputs</t>
  </si>
  <si>
    <t>2024-E000036</t>
  </si>
  <si>
    <t>https://ems.who.int/Event/eventSummary.aspx?eid=2024-E000036</t>
  </si>
  <si>
    <t>13 February 2024: received initial EIS draft from SEARO and shared with TT for inputs deadline 3pm 14 February 2024. 14 February 2024: sent EIS with HQ inputs back to SEARO 16 February 2024: Followeed up with SEARO on EIS status, proposing to proceed with final clearnce and dissemination without NFP concurrance</t>
  </si>
  <si>
    <t>14 February 2024: Request for DON sent. SEARO replied that they will check and get back to us on Thursday 15 Feb. / 16 February 2024: follow up email sent to SEARO. They state it is a holiday there today (Friday) and they may not receive a response until Sunday or Monday.</t>
  </si>
  <si>
    <t>2024-E0000-72</t>
  </si>
  <si>
    <t>https://ems.who.int/Event/eventSummary.aspx?eid=2024-E000072</t>
  </si>
  <si>
    <t>22 February 2024: Received initial EIS from WPRO and shared with TT for inputs deadline 23 February 2024 10am Geneva time; 23 February 2024: Sent back to WPRO EIS draft with HQ inputs and comments; 27 February 2024 Received final draft from WPRO; 28 February EIS draft cleared, however posting could not be done as the EIS platform was down</t>
  </si>
  <si>
    <t>Tatiana, felix</t>
  </si>
  <si>
    <t>https://ems.who.int/Event/eventSummary.aspx?eid=2023-E000486</t>
  </si>
  <si>
    <t>2024-E000081</t>
  </si>
  <si>
    <t>https://ems.who.int/Event/eventSummary.aspx?eid=2024-E000081</t>
  </si>
  <si>
    <t>are the 6 contacts symptomatic or asymptomatic - to be edited in the EIS for publication</t>
  </si>
  <si>
    <t>21 February 2024: WPRO to draft EIS and share translated MoH press release / 22 February 2024: Received EIS draft, shared with TT with a deadline of today COB. Sent back to WPRO w feedback from HQ teams.</t>
  </si>
  <si>
    <t>26 February 2024: RO is working closely with WCO KHM to have an updated risk assessment including Animal-Human interface. RO is facilitating information sharing with other Mekong countries through WCOs. Related WCOs will provide necessary actions and support request with HQ and WPRO if necessary. We will share these updates shortly.</t>
  </si>
  <si>
    <t>Tatiana, Anastasia</t>
  </si>
  <si>
    <t>27 February 2024 - ongoing discussions with SEARO regarding the EIS publishing, therefore the document is on hold for the time being</t>
  </si>
  <si>
    <t>AMR Klebsiella pneumoniae</t>
  </si>
  <si>
    <t>2022-E000413</t>
  </si>
  <si>
    <t>https://ems.who.int/Event/eventSummary.aspx?eid=2022-E000413</t>
  </si>
  <si>
    <t xml:space="preserve">On 28 March draft RRA was shared with the HQ TT to be further populated with additional data from GLASS prior to sharing with the RO for further inputs (easter holidays are in the middle).Initial RRA draft shared on 6 April. Initial deadline was by 15 April . Further request received from WPRO to extend the deadline, given that they were working with the EMT and internal gathering of dta. EURO also requested further extension given IT issues and technical consolidation. The deadline was extended until 22 April. several gaps remained with  some of the Regions that were further followed up. The draft was consolidated with the inputs of the 6 RO +AMR TTs+IPC and shared for final agreement with deadline 20 May.  Final agreement reached on 24 May. During the clearance process, there was arequest for the revisoon of one section related to IPC advice by the IPC hub outside of WHE, thus this also delayed 2 more days the final publication. </t>
  </si>
  <si>
    <t xml:space="preserve">The initial draft was shared with the HQ TT on 4 June. Due to medical leave , the draft was reviewed on 12 June  at HQ and shared with the PHI, AMR and IPC teams accross the 6 Regions on 13 June. </t>
  </si>
  <si>
    <t>2024-E000075</t>
  </si>
  <si>
    <t>https://ems.who.int/Event/eventSummary.aspx?eid=2024-E000075</t>
  </si>
  <si>
    <t>2024-E000101</t>
  </si>
  <si>
    <t>https://ems.who.int/Event/eventSummary.aspx?eid=2024-E000101</t>
  </si>
  <si>
    <t>4 March 2024; We received an initial EIS draft from WPRO nad shared with TT for inputs, Draft with HQ inputs shared back with WPRO; 6 nad 7 March followed up with WPRO on the EIS status</t>
  </si>
  <si>
    <t xml:space="preserve">Lidia , Kaja </t>
  </si>
  <si>
    <t xml:space="preserve">On 12 March 2024 PAHO shared the initial draft RRA  to be published on their website. This was also anticipating the global RRA that will be initiated for the same event. </t>
  </si>
  <si>
    <t>Kaja,Lidia, Zarina,Anastasia</t>
  </si>
  <si>
    <t>2024-E000054</t>
  </si>
  <si>
    <t>https://ems.who.int/Event/eventSummary.aspx?eid=2024-E000054</t>
  </si>
  <si>
    <t>Draft with the inputs from AFRO and WCO received on 25 March 2024. Shared with HQ TTs for review , with deadline by 4PM on Monday, 25 March 2024. Followed up after long weekend, 2 April 2024.  10 April, Reminer with deadline 11 APril sent, if no new draft we can go ahead with the latest draft.</t>
  </si>
  <si>
    <t>6 March 2024: updating the draft ; 8 march Shared with TT for inputs , deadline 12 march, deadline extended to 14 March; 14 MArch shared with ROs, deadline 18 March; Last inputs from ROs (after reminders) received 20 March; Distributed 21 March</t>
  </si>
  <si>
    <t>2023-E000095</t>
  </si>
  <si>
    <t>https://ems.who.int/Event/eventSummary.aspx?eid=2023-E000095</t>
  </si>
  <si>
    <t>11 March 2024: first draft received and circulated for review with PHI FP and TT with deadline for review by 4 pm on 11 March. TT requested extension till 12 March in the morning. PHI responded to ask for input by 10 am 12 March 2024./12 March: decision was made to involve LEG and also do the final clearance by the ARC director. /13 March: Decision was made not to use EIS to indicate a country is not reporting WPV as EIS is not meant for that purpose. Therefore the product is closed from this tracker on 14 March 2024.</t>
  </si>
  <si>
    <t>12 March 2024: HQ initiated EIS draft; 13 March 2024 EIS draft shared with AFRO for further inputs./25 Mar 24: AFRO shared a revised final version after IHR NFP input. It has been cleared and posted.</t>
  </si>
  <si>
    <t>13 March 2024: Received initial RRA draft from WPRO for HQ inputs; transferred contents to standard RRA template and shared with HQ TT on 15 March 2024; 18 March 2024: Sent back to WPRO the RRA draft with HQ inputs; 22 March 2024: WPRO received inputs fro WCOs (Cambodia, Lao and Viet Nam); 25 March 2024: Followed up with WPRO on the status of the RRA</t>
  </si>
  <si>
    <t>Kaja, Lidia</t>
  </si>
  <si>
    <t>2024-E000137</t>
  </si>
  <si>
    <t>https://ems.who.int/Event/eventSummary.aspx?eid=2024-E000137</t>
  </si>
  <si>
    <t>16 March 2024; Received initial draft from WCO, AFRO was not aware of the draft. 19 MArch draft shared back to AFRO after TT and PHI inputs. On 23 March (Saturday) RRA draft received with comments addressed by AFRO and WCO. OnMonday an email sent for a 3L agreement with a deadline , Tusday 26 March 2024.</t>
  </si>
  <si>
    <t>on 23 April first draft received.</t>
  </si>
  <si>
    <t xml:space="preserve">19 March: HQ received updated EIS from RO. HQ sent comments to RO on 21 March and sent follow-up on 25 March. </t>
  </si>
  <si>
    <t>2024-E000147</t>
  </si>
  <si>
    <t>https://ems.who.int/Event/eventSummary.aspx?eid=2024-E000147</t>
  </si>
  <si>
    <t>25 March 2024: HQ received initial EIS draft from WPRO and this was shared with TT for inputs deadine COB 25/03/2024, the draft with HQ inputs was shared back with WPRO / 27 March 2024: EIS was posted.</t>
  </si>
  <si>
    <t>2024-E000105</t>
  </si>
  <si>
    <t>https://ems.who.int/Event/eventSummary.aspx?eid=2024-E000105</t>
  </si>
  <si>
    <t>27 March 2024: HQ TT shared intial draft of the EIS. Currently under review by PHI./28 March: shared with AFRO. /3 April 2024: first reminder sent to AFRO/9 April 2024: reminder sent to AFRO indicating that they need to revert to us by 10 April COB. If not, we will proceed with the latest version shared by WCO.</t>
  </si>
  <si>
    <t>2024-E000144</t>
  </si>
  <si>
    <t>https://ems.who.int/Event/eventSummary.aspx?eid=2024-E000144</t>
  </si>
  <si>
    <t>On 28 March SEARO shared with HQ the initial draft for inputs, the draft was shared with TT deadline 2 April 4pm GVA time</t>
  </si>
  <si>
    <t>27 March 2024: HQ received initial EIS draft from SEARO, draft was shared for inputs deadline 28 March 2024 COB</t>
  </si>
  <si>
    <t>Update of 7 May 2024: WCO requested to update the DON. There is an ongoing discussion between SEARO/HQ/WCO on how to address this request</t>
  </si>
  <si>
    <t>On 29 March, comunication received from AFRO with a draft RRA initiated by WCO CAR for the meningitis situation in CAR. Anticipating as well Niger to do so further. Decision pending on whether we shall agree at HQ on moving with individual RRAs for the meningitis belt countries, where outbreaks are expected otr there wil be another mean - Sitrep, Regional RRa etc. 10 April reply sent to AFRO that we recommend a Regional RRA, in order to avoid individual country RRAs. On 22 May 2024, closed the process for RRA, ther eis tdownwards trend.</t>
  </si>
  <si>
    <t>Decision not go forward with the EIS</t>
  </si>
  <si>
    <t>Victoria , Tatiana, Dunja</t>
  </si>
  <si>
    <t xml:space="preserve">On 30 March EIS draft received. Shared with HQ for further inputs the same day. Inputs received and integrated. Draft sent back to PAHO on 31 March for accuaracy check. </t>
  </si>
  <si>
    <t>2024-E000168</t>
  </si>
  <si>
    <t>https://ems.who.int/Event/eventSummary.aspx?eid=2024-E000168</t>
  </si>
  <si>
    <t>2 April draft received, and sent to TT for review by 2 April, 13:00; sent back EIS with HQ inputs</t>
  </si>
  <si>
    <t>2024-E000170</t>
  </si>
  <si>
    <t>https://ems.who.int/Event/eventSummary.aspx?eid=2024-E000170</t>
  </si>
  <si>
    <t>2 April 2024: WPRO to draft EIS / 3 April 2024: EIS draft received, shared w TT with deadline of 4 April 10am. / 4 April 2024: Sent email to influenza TT following up on their review of the document. Inputs received from TT. Shared with WPRO for NFP concurrence. / 5 April 2024: Sent email to WPRO confirming receipt of EIS draft w HQ inputs. They replied they have received it and shared with NFP. 8 April 2024 Sent follow up email to WPRO checking on EIS status</t>
  </si>
  <si>
    <t>WPRO accepts the DON H10N3 but is checking w WCO, influenza TT is fine either way.</t>
  </si>
  <si>
    <t>Results discrepancy, sample tested positive for A(H5N1) in China and negative in Viet Nam</t>
  </si>
  <si>
    <t xml:space="preserve">2 April 2024: WPRO to draft EIS, waiting for additional details from WCO. / 4 April 2024: Sent follow up to WPRO on this event. They reply that they are still waiting to hear back from WCO-China / 5 April 2024: Sent follow up email to WPRO asking if they have also contacted CO-VNM for futher information, in addition to WCO China. / 8 April 2024: Received info from GLEWS+ from VNM side. Received EIS draft from WPRO, additional information from WCO-China remains pending. EIS draft shared with Influenza TT and PoE (specific to WHO recommendation) with a deadline of 10AM Tuesday 9 April. 9/04/2024 EIS draft with HQ inputs and comments shared with WPRO for further inputs / 10 April 2024: WPRO states this event was withdrawn from EMS due to discrepancies in the test results between CHN and VNM. There is a delay on the EIS posting as we wait for confirmatory results from China; VNM MOH reported RTPCR was negative.
Also, the EIS is pending until we receive additional information from China.IHR NFP China is now in the process of gathering information from China CDC. 16 April 2024: Followed up with WPRO on EIS status and they informed us that they are still consulting with the two WCOs and the laboratory teams and will get back to us once the issue is resolved. / 24 April 2024: Sent a status update request on the EIS draft and lab results.
</t>
  </si>
  <si>
    <t>2024-E000178</t>
  </si>
  <si>
    <t>https://ems.who.int/Event/eventSummary.aspx?eid=2024-E000178</t>
  </si>
  <si>
    <t xml:space="preserve">8 April 2024: Pending event verification. Opened this line here as a place holder. / 9 April 2024: received official link verifying the event from GLEWS+, shared with influenza TT and WPRO for further follow up/EIS initiation; 10 April 2024, received initial EIS from WPRO, shared with HQ TT for inputs deadline COB 10 April. </t>
  </si>
  <si>
    <t>Bruno, Victoria</t>
  </si>
  <si>
    <t xml:space="preserve">On 18 April following 3LTC a RRA draft was shared by WCO for inputs, the draft was shared with RO for concurrrence and inputs before sharing back with HQ for further inputs. On 19 April AFRO agreed on proceeding with the RRA. On 23 April AFRO shared the first draft and it was forwarded to HQ TT. On 25 April; RRA draft with HQ inputs was shared with AFRO. On 1 May a reminder was sent to AFRO. On 2 May a second reminder was sent to AFRO. On 6 May AFRO shared RRA draft with WCO. On 8 May a reminder was sent to AFRO. On 9 May AFRO acknowledged the reminder but did not shared any updates. On 10 May AFRO shared the RRA draft, the same day it was sent back with some comments that were still pending. On 13 May a reminder was sent to AFRO. On 14 May the RRA was sent from AFRO with all comments addressed. The same day TT looped in additional people and AFRO sent an additional email informing that they just "concluded 3-level TC on the exposure to unknown gas in the Seychelles, the team agreed to revise the   ''risk of insufficient control capacities with available resources'' from LOW to HIGH at both National and Regional levels. The last cases were reported on 22 April, and considering the available information, no grading was recommended at this point."On 15 May the RRA was published and disseminated after clearance from PHI HQ. </t>
  </si>
  <si>
    <t>Felix, Keti</t>
  </si>
  <si>
    <t>2024-E000184</t>
  </si>
  <si>
    <t>https://ems.who.int/Event/eventSummary.aspx?eid=2024-E000184</t>
  </si>
  <si>
    <t xml:space="preserve">19-Apr 2024: PAHO shared initial EIS drfat, we shared with cholera IMST for inputs deadline 4pm GVA time 19 April 2024: Shared with PAHO 19 april, received cleared version back 21 April, for final clearance 22 April. </t>
  </si>
  <si>
    <t xml:space="preserve">19 April 2024: HQ PHI and TTs are in agreement to proceed with EIS and DON. Sent email to EMRO seeking agreement at RO and CO levels. 22 April 2024: Received initial EIS draft from EMRO and shared with EMRO, deadline 4PM GVA time, 22 April 2024 / 22 April 2024: EMRO informs that they will be sending a new EIS including comments from NFP. TT has been informed a new EIS is underway and current EIS was closed. New deadline to be determined upon receipt. / 22 April 2024: EIS version 2 has been received from EMRO and shared with MERS and IPC TTs with a deadline of Tuesday 23 April by 1PM./ 23 April 2024: Sent EIS back to EMRO for NFP concurrence. / 25 April 2024: Sent EIS status update and to check on DON if KSA approved. EMRO replied they sent to NFP on 23rd and will send a follow up to NFP. / 29 April 2024: Sent a follow up email to EMRO checking on the status of the EIS as well as on proceeding with the DON. / 30 April 2024: Sent a follow up email, EMRO replied that it is still with KSA IHR NFP and they've not yet received a response, but they are following closely. / 1 May 2024: EMRO replied yes on the DON and that NFP just returned from a missio and are only now resuming work. </t>
  </si>
  <si>
    <t>1 May 2024, RRA suggested by Dengue HQ IMST; 7 May 2024 initial RRA draft from HQ shared with the regions for additional inputs; 9 May 2024 Sent a deadline reminder to the regions. 13 May 2024: All regions except AFRO have sent their inputs, a reminder was sent to AFRO</t>
  </si>
  <si>
    <t>15 May 2024: Initial draft shared with TT for inputs</t>
  </si>
  <si>
    <t>Anastasia, Victoria, Keti, Dunja</t>
  </si>
  <si>
    <t>2024-E000207</t>
  </si>
  <si>
    <t>https://ems.who.int/Event/eventSummary.aspx?eid=2024-E000207</t>
  </si>
  <si>
    <t xml:space="preserve">8 May 2024: HQ received first draft from EURO. 10 May 2024: EIS put on hold while EURO and AFRO consult France and Chad IHR NFPs on whether or not to include Chad in the EIS. 23 May 2024: EURO confirmed that the EIS is on hold. </t>
  </si>
  <si>
    <t>2024-E000212</t>
  </si>
  <si>
    <t>https://ems.who.int/Event/eventSummary.aspx?eid=2024-E000212</t>
  </si>
  <si>
    <t xml:space="preserve">9 May 2024: HQ received from WPRO initial EIS draft and shared with TT for inputs, deadline 4pm GVA 9 May 2024, EIS shared back with WPRO for further inputs and IHR NFP concurrence / 14 May 2024: Received final draft from WPRO  suggesting that we proceed with posting the EIS and  update it later once the NFP provides additional information (list of symptoms, underlying diseases, antiviral use for treatment). EIS has been sent for clearance. Later in the evening, WPRO has shared the EIS w NFP inputs, the EIS for clearance has been paused until further review of the updated EIS. / 15 May 2024: EIS was sent for clearance and published.
</t>
  </si>
  <si>
    <t>Parvovirus B19</t>
  </si>
  <si>
    <t>Who is the TT from HQ side?</t>
  </si>
  <si>
    <t xml:space="preserve">21 May 2024: Received first draft from EURO. 22 May: Esther sent email to Janet, Maria and Abdi to ask about HQ focal point. 23 May: EURO informed us that they will be making substantial changes to the EIS draft this week and will share the updated draft later on this week. 24 May 2024: EURO colleagues informed us that the EIS is on hold. </t>
  </si>
  <si>
    <t>2024-E000237</t>
  </si>
  <si>
    <t>https://ems.who.int/Event/eventSummary.aspx?eid=2024-E000237</t>
  </si>
  <si>
    <t>22 May 2024: HQ received IHR notification from WPRO, EIS drafting initiated; 24 May EIS with HQ contributions shared back with WPRO; 28 May 2024: Followed up with WPRO on EIS status</t>
  </si>
  <si>
    <t xml:space="preserve">Lidia </t>
  </si>
  <si>
    <t>2024-E000235</t>
  </si>
  <si>
    <t>https://ems.who.int/Event/eventSummary.aspx?eid=2024-E000235</t>
  </si>
  <si>
    <t>RRA was indicated but never finalised</t>
  </si>
  <si>
    <t>22 May 2024: HQ received IHR notification from SEARO, EIS drafting initiated / 23 May 2024: HQ received EIS draft from SEARO, draft was shared with TT with deadline 24 May 2024 at 13:00. / 24 May 2024: inputs by TT were provided in time, the EIS was shared with SEARO the same day. / 27 May 2024: Sent an email to RO inquiring on the status of the EIS. / 28 May 2024: RO replied that the EIS review is ongoing. The deadline for IHR NFP’s inputs and feedback is today 28 May COB India time. / 29 May 2024: a follow up was sent to SEARO to inquire about the EIS status. /30 May 2024: after no response, a second follow up was sent to SEARO to inquire about the EIS status. SEARO acknowledged receipt and agree to update on the status the next day. / 31 May 2024: a third follow-up was sent to SEARO to inquire about EIS status. /1 June 2024: SEARO replied that the EIS is still under review by NFP and that they expect to receive feedback within a few days. / 3 Jun 2024: The EIS draft was shared from SEARO afterhours, however with the comment that NFP was unable to address some comments. / 4 Jun 2024: the EIS was cleared and published.</t>
  </si>
  <si>
    <t>23 May 2024: Received initial EIS draft from PAHO, shared with TT for inputs deadline 3:30pm 23 May 2024</t>
  </si>
  <si>
    <t>Victoria, Tatiana, Bruno</t>
  </si>
  <si>
    <t>Avian influenza A(H5N2)</t>
  </si>
  <si>
    <t>Wife of index case who is symptomatic, neeed more information, TT will follow up with PAHO</t>
  </si>
  <si>
    <t>25 May 2024: PAHO shared the draft with HQ. The same day it was shared with TT with deadline 27 May 2024 3:00 pm / 27 May 2024: TT shared the draft with inputs and requested to be looped in the communications with PAHO due to the finding of a second case. EIS draft with TT/HQ inputs was shared with PAHO. / 28 May 2024: HQ inquire about the possibility to draft a DON. PAHO agreed on the same day. / 29 May 2024: a follow up was sent to PAHO to inquire about the EIS status. Afterworking hours the EIS was received, clarifying that there was no second case. The decision was made to review in detail with TT the next day. / 30 May 2024: TT reviewed the EIS. / 31 May 2024: EIS was published</t>
  </si>
  <si>
    <t>Felix</t>
  </si>
  <si>
    <t>2024-E000232</t>
  </si>
  <si>
    <t>https://ems.who.int/Event/eventSummary.aspx?eid=2024-E000232</t>
  </si>
  <si>
    <t>30 May 2024: PAHO sent first draft</t>
  </si>
  <si>
    <t>Felix, Tatiana, Anastasia</t>
  </si>
  <si>
    <t>2024-E000191</t>
  </si>
  <si>
    <t>https://ems.who.int/Event/eventSummary.aspx?eid=2024-E000191</t>
  </si>
  <si>
    <t>RRA suggested by HQ 22 April / 25 April 2024: waiting to receive RRA from AFRO (WCO leading) / 29 April 2024: Received RRA draft from WCO over the weekend (Saturday, 27 April). Draft circulated among HQ teams with a deadline of 2pm on Monday 29 April for inputs. We were made aware that AFRO is still reviewing this and will share with us later (informally received). Sent email to Freddy Banza/EPR/AFRO to confirm this.  Received message from Freddy B. that HIM/JP is colecting additional inputs and will share. Sent email to AFRO with inputs from HQ teams so AFRO can merge. / 30 April 2024: AFRO sent RRA to WCO for further inputs with HQ in copy. This version was uploaded to our sharepoint for reference. 11 May 2024; Followed up on RRA status</t>
  </si>
  <si>
    <t>13 May 2024: An EIS was agreed upon by the 3 levels in the RRA published on 12 May. / 15 May 2024: Sent an email to AFRO to confirm if they are working on the draft and if so when we can anticipate receiving it.  / 17 May 2024: Sent a message to JP via TEAMS -earlier in the day, but no response. Therefore, I sent a third follow up email to AFRO. / 20 May 2024: did not reveive any replies from AFRO over the weekend, I seent follow up message to AFRO, they replied they will send us the EIS draft before end of day. 20 may evening: EIS draft received from AFRO; Circulated with HQ colleagues 21 May; deadline 22 May 2pm. / 24 May 2024: The EIS was sent to AFRO for NFP concurrence on 22 May. Today I sent a follow up to check on the status of the EIS. / 27 May 2024: No response received from AFRO, sent a second email requesting an update on the EIS. Received a message from AFRO that it is still with NFP /  28 May 2024: sent request for EIS once more given the Niger situation; another reminder sent on 4 June. / 25 June 2024: followed up with AFRO on how soon we could get concurrence from Niger NFP, based on a conversation between Felix/JP. Based on this, we will move forward with publishing, as per Esther's suggestion.</t>
  </si>
  <si>
    <t>20 May 2024, afternoon: It was decided that an EIS/DON should be posted. / 21 May 2024: HQ shared the draft with TT with a deadline of 11 am Wednesday 22 March. / 22 May 2024: A reminder email was sent to TT for inputs, deadline extended to 4pm today. / 23 May 2024: Inputs continued in through the evening and there were also issues withthe SharePoint. It was sent to RO for review. / 24 May 2024: received feedback from WCO, unsure if those are all of WCO inputs (one person). Sent email to AFRO requesting clarification if their inputs are also included - there are no tracked changes so imposisble to know.  /28 May 2024: Sent message to AFRO DVA/Emerencienne to see if they could support in expediting the EIS as per Rosamunds suggestions to see if Mory Keita could help. Victoria to follow up via email in the morning. 29 May 2024: Followed up with AFRO on the EIS draft</t>
  </si>
  <si>
    <t xml:space="preserve">30 May 2024: PAHO sent first draft / 31 May 2024: EIS draft was shared with TT. After feedback was provided the draft with HQ/TT inputs was shared with PAHO. / 1 June 2024: PAHO acknowledge receipt. / 4 June 2024: The EIS was received by HQ, cleared and published. </t>
    <phoneticPr fontId="10" type="noConversion"/>
  </si>
  <si>
    <t>14 June 2024: HQ proposed drafting of EIS and DON for mpox in South Africa to AFRO. HQ leading the drafting process; 18 June; EIS draft shared with AFRO for inputs</t>
    <phoneticPr fontId="10" type="noConversion"/>
  </si>
  <si>
    <t>2024-E000254</t>
  </si>
  <si>
    <t>https://ems.who.int/Event/eventSummary.aspx?eid=2024-E000254</t>
  </si>
  <si>
    <t>New EIS</t>
    <phoneticPr fontId="10" type="noConversion"/>
  </si>
  <si>
    <t>5 June 2024: WPRO shared initial EIS draft and this was shared with TT for inputs ddeadline 2 pm 6 June 2024; 6 June 2024 EIS draftas with HQ inputs sharedback with WPRO</t>
  </si>
  <si>
    <t>2024-E000255</t>
  </si>
  <si>
    <t>https://ems.who.int/Event/eventSummary.aspx?eid=2024-E000255</t>
  </si>
  <si>
    <t>https://ems.who.int/Event/eventSummary.aspx?eid=2024-E000259</t>
  </si>
  <si>
    <t>11 June 2024: PAHO shared the first draft on the evening of 10 June. The draft shared with HQ TT for review on 11 June</t>
  </si>
  <si>
    <t>Yosef</t>
  </si>
  <si>
    <t xml:space="preserve">This was updated DON for the one published 5 June 2024. </t>
  </si>
  <si>
    <t>Felix, Anastasia, Bruno, Keti</t>
  </si>
  <si>
    <t xml:space="preserve">25 June 2024: RRA agreed across all 3 levels, WCO to provide 1st draft by 2 july; 10 July: 1st draft received from AFRO and shared with TT with deadline 11 July 2 pm; 11 July: TT requests extension of deadline, granted for 10 am 12 July; 12 July 2024: TT requested the RRA to be sent to AFRO to be heavily modified as it does not reflect the specific risk of the new outbreak in Lagos State.  17 July 2024: WCO shared an updated draft. Waiting for AFRO to review first to avoid duplication. 19 July: Sent a reminder to AFRO. 22 July: Second reminder sent to AFRO.  23 July: AFRO replied saying they would share it the next day. 24 July: AFRO shared second draft after working hours. 25 July: Second draft was shared with TT with deadline 26 July 14:00. 30 July: a reminder was sent to AFRO. 30 July: RRA with WCO was received, however due to a high load of info products this was not cleared until 31 July. </t>
  </si>
  <si>
    <t xml:space="preserve">High </t>
  </si>
  <si>
    <t>2024-E000263</t>
  </si>
  <si>
    <t>https://ems.who.int/Event/EventOutputIHR.aspx?eid=2024-E000263</t>
  </si>
  <si>
    <t xml:space="preserve">5 June 2024: The signal was presented during the weekly HQ TT meeting, we followed up with TT whether this is a newly affected country. On 6 June we followed-up with TT. On 7 June TT sent first EIS draft. On 7 June we circulated it to TT.  On 10 June we sent it to AFRO. Reminder sent to AFRO on 12 June. 14 June: received consolidated version from AFRO. 17 June: Published. </t>
    <phoneticPr fontId="10" type="noConversion"/>
  </si>
  <si>
    <t>Victoria, Tatiana, Dunja, Donghyok</t>
  </si>
  <si>
    <t>https://ems.who.int/Event/EventCurrentCoreDetail.aspx?eid=2024-E000168</t>
    <phoneticPr fontId="10" type="noConversion"/>
  </si>
  <si>
    <t xml:space="preserve">19 June 2024: RRA suggested by PAHO, and initial draft shared for HQ inputs; 20 June 2024 HQ requested extension of deadline to Monday 24 June 2024 to allow TT and GLEWS+ time to review. / 24 June 2024: Sent back the RRA draft with HQ and GLEWS (WOAH) inputs. / 2 July 2024: RRA received overnight, shared with TT for further inputs. Deadline 12 noon Wednesday 3 July. / 3 July 2024: RRA was sent back to PAHO with HQ inputs. / 10 July 2024:  Sent a status update on the publication of the RRA (public facing). / 12 July 2024: RRA sent back to PAHO for publication online (public facing). Once published it will be reviewed for internal publication on our usual RRA template. 13 July 2024: PAHO published RRA on PAHO website and HQ received PDF and Word file. </t>
    <phoneticPr fontId="10" type="noConversion"/>
  </si>
  <si>
    <t>This is the information for the RRA that was public facing on PAHO website. An internal publication of this RRA was made.</t>
  </si>
  <si>
    <t>2024-E000285</t>
    <phoneticPr fontId="10" type="noConversion"/>
  </si>
  <si>
    <t>https://ems.who.int/Event/eventSummary.aspx?eid=2024-E000285</t>
    <phoneticPr fontId="10" type="noConversion"/>
  </si>
  <si>
    <t>3 July 2024: HQ receceived official IHR notifivcation regarding a human infection with A(H9N2) in China. WPRO is drafting initial EIS, 13 July: received clean and tracked-changes version  from WPRO.</t>
  </si>
  <si>
    <t>2024-E000286</t>
    <phoneticPr fontId="10" type="noConversion"/>
  </si>
  <si>
    <t>https://ems.who.int/Event/eventSummary.aspx?eid=2024-E000286</t>
    <phoneticPr fontId="10" type="noConversion"/>
  </si>
  <si>
    <t>3 July 2024: HQ receceived official IHR notifivcation regarding a human infection with A(H5N6) in China. WPRO is drafting initial EIS; 4 July 2024: HQ received initial EIS draft form WPRO, shared with TT deadline COB 4 July.</t>
  </si>
  <si>
    <t xml:space="preserve">3 July 2024: HQ received the initial draft from EMRO and shared with TT for inputs deadline Thursday 4 July 2pm. 14 July: received updated version over the weekend. DON endored by Iran IHR NFP. </t>
  </si>
  <si>
    <t>Anastasia, Keti, Bruno</t>
  </si>
  <si>
    <t>2024-E000292</t>
  </si>
  <si>
    <t>https://ems.who.int/Event/eventSummary.aspx?eid=2024-E000292</t>
  </si>
  <si>
    <t xml:space="preserve">Under piloting with SEARO an HQ Influenza team. Pending adjustments of the v.3. SEARO shared draft with inputs from RO and WCO. Sent to TT for review until COB on Monday 2024. </t>
  </si>
  <si>
    <t>Very high</t>
  </si>
  <si>
    <t xml:space="preserve">20 July 2024: HQ received the draft from RO. 22 July 2024: RRA shared with HQ TT. </t>
  </si>
  <si>
    <t>Tatiana, Donghyok</t>
    <phoneticPr fontId="10" type="noConversion"/>
  </si>
  <si>
    <t>2024-E000291</t>
    <phoneticPr fontId="10" type="noConversion"/>
  </si>
  <si>
    <t>https://ems.who.int/Event/eventSummary.aspx?eid=2024-E000291</t>
    <phoneticPr fontId="10" type="noConversion"/>
  </si>
  <si>
    <t>8 July 2024: HQ received EIS over the weekend on 7 July. The EIS was shared with technical team with deadline of 3 pm 8 July. 9 July 2024: HQ received an updated EIS of the second case and shared with TT with deadline 4pm 9 July. Sent to WPRO. 11 July 2024: HQ received updated EIS with IHR NFP concurrence. 12 July 2024: EIS was sent back to WPRO after discussions with Satoshi regarding the pending comments on the symptomatic close contacts. 15 July 2024: Following up email on the questeions raised on 12 July sent to WPRO (WPRO replied they are waiting for WCO and IHR NFP's feedback, 15 July). 16 July 2024:  HQ received updated EIS with IHR NFP concurrence.</t>
    <phoneticPr fontId="10" type="noConversion"/>
  </si>
  <si>
    <t>Avian influenza A (H3N2)v</t>
  </si>
  <si>
    <t>2024-E-000302</t>
  </si>
  <si>
    <t>https://ems.who.int/Event/eventSummary.aspx?eid=2024-E000302</t>
  </si>
  <si>
    <t xml:space="preserve">13 July 2024: HQ received EIS over the weekend. It was shared with TT, deadline Saturday, 13 July, 6pm. </t>
  </si>
  <si>
    <t>Felix, Tatiana</t>
  </si>
  <si>
    <t>2024-E-000303</t>
  </si>
  <si>
    <t>https://ems.who.int/Event/eventSummary.aspx?eid=2024-E000303</t>
  </si>
  <si>
    <t>14 July 2024: HQ received EIS over the weekend. Send to TT with a deadline of Monday 15 July, 1 pm Geneva time.</t>
  </si>
  <si>
    <t>2024-E000299</t>
  </si>
  <si>
    <t>https://ems.who.int/Event/eventSummary.aspx?eid=2024-E000299</t>
  </si>
  <si>
    <t>15 Jul 2024: first draft of the EIS received from EURO for review with deadline by 16 July at 3pm. 16 July 2024: EURO shared EIS draft with IHR NFP for France; 19 July 204: IHR NFP responded indicating they are still working on the EIS draft and will revert (no timeline provided)</t>
  </si>
  <si>
    <t>2024-E000315</t>
  </si>
  <si>
    <t>https://ems.who.int/Event/eventSummary.aspx?eid=2024-E000315</t>
  </si>
  <si>
    <t xml:space="preserve">15 July 2024: Initial draft received from polio TT and ciruclated for review with deadline on 11 am 16 July 2024. Reminders sent on 17, 22 and 23 July. Draft received 26 Jul, published on 29 Jul. </t>
  </si>
  <si>
    <t>Tatiana, Victoria, Donghyok</t>
    <phoneticPr fontId="10" type="noConversion"/>
  </si>
  <si>
    <t xml:space="preserve">15 Jul 2024: Email sent to influenza TT for their input by 1pm 16 July (Tue). 17 July 2024: email sent to TT for their review by 1pm 18 July. 18 July 2024: email sent to TT with the extended deadline by 2pm 19 July 2024. 22 July 2024: email sent to PAHO for their review and input. 10:32pm 23 July 2024: Received update from PAHO. 24 July 2024 Published </t>
    <phoneticPr fontId="10" type="noConversion"/>
  </si>
  <si>
    <t>This is the internal publication RRA and refer to line 437 for the information on the publicly facing one from PAHO side.</t>
    <phoneticPr fontId="10" type="noConversion"/>
  </si>
  <si>
    <t>Bruno, Anastasia</t>
  </si>
  <si>
    <t>2024-E000305</t>
  </si>
  <si>
    <t>https://ems.who.int/Event/eventSummary.aspx?eid=2024-E000305</t>
  </si>
  <si>
    <t xml:space="preserve">On 2 August we received the EIS draft from RO, the same day it was reviewed by TT and shared back with RO with pending comments. (Weekend from 3-4 August). On 6 August SEARO reach to aks for an extension of the deadline for NFP to address the comments. HQ agreed and granted the extension as long as the information was also updated. On 8 August a follow up email was sent to SEARO. On 8 August we received the final draft from SEARO. On 9 August a request from SEARO was received to stop the publishing process. On 12 August a follow up email was sent. On 13 August a new draft was received with approval of NFP. On 14 August the EIS was cleared and published. The same day an email inquiring about proceding with a DON was sent to SEARO. </t>
  </si>
  <si>
    <t>Victoria, Donghyok</t>
  </si>
  <si>
    <t>https://ems.who.int/Event/eventSummary.aspx?eid=2024-E000168</t>
    <phoneticPr fontId="10" type="noConversion"/>
  </si>
  <si>
    <t>17 July 2024; HQ received initial EIS draft for A(H5) in the United States of America. 18 July 2024: EIS draft with HQ inputs shared with PAHO; 22 JULY 2024: Followed up with PAHO on status of the draft. 24 July 2024: Updated draft was received from PAHO with IHR NFP input (2am).</t>
    <phoneticPr fontId="10" type="noConversion"/>
  </si>
  <si>
    <t>Country name not in EIS, Jered to fix</t>
  </si>
  <si>
    <t xml:space="preserve">EMRO shared the first draft on 21 July 2024. The draft shared with TT for review on 21 July with for review until COB on 22 July 2024. Reminder sent to EMRO. </t>
  </si>
  <si>
    <t>2023-E000398</t>
  </si>
  <si>
    <t>https://ems.who.int/Event/eventSummary.aspx?eid=2023-E000398</t>
  </si>
  <si>
    <t>3 July 2024: RRA agreed across all 3 levels, WCO to lead drafting process; 19 July 2024 HQ received RRA draft from AFRO and shared with TT for inputs deadline 22 July 2024 COB. 22 July 2024: Draft with HQ inputs shared with AFRO for further inputs; 26 July 2024: AFRO requested for a deadline extension to early next week as WCO is still gathering inputs and addressing the comments, will reach out on 29 July to update on new timeline. 27 July: Followed up with AFRO on RRA status, AFRO responded indicating the draft would be shared with HQ on 1 August 2024; 2 Aug 2024 AFRO shared final draft, HQ sent back the draft proposing lowering of overall risk level at national and regional levels. 5 August 2024 WCO prposed a 3LC to agree on the risk levels, WCO to come back with proposed dates for the 3LC. 12 August 2024 HQ followed up on the status of the RRA and 3LC</t>
  </si>
  <si>
    <t>On 17 September AFRO shared initial EIS draft with HQ and the draft was shared with TT on the same day with deadline 19 September 2024. 20 September 2024: The EIS draft was shared with AFRO for NFP concurrence. 26 September HQ sent a follow up on status of EIS and was informed the draft is still with IHR NFP for concurrence.  28 September; WCO shared preliminary EIS inputs but advised RO to wait for NFP final clearance. 7 October 2024 Another follow with AFRO on EIS status was done; 15 October: received final EIS draft from AFRO</t>
  </si>
  <si>
    <t>Donghyok, Victoria</t>
  </si>
  <si>
    <t xml:space="preserve">28 July 2024: PAHO shared initial EIS draft, this was shared with HQ TT for inputs deadline 29 July 2024 3pm GVA. 29 July 2024: EIS draft with inputs from HQ, TT sent to PAHO for their review and NFP's concurrence. 31 July: PAHO sent draft EIS with input from NFP of the United States. 31 July 2024: EIS has posted </t>
    <phoneticPr fontId="10" type="noConversion"/>
  </si>
  <si>
    <t>20 July 2024: An EIS announcement for mpox multi country (AFR) was agreed at the 3L. HQ to initiate the drafting process; 31 July 2024: Initial EIS draft with IMST inputs shared with AFRO for further inputs</t>
  </si>
  <si>
    <t>Lidia, Katrina</t>
  </si>
  <si>
    <t>2024-E000303</t>
  </si>
  <si>
    <t xml:space="preserve">On 29 July 2024, PAHO shared the initial draft. Final draft with IHR NFP concurrence received on 6 August. </t>
  </si>
  <si>
    <t>Lidia, Katrina, Tatiana</t>
  </si>
  <si>
    <t>15 August recieved the Potoguese version of Epi Alert.</t>
  </si>
  <si>
    <t>On 31 July 2024: WPRO shared official IHR notification, EIS is in progress; 2 August 2024 WPRO shared the initial draft and this was shared with HQ TT for inputs deadline 5pm 2 August 2024; 6 August 2024 WPRO shared a draft EIS with information on the latest H5N1 case in Cambodia which will be incorporated into the current draft: 7 August 2024: WPRO shared final draft for disemination</t>
  </si>
  <si>
    <t>Keti, Victoria, Etsub</t>
  </si>
  <si>
    <t>2024-E000172</t>
  </si>
  <si>
    <t>https://ems.who.int/Event/eventSummary.aspx?eid=2024-E000172</t>
  </si>
  <si>
    <t>2024-E000338</t>
  </si>
  <si>
    <t>https://ems.who.int/Event/eventSummary.aspx?eid=2024-E000338</t>
  </si>
  <si>
    <t>On 9 Aug 2024, WPRO shared the first draft. We replied on the same day that we don't think this EIS is necessary and don't agree with the proposed IHR criteria assessment. On 12 Aug 2024, WPRO shared a revised draft with additional information from NFP and revised IHR criteria for review. Shared the draft with TT for review by COB on 13 Aug.</t>
  </si>
  <si>
    <t>2024-E000339</t>
  </si>
  <si>
    <t>https://ems.who.int/Event/eventSummary.aspx?eid=2024-E000339</t>
  </si>
  <si>
    <t xml:space="preserve">30 August draft received, shared with TT with deadline of 2 September 11am. TT was very busy with polio campaign in Gaza and asked for additional time (deadline 3 Sep 11am). on 5 September, reply received request from IHR NFP France to postpone publication until results from samples collected in August are available. On 13 September, IHR NFP shared some (additional) details. Circulation is not yet confirmed. Request from senior management  during AEM to provide data on vaccination coverage. </t>
  </si>
  <si>
    <t>Kaja, Katrina</t>
  </si>
  <si>
    <t>2024-E000343</t>
  </si>
  <si>
    <t>https://ems.who.int/Event/eventSummary.aspx?eid=2024-E000343</t>
  </si>
  <si>
    <t>30 August draft received, shared with TT</t>
  </si>
  <si>
    <t>2024-E000342</t>
  </si>
  <si>
    <t>https://ems.who.int/Event/eventSummary.aspx?eid=2024-E000342</t>
  </si>
  <si>
    <t>On 9 August received draft by PAHO. Shared with TT with the deadline of Monday, 12 August, 2pm GVA time. 12 August 2024: EIS draft shared with PAHO for further inputs and NFP concurrence. 14 August (12:54 am): HQ received final EIS draft from PAHO with  IHR NFP inputs.</t>
  </si>
  <si>
    <t>Victoria, Kaja, Lidia</t>
  </si>
  <si>
    <t>2024-E000349</t>
  </si>
  <si>
    <t>https://ems.who.int/Event/eventSummary.aspx?eid=2024-E000349</t>
  </si>
  <si>
    <t>19 August waiting for draft from EURO</t>
  </si>
  <si>
    <t>Zyleen, Lidia</t>
  </si>
  <si>
    <t>2024-E000281</t>
  </si>
  <si>
    <t>https://ems.who.int/Event/eventSummary.aspx?eid=2024-E000281</t>
  </si>
  <si>
    <t xml:space="preserve">Suggest to be escalted to SM, as there are travel related cases reported from India and there is no alert and travel advice issued, especially regarading the precautions for the preganant women.  Follow up done ys SEARO with the NFP several times, last date on 25 October with no feedback. On 18 December SEARO shared an updated EIS draft with data as of 30 Nov. This was shared with HQ TT  and on 19 December was sent back to SEARO for further accuracy check. Final documnt received on 23 December and posted. </t>
  </si>
  <si>
    <t>13 September 2024 HQ received initial EIS draft from SEARO, it was shared with TT on the same day and sent back to SEARO. Epidemiology data missing and update expected from WCO India during the week of 16- 20 September</t>
  </si>
  <si>
    <t>On 24 December a request was sent to SEAR regarding the DON. SEARO replied that they are consulting and will come back with a reply soon. On 22 November SEARO replied that they regret to inform  that they are unable to proceed with the EIS on Zika in India. After multiple follow ups in the past months, we have not received a response from the India MoHFW. Consequently, we need to halt the process at this time.</t>
  </si>
  <si>
    <t>Avian influenza A (H1N1) v</t>
    <phoneticPr fontId="10" type="noConversion"/>
  </si>
  <si>
    <t>2024-E000354</t>
  </si>
  <si>
    <t>https://ems.who.int/Event/eventSummary.aspx?eid=2024-E000354</t>
  </si>
  <si>
    <t>18 August draft received with TT for comments 19 August 15:00 deadline / 19 August 2024: EIS was shared with PAHO including comments and inputs from HQ teams. / 21 August 2024: during clearance process, it was observed that there was limited information shared on specifics of the case for PH response. EIS was sent back to PAHO for additional details. / 22 August, cant move forward w new changes because already closed at USA NFP site. proceed to publish</t>
  </si>
  <si>
    <t>Bruno, Dunja</t>
  </si>
  <si>
    <t>2024-E000355</t>
  </si>
  <si>
    <t>https://ems.who.int/Event/eventSummary.aspx?eid=2024-E000355</t>
  </si>
  <si>
    <t xml:space="preserve">19 August IHR notification received. 20 August draft received from WPRO and shared with TT. </t>
  </si>
  <si>
    <t>Donghyok, Victoria, Dunja</t>
    <phoneticPr fontId="10" type="noConversion"/>
  </si>
  <si>
    <t>2024-E000356</t>
  </si>
  <si>
    <t>https://ems.who.int/Event/eventSummary.aspx?eid=2024-E000356</t>
    <phoneticPr fontId="10" type="noConversion"/>
  </si>
  <si>
    <t>No</t>
    <phoneticPr fontId="10" type="noConversion"/>
  </si>
  <si>
    <t>Update existing EIS</t>
    <phoneticPr fontId="10" type="noConversion"/>
  </si>
  <si>
    <t>21 August 2024: EIS draft received by WPRO, shared with TT for their input deadline by 3pm 22 August 2024. 22 August 2024: EIS sent to RO with inputs. 26 August 2024: The EIS draft received from WPRO with NFP's concurrence. 26 August 2024: The EIS posted.</t>
    <phoneticPr fontId="10" type="noConversion"/>
  </si>
  <si>
    <t>2023-E000384</t>
    <phoneticPr fontId="10" type="noConversion"/>
  </si>
  <si>
    <t>https://ems.who.int/Event/eventSummary.aspx?eid=2024-E000384</t>
    <phoneticPr fontId="10" type="noConversion"/>
  </si>
  <si>
    <t>29 August 2024: EIS draft initiated by HQ and shared with TT for their input by COB today. 30 August 2024: The draft EIS sent to RO for their REVIEW and MS concurrence.</t>
    <phoneticPr fontId="10" type="noConversion"/>
  </si>
  <si>
    <t>Anastasia, Bruno, Keti</t>
  </si>
  <si>
    <t>Under review with IMST (deadline was COB 10 Sep, but still waiting)</t>
  </si>
  <si>
    <t>Victoria, Tatiana, Dunja, Donghyok, Bruno</t>
  </si>
  <si>
    <t>On 8 September 2024 draft received from PAHO (case notified 6 September) and  shared with TT for their input by deadline 9 September (15:30 Geneva time). 9 September 2024: The draft EIS sent to PAHO with inputs from HQ (PHI, TT).  11 September 2024: The EIS was sent from PAHO. There was not additional information from NFP so they were unable to address most of the comments. After review by PHI it was sent back to PAHO to address some final comments. 12 September 2024: PAHO sent the final EIS, it was cleared and publish the same day as an update. On 17 September HQ received updated EIS with neuraminidase results (N1); 18 September : TT provided comments and PAHO shared feedback the same day. EIS update posted on EIS.</t>
  </si>
  <si>
    <t>Donghyok, Dunja</t>
    <phoneticPr fontId="10" type="noConversion"/>
  </si>
  <si>
    <t>2024-E000389</t>
    <phoneticPr fontId="10" type="noConversion"/>
  </si>
  <si>
    <t>https://ems.who.int/Event/eventSummary.aspx?eid=2024-E000389</t>
    <phoneticPr fontId="10" type="noConversion"/>
  </si>
  <si>
    <t>11 September 2024: HQ received IHR notification with draft EIS and shared with TTs for their input by 3pm tomorrow (12 Sep 2024). 12 September 2024: Draft EIS has been sent to WPRO with HQ inputs. 17 Sep. 2024: F/U email sent to WPRO. 19 Sep. 2024: HQ received updated EIS draft with NFP inputs. 20 Sep 2024: EIS has been published</t>
    <phoneticPr fontId="10" type="noConversion"/>
  </si>
  <si>
    <t>Tatiana, Katrina</t>
  </si>
  <si>
    <t>2024-E000386</t>
  </si>
  <si>
    <t>https://ems.who.int/Event/eventSummary.aspx?eid=2024-E000386</t>
  </si>
  <si>
    <t>Need for EIS for Dominican Republic? Does this mean they would want a combined EIS? Unknown about Regional quarterly DON.</t>
  </si>
  <si>
    <t xml:space="preserve">11 September 2024: HQ received initial EIS draft, it was shared with TT for deadline 3pm tomorrow. / 12 Sept 2024: EIS shared back to PAHO with OROV TT inputs and PHI inputs for NFP concurrence. </t>
  </si>
  <si>
    <t>Lidia, Kaja, Katrina</t>
  </si>
  <si>
    <t>2024- E00402</t>
  </si>
  <si>
    <t>2024-E000402 – Barbados: Acute Meningitis and Encephalitis Syndrome</t>
  </si>
  <si>
    <t>19 sepember 2024</t>
  </si>
  <si>
    <t> https://ems.who.int/Event/eventSummary.aspx?eid=2012-E000288</t>
  </si>
  <si>
    <t>9 September 2024: received EIS draft from RO. Inputs received by COB today from TT. Waiting for clearance to share back from Dunja. / 10 September 2024: Shared EIS with EMRO. / 11 September 2024: correspondence between EMRO and SEARO regarding the MERS EIS IHR NFP concurrence. EMRO and SEARO agreed on 48 hours for response from India IHR NFP for concurrence. / 16 September 2024: Email sent to EMRO inquiring about EIS status. / 17 September 2024: EMRO reports that they have received inputs from SEARO from India IHR NFP, and still following up with IHR NFPs for KSA and Pakistan and will get back to you once feedback received. / 19 September: Dunja to follow up with Aura and Masaya to see about next steps.</t>
  </si>
  <si>
    <t>2024-E000414</t>
  </si>
  <si>
    <t>https://ems.who.int/Event/eventSummary.aspx?eid=2024-E000414</t>
  </si>
  <si>
    <t>27 September 2024: Intial draft of the EIS was shared by EURO with deadline for review by 5 PM 30 September.</t>
  </si>
  <si>
    <t>Zyleen, Tatiana</t>
  </si>
  <si>
    <t>2024-E000416</t>
  </si>
  <si>
    <t>https://ems.who.int/Event/eventSummary.aspx?eid=2024-E000416</t>
  </si>
  <si>
    <t>27 September 2024: An EIS and DON were decided to be drafted in unison after meeting on Saturday 28 Sept. / HQ drafted and sent the email to AFRO for their inputs and NFP concurrence by Sunday 12 noon for distribution same day.</t>
  </si>
  <si>
    <t>Zyleen, Katrina, Dunja</t>
  </si>
  <si>
    <t>21 November 2024: 3 level call to review RRA and share for internal review</t>
  </si>
  <si>
    <t>Victoria, Kaja</t>
  </si>
  <si>
    <t>2024-E000411</t>
  </si>
  <si>
    <t>https://ems.who.int/Event/eventSummary.aspx?eid=2024-E000411</t>
  </si>
  <si>
    <t>EIS is marked as NO, pending update from EMRO. Waiting for EMRO reply from the UAE IHR NFP, as the case in India had been to UAE. Closed for publishing: given the political sensitives involved here we may not get a response. As it has gone to RD level lets not follow on this further. I think best to close so it's no longer on our active list and if we receive information from EMRO we can re-open.</t>
  </si>
  <si>
    <t>2 October 2024: SEARO shared initial EIS draft for HQ and EMRO inputs, draft shared deadline 1pm 3 October 2024; 4 October 202410/4/2024 EIS draft with HQ inputs shared back to SEARO</t>
  </si>
  <si>
    <t>8 October 2024: HQ received Draft RRA from AMRO at 12:51 AM (AMRO requested comment by 3 PM 8 Oct. WDC time). 8 October: RRA shared with TT for their input by 11 AM tomorrow (9 Oct). 9 October: TT request longer time for review and RRA will be sent to PAHO on 10 October. HQ suggested 2L call with PAHO on the risk of the situation tomorrow (10 Oct). 10 Oct 2024: Reminder email sent to TT. 11 Oct 2024: Draft RRA sent to PAHO with inputs from HQ. Suggested call next week. 14 Oct 2024: Invitation sent to PAHO &amp; TT for 2L Call at 3 PM (Geneva time) tomorrow (15 Oct). 15 Oct 2024: 2L call at 3pm with participants from PAHO, TT.  and PHI. 1 Oct 2024: Updated RRA was received at 23:35 and PAHO is planning to post by 5 Nov and Esther is discussing with Abdi on this. 6 Nov 2024: HQ reveived reviewed RRA for publishing by PAHO. PAHO published the RRO on PAHO's webpage on 7 November 2024. HQ will not publish this regional RRA / 15 November 2024: This entry will now be closed as this was a PAHO RA that was published on PAHO website/public facing. An SOP for Zoonotic influenza products are under revision.</t>
  </si>
  <si>
    <t>2024-E000168</t>
    <phoneticPr fontId="10" type="noConversion"/>
  </si>
  <si>
    <t>6 October PAHO shared initial EIS drfat and draft was shared with TT for inputs deadline 7 October 2024 3pm GVA time, draft shared back to PAHO / 11 October 2024: earlier this week, on 10 October, PAHO requested to put a hold on the clearance process for the first 2 cases ever reported in California. Since then we received a 3rd case on 10 Oct and a 4th case on 11 Oct. There is no update on when the EIS will be published or combined. There are also 2 presumptive positive cases also being reported through official channels. / 14 October 2024:  16 October 2024: Updated EIS draft including information on the 4 additional cases received from PAHO, shared with TT for another round of reviews deadline 1pm 16/10/2024. Deadline extended to tomorrow 12 noon17 October for a total of 6 confirmed cases. / 17 October 2024: Sent back to PAHO w HQ teams inputs. / 18 October 2024: request from PAHO to send original EIS without NFP concurrence or HQ teams review (for updated version) brief revision done by Esther, to proceed w publishing the 6 cases today.</t>
  </si>
  <si>
    <t>Anastasia, Victoria, Keti</t>
  </si>
  <si>
    <t>2024-E000427</t>
  </si>
  <si>
    <t>https://ems.who.int/Event/eventSummary.aspx?eid=2024-E000427</t>
  </si>
  <si>
    <t>On 7 October 2024, AFRO confirmed that they would initiate the draft. On 11 October, AFRO shared the first draft with WCO (with outbreak in copy) asking WCO to review it. As of 14 October, waiting for a consolidated draft with AFRO-WCO inputs to start the review from the HQ side. On 17 October, AFRO shared the advanced draft that includes inputs from AFRO and WCO. We shared the draft with TT for review by 1 pm on Friday 18 October. On 21 October, the reviewed draft was sent back to AFRO asking to address comments and share with the NFP. On 28 October, a reminder sent to AFRO.</t>
  </si>
  <si>
    <t>On 10 October 2024 WPRO shared the initial EIS draft and this was shared with TT deadline COB 10 October. Draft sent back to WPRO for IHR NFP concurrence. 15 October 2024: Received final draft for clearance and dissemination</t>
  </si>
  <si>
    <t>2024-E000453</t>
  </si>
  <si>
    <t>https://ems.who.int/Event/eventSummary.aspx?eid=2024-E000453</t>
  </si>
  <si>
    <t>Dunja, Katrina</t>
  </si>
  <si>
    <t xml:space="preserve">29 October 2024: Draft initiated by Martina, edits to be prvoided by HQ teams by 4 November.  5 November 2024: Martina shared a clean version of the draft with HQ inputs. Draft will be shared with regions next. </t>
  </si>
  <si>
    <t>Keti, Anastasia, Dunja, Victoria</t>
  </si>
  <si>
    <t>2024-E000456</t>
  </si>
  <si>
    <t>https://ems.who.int/Event/eventSummary.aspx?eid=2024-E000456</t>
  </si>
  <si>
    <t>Dunja, Tatiana, Donghyok</t>
  </si>
  <si>
    <t>2024-E000466</t>
  </si>
  <si>
    <t>https://ems.who.int/Event/eventSummary.aspx?eid=2024-E000466</t>
  </si>
  <si>
    <t>PAHO shared the initial EIS draft on 16 November 2024. Draft EIS has been sent to PAHO with HQ inputs on 16 Nov. 2024. 18 Nov. 2024: HQ received updated EIS draft from PAHO. EIS published on 18 Nov. 2024.</t>
    <phoneticPr fontId="10" type="noConversion"/>
  </si>
  <si>
    <t>Keti, Etsub</t>
  </si>
  <si>
    <t>2024-E000526</t>
  </si>
  <si>
    <t>https://ems.who.int/Event/EventCurrentCoreDetail.aspx?eid=2024-E000526</t>
  </si>
  <si>
    <t>14 November 2024: After the call decision was taken to initiate the RRA (drafted by AFRO and IVB). 24 December 2024: Shared with TT on 20 Dec asking them to add data to compare current situation with the previous years and also explaining about our position regarding the global risk level; AFRO looped in on 23 Dec. As of today no reply received from either of them. During the 3pm call on 23 Dec it was decided to postpone the work on this RRA until after the holiday season once the focal points are back.</t>
  </si>
  <si>
    <t>Tatiana, Zyleen, Katrina</t>
  </si>
  <si>
    <t>2024-E000469</t>
  </si>
  <si>
    <t>https://ems.who.int/Event/EventCurrentCoreDetail.aspx?eid=2024-E000469</t>
  </si>
  <si>
    <t>PAHO shared the initial EIS draft on 17 November 2024.</t>
  </si>
  <si>
    <t>Tatiana, Donghyok</t>
  </si>
  <si>
    <t>2024-E000463</t>
  </si>
  <si>
    <t>https://ems.who.int/Event/eventSummary.aspx?eid=2024-E000463</t>
  </si>
  <si>
    <r>
      <rPr>
        <b/>
        <sz val="11"/>
        <color rgb="FF000000"/>
        <rFont val="Calibri"/>
        <family val="2"/>
      </rPr>
      <t>8 November 2024</t>
    </r>
    <r>
      <rPr>
        <sz val="11"/>
        <color rgb="FF000000"/>
        <rFont val="Calibri"/>
        <family val="2"/>
      </rPr>
      <t>﻿</t>
    </r>
    <r>
      <rPr>
        <b/>
        <sz val="11"/>
        <color rgb="FF000000"/>
        <rFont val="Calibri"/>
        <family val="2"/>
      </rPr>
      <t xml:space="preserve">: </t>
    </r>
    <r>
      <rPr>
        <sz val="11"/>
        <color rgb="FF000000"/>
        <rFont val="Calibri"/>
        <family val="2"/>
      </rPr>
      <t>Received EIS draft from PAHO, shared with TT for inputs with deadline of 11AM on Monday 11 November. / 11 November: Sent back to WPRO with HQ inputs. / 14 November: Sent request for EIS status. / 15 November: received EIS w NFP concurrence and published same day.</t>
    </r>
  </si>
  <si>
    <t>Dunja, Kaja, Lidia</t>
  </si>
  <si>
    <t>2024-E000468</t>
  </si>
  <si>
    <t>https://ems.who.int/Event/eventSummary.aspx?eid=2024-E000468</t>
  </si>
  <si>
    <t>PAHO shared the draft</t>
  </si>
  <si>
    <t>2024-E000480</t>
  </si>
  <si>
    <t>https://ems.who.int/Event/eventSummary.aspx?eid=2024-E000480</t>
  </si>
  <si>
    <t>Dunja, Donghyok</t>
  </si>
  <si>
    <t xml:space="preserve">PAHO shared the draft at 10:50PM 24 Nov 2024. PHI shared with TT for their input by 3PM 25 Nov. the draft EIS with HQ input has been sent to PAHO on 25 Nov 2024. Draft EIS received with input from RO and IHR NFP on 27 Nov. </t>
    <phoneticPr fontId="10" type="noConversion"/>
  </si>
  <si>
    <t>2024-E000488</t>
  </si>
  <si>
    <t>https://ems.who.int/Event/eventSummary.aspx?eid=2024-E000488</t>
  </si>
  <si>
    <t>WPRO shared draft EIS on 27 November 2024 and PHI shared draft EIS with TT for input by 3PM tomorrow (28 Nov 2024). Draft EIS has been sent to WPRO with HQ inputs on 28 Nov 2024. HQ received update EIS draft from WPRO on 2 December 2024.</t>
    <phoneticPr fontId="10" type="noConversion"/>
  </si>
  <si>
    <t>Tatiana, Zyleen, Bruno</t>
  </si>
  <si>
    <t>2024-E000496</t>
  </si>
  <si>
    <t>https://ems.who.int/Event/eventSummary.aspx?eid=2024-E000496</t>
  </si>
  <si>
    <t>5 December 2024: Drafted EIS, shared with TT with deadline of 12 noon tomorrow.</t>
  </si>
  <si>
    <t>Lidia, Kaja, Tatiana</t>
  </si>
  <si>
    <t>2024-E000513</t>
  </si>
  <si>
    <t>https://ems.who.int/Event/eventSummary.aspx?eid=2024-E000513</t>
  </si>
  <si>
    <t>Received on 9 December, sent back on 10 December to PAHO</t>
  </si>
  <si>
    <t>Donghyok, Dunja, Tatiana</t>
  </si>
  <si>
    <t>2024-E000502</t>
  </si>
  <si>
    <t>https://ems.who.int/Event/eventSummary.aspx?eid=2024-E000502</t>
  </si>
  <si>
    <t>RO shared the draft on 5 December 2024. EIS draft with inputs from HQ (PHI, TT) has been shared with WPRO on 7 December 2024 (12:11 AM). HQ received final update from WPRO on 11 Decmeber 2024. EIS published on 11 Decmber 2024</t>
    <phoneticPr fontId="10" type="noConversion"/>
  </si>
  <si>
    <t>Vaishali</t>
  </si>
  <si>
    <t>17 December 2024: Received first EIS draft from PAHO, shared with TT with 4pm deadline. Sent back to PAHO for NFP concurrence.</t>
    <phoneticPr fontId="10" type="noConversion"/>
  </si>
  <si>
    <t>Kaja, Lidia, Victoria</t>
  </si>
  <si>
    <t>2024-E000524</t>
  </si>
  <si>
    <t>https://ems.who.int/Event/eventSummary.aspx?eid=2024-E000524</t>
  </si>
  <si>
    <t>draft reived, response requested by Monday 15:00 / 30 December 2024: Info on high risk contact shared with TT. / 1 January 2025: follow up email sent checking on status of EIS</t>
  </si>
  <si>
    <t>Bruno</t>
  </si>
  <si>
    <t xml:space="preserve">The DON was put on hold because it does not meet the IHR standards. An EIS was published instead. </t>
  </si>
  <si>
    <t>All products done</t>
  </si>
  <si>
    <t>2025-E000004</t>
  </si>
  <si>
    <t>https://ems.who.int/Event/EventOutputIHR.aspx?eid=2025-E000004</t>
  </si>
  <si>
    <t>Received initial EIS draft from WPRO on 3 January 2024. Shared with TT for inputs deadline 4pm 6 January  2025. EIS draft sent back to WPRO with HQ inputs on 6 Jan 2025. HQ received EIS draft with input from NFP and published on 9 January 2024</t>
    <phoneticPr fontId="10" type="noConversion"/>
  </si>
  <si>
    <t>2025-E000003</t>
  </si>
  <si>
    <t>https://ems.who.int/Event/EventOutputIHR.aspx?eid=2025-E000003</t>
  </si>
  <si>
    <t>Received initial EIS draft from WPRO on 3 January 2024. Shared with TT for inputs deadline 4pm 6 January 2025.  EIS draft sent back to WPRO with HQ inputs on 6 Jan 2025. HQ received EIS draft with input from NFP and published on 9 January 2024.</t>
    <phoneticPr fontId="10" type="noConversion"/>
  </si>
  <si>
    <t>2022-E000368</t>
  </si>
  <si>
    <t>https://ems.who.int/Event/eventSummary.aspx?eid=2022-E000368</t>
  </si>
  <si>
    <t>Received initial EIS draft from WPRO on 3 January 2024. Shared with TT for inputs deadline 10am 6 January 2025; 6 January 2024: Shared back EIS draft with HQ inputs for IHR NFP concurrence. 9 January 2024: Received revised EIS draft with 4 additional cases, shared back by COB GVA for NFP concurrence; 10 Jan 2024: Received final draft with NFP concurrence for finalization</t>
  </si>
  <si>
    <t>Trends of acute respiratory infection, including human metapneumovirus</t>
  </si>
  <si>
    <t>2025-E000008</t>
  </si>
  <si>
    <t>https://ems.who.int/Event/eventSummary.aspx?eid=2025-E000008</t>
  </si>
  <si>
    <t xml:space="preserve">Received draft from PAHO on 9 January 2024, and shafred with TT for reveiw deadline 4pm GVA 9 January 2025. / 10 January 2025: Sent EIS back to PAHO w HQ inputs. Proposed DON. / 11 January 2025: PAHO has agreed to proceed with the DON / 14 January 2025: Received feedback from NFP and is currently under clearance. </t>
  </si>
  <si>
    <t>Victoria, Zyleen</t>
  </si>
  <si>
    <t>2025-E000012</t>
  </si>
  <si>
    <t>https://ems.who.int/Event/eventSummary.aspx?eid=2025-E000012</t>
  </si>
  <si>
    <t>13 January 2025: Received initial draft from AFRO fo review, shared with TT for inputs deadline 4pm GVA; 16 January 2025: Received final RRA draft for fianlization and dissemination</t>
  </si>
  <si>
    <t xml:space="preserve">11 January 2025: Received initial EIS draft from AFRO, deadline for inputs 11am GVA time. </t>
  </si>
  <si>
    <t>Donghyok</t>
  </si>
  <si>
    <t>2025-E000010</t>
    <phoneticPr fontId="10" type="noConversion"/>
  </si>
  <si>
    <t>https://ems.who.int/Event/eventSummary.aspx?eid=2025-E000010</t>
    <phoneticPr fontId="10" type="noConversion"/>
  </si>
  <si>
    <t>12 January 2025: Received initial EIS draft from WPRO, shared with TT deadline 13 January 3pm. EIS draft sent back to WPRO with HQ inputs on 13 January. HQ received draft EIS from WPRO with WCO inputs on 16 January, EIS published on 16 January 2025</t>
    <phoneticPr fontId="10" type="noConversion"/>
  </si>
  <si>
    <t>2025-E000007</t>
  </si>
  <si>
    <t>https://ems.who.int/Event/eventSummary.aspx?eid=2025-E000007</t>
  </si>
  <si>
    <t>16-January 2025: EURO shared the link to the initial EIS draft for mpox in France, shared with TT deadline 2pm 17 January 2025; 17 January 2025: EIS draft with HQ inputs shared with EURO</t>
  </si>
  <si>
    <t>Further characterization of the virus still pending</t>
  </si>
  <si>
    <t>17 January 2025: Received initial draft from PAHO circulated the draft for review deadline 3pm GVA 17 January, draft with HQ inputs shared back with PAHO</t>
  </si>
  <si>
    <t>22 January 2025: Received updated drafted from WPRO with additional imported case from UAE, Final draft received and EIS updated on 28 January</t>
  </si>
  <si>
    <t>2022-E000288</t>
  </si>
  <si>
    <t>https://ems.who.int/Event/EventCurrentCoreDetail.aspx?eid=2022-E000288</t>
  </si>
  <si>
    <t>27 January 2025: Received initial EIS draft from SEARO and shared with IMST for review, deadline 5pm Monday 27 January 2025. 6 February 2025; Received final EIS draft from SEARO</t>
  </si>
  <si>
    <t>Lidia, Vaishali</t>
  </si>
  <si>
    <t>2024-E000487</t>
  </si>
  <si>
    <t>https://ems.who.int/Event/EventCurrentCoreDetail.aspx?eid=2024-E000487</t>
  </si>
  <si>
    <t>2025-E000053</t>
  </si>
  <si>
    <t>https://ems.who.int/Event/EventCurrentCoreDetail.aspx?eid=2025-E000053</t>
  </si>
  <si>
    <t xml:space="preserve">30 Jan 2025: AFRO started working on the first draft. 31 January: HQ provided comments. 1 February 2025: RRA finalised </t>
  </si>
  <si>
    <t>30 Jan 2025: HQ PHI prepared the first draft and shared it with TT for review by 10 am on Friday, 31 January.  31 Jan 2025: the draft sent to AFRO to review and share with NFP by 6pm on the same day. EIS published on 31 Jan without reply from NFP since all information was already publically available.</t>
  </si>
  <si>
    <t>https://ems.who.int/Event/eventSummary.aspx?eid=2025-E000053</t>
  </si>
  <si>
    <t>6 March 2025: decided that AFRO will lead the drafting. 12 March 2025: the first draft received from AFRO and shared with IMST for review by 2pm on 13 March. Draft shared back with AFRO on 13 March for finalization. 17 March 2025: Final draft  recei ved from AFRO for clearance and dissemination</t>
  </si>
  <si>
    <t>2025-E000066</t>
  </si>
  <si>
    <t>https://ems.who.int/Event/eventSummary.aspx?eid=2025-E000066</t>
  </si>
  <si>
    <t xml:space="preserve">EMS needs to be reopened prior to publication. </t>
  </si>
  <si>
    <t>6 February 2025: HQ received initial EIS draft from PAHO and shared with TT for review deadline 3pm 6 February 2025, shared back EIS draft with HQ inputs on 6 February. 12 February 2025: Followed up with PAHO on the status of the EIS draft</t>
  </si>
  <si>
    <t>Tatiana  Victoria</t>
  </si>
  <si>
    <t>2025-E000076</t>
  </si>
  <si>
    <t>https://ems.who.int/Event/eventSummary.aspx?eid=2025-E000076</t>
  </si>
  <si>
    <t>10 February 2025: WPRO shared initial EIS draft and it was shared with TT for inputs deadline 1pm GVA time 11 February 2025. / 11 February 2025: Sent EIS back to WPRO w HQ inputs.</t>
  </si>
  <si>
    <t>Victoria Tatiana</t>
  </si>
  <si>
    <t>2025-E000077</t>
  </si>
  <si>
    <t>https://ems.who.int/Event/eventSummary.aspx?eid=2025-E000077</t>
  </si>
  <si>
    <t>2025-E000075</t>
  </si>
  <si>
    <t>https://ems.who.int/Event/eventSummary.aspx?eid=2025-E000075</t>
  </si>
  <si>
    <t xml:space="preserve">Victoria </t>
  </si>
  <si>
    <t xml:space="preserve">https://ems.who.int/Event/eventSummary.aspx?eid=2024-E000168 </t>
  </si>
  <si>
    <t>11 February 2025: Received initial EIS draft from PAHO, shared with TT deadline 3pm, 11 February. Draft with HQ inputs shared back with PAHO for further inputs and NFP concurrence; 19 February received EIS dfraft with IHR NFP concurrance.</t>
  </si>
  <si>
    <t>2022-E000160</t>
  </si>
  <si>
    <t>https://ems.who.int/Event/EventOutputIHR.aspx?eid=2022-E000160</t>
  </si>
  <si>
    <t>19 February 2025: Received initial EIS draft with IHR inputs from EMRO, shared the draft with TT deadline 20 February 2025 12pm GVA time</t>
  </si>
  <si>
    <t>Tatiana, Lidia</t>
  </si>
  <si>
    <t>2024-E000510</t>
  </si>
  <si>
    <t>https://ems.who.int/Event/eventSummary.aspx?eid=2024-E000510</t>
  </si>
  <si>
    <t>EMS needs to be reopened prior to publication. EMS was reopened on 17 January.</t>
  </si>
  <si>
    <t>Draft received 23 December, shared with TT (MVK) waiting to see who will be assigned to provide feedback. / 23 December 2024: Let WPRO know that we may not get the feedback in time for them to receive NFP concurrence before the start of the holidays. / 2 January 2025: received follow up email on status of EIS from WPRO. Sent follow up email to MVK asking if a person has been assigned; response pending. / 14 January 2025: Waiting for clearance from WOAH senior management, to check on this again tomorrow. / 15 January 2025: received clearance from WOAH, sent back to WPRO. / 17 January 2025: Sent email to WPRO letting them know that we are sharing the EIS w PAHO and requested the EMS to be reopened. Sent email to PAHO asking for feedback into the EIS with a deadline of 4pm Friday Geneva time. / 17 January 2025: An extension was requested for Tuesday 21 January 11pm Geneva time. / 22 January 2025: received feedback from PAHO and USA NFP, consolidated information and sent to WPRO w PAHO in copy. / 28 January 2025: sent email requesting status of EIS. / 29 January 2025: WPRO replied that the EIS has been shared with the Philippines DoH and they request some time to address the queries as it requires other stakeholders input. The date of when they exactly shared it w NFP was not provided, hence no entry into column AE "EIS sent to NFP" / 5 February 2025: An email was sent to WPRO following up on the status of the EIS. / 14 February 2025: Received EIS from WPRO. Requested track changes version to be shared. Awaiting feedback from Dept of Agriculture. Questions around source of where goats where infected not addressed, to understand if it is now circulating among animals.</t>
  </si>
  <si>
    <t>EMS needs to be reopened prior to publication  (17 Feb 2025)</t>
  </si>
  <si>
    <t xml:space="preserve">17 February 2025: received EIS draft and IHR notification for WY case. Deadline for inputs 2pm Tues 18 Feb. / 18 February 2025: Shared with PAHO. </t>
  </si>
  <si>
    <t>2025-E000091</t>
  </si>
  <si>
    <t>https://ems.who.int/Event/eventSummary.aspx?eid=2025-E000091</t>
  </si>
  <si>
    <t>24 February 2025: It was agreed across the 3L to proceed with an EIS for mpox in Qatar. 5 March 2025: EMRO indicated they had drafted the EIS and shared with IHR NFP for inputs; 16 March 2025: Received initial EIS draft from EMRO, and shared with TT deadline COB 17 March 2025. 18 March 2025: Received final draft with IHR NFP's concurrence and finalised for posting, however IHR NFP had requested sharing the draft with her prior to posting. The draft was shared with EMRO for IHR NFP's final check</t>
  </si>
  <si>
    <t>Kaja, Victoria</t>
  </si>
  <si>
    <t>On 14 February 2025 the initial RRA draft was shared with HQ and ROs for review and inputs</t>
  </si>
  <si>
    <t>Keti, Bruno</t>
  </si>
  <si>
    <t xml:space="preserve">12 March: follow up sent to WPRO. 13 March: RO is still waiting for IHR NFP to reply. </t>
  </si>
  <si>
    <t>Bruno, Keti</t>
  </si>
  <si>
    <t>https://ems.who.int/Event/eventSummary.aspx?eid=2023-E000450</t>
  </si>
  <si>
    <t>IS EIS and DON needed?</t>
  </si>
  <si>
    <t xml:space="preserve">25 Feb: Initial draft received from EMRO and shared with TT. 26 Feb: EMRO informed the draft was not completed therefore the review by TT was put on hold. Later on the same day, EMRO shares the correct version. 27 Feb: draft shared with TT. 28 Feb: draft shared back with RO with comments from TT and PHI. 4 March: EMRO shared back the draft with PHI HQ and asked for availability for 3LC, the same day 3LC options were shared to TT. 5 March: No reply from TT, so EMRO agreed on proceeding with the TLC on 6 of March. From PHI HQ it was decided to pause the review of the RRA until the 3LC takes place. 6 March: A 3LC took place, where WCO share new available information obtained through informal channels with the MoH, therefore the risk assessment was reassed and the draft will be made available within the next days by EMRO with the new information and the results of the discussion. 10 March: RO shared the draft after the 3LC and receiving inputs from WCO. The same date, inconsistencies were found in the data and questions were sent to RO. 11 March: Inconsistencies were addressed  by RO/WCO and the RRA was published. </t>
  </si>
  <si>
    <t xml:space="preserve">12 March: A follow up was sent to EMRO to check on their position for publishing an EIS and DON. 13 March: EMRO said their is an ongoing discussion with WCO, and they will reach back when they have a response. 31 March: Follow up sent to EMRO. 1 April: EMRO replied they are following with WCO, and confirmed they have agreed on proceeding with an EIS. 7 April: EIS draft received, however soon after RO asked to hold any inputs until NFP provided an epi update into the draft.  9 April: draft with inputs from NFP received. Same day it was shared with TT for their inputs. 10 April: EIS was shared back with EMRO after receiving inputs from TT. EMRO confirmed receipt. 15 April: Follow up sent to EMRO to check on the status. EMRO replied they shared with IHR NFP but haven't received inputs. 17 April: Follow up sent to EMRO. No response. 22 April: EMRO shared back the EIS with IHR NFP inputs. The same day, during the review it was noted by the Team Lead that IHR NFP changed WHO's assessment of the risk level. An email was sent back to EMRO to concur on whether we can proceed with the publishing a different version which keeps the WHO risk level. 29 April: By direct request from Abdi the process for an EIS was stopped. In order to support the country with visibility on the situation a DON was agreed, but given the challenges, the delays and time taken in this EIS it was decided to stop it. </t>
  </si>
  <si>
    <t>23 February 2025: PAHO shared the EIS draft. / 24 February 2025: EIS draft was shared back to PAHO with inputs from HQ teams. 26 February: Received final EIS draft from PAHO, shared for final clearance</t>
  </si>
  <si>
    <t>Anastasia, Keti, Bruno, Yosef</t>
  </si>
  <si>
    <t>2025-E000033</t>
  </si>
  <si>
    <t>https://ems.who.int/Event/EventCurrentCoreDetail.aspx?eid=2025-E000033</t>
  </si>
  <si>
    <t xml:space="preserve">26 February 2025: PHI FPs initiated the drafting process for the Global cholera RRA. 4 March 2025: It was decided during 3pm call on 4 March to wait before finalizing the draft until Friday when the latest cholera datapack arrives. 7 March 2025: The datapack received and  PHI started preparing the first draft. Due to the length of the RRA, was decided to continue on Monday. 10 March 2025: Finished the first draft. Shared with Dunja for additional comments before sharing further with TT. 11 March: Shared with TT for review until 1pm on 12 March. 12 March: TT asked for extention until COB today. 13 March: IMST/TT confirmed that they finished the review. Draft shared with ROs with a deadline by COB on 14 March (Froiday). EMRO and PAHO asked for extension of the deadline until COB on 17 March. 17 March: by COB comments received from all ROs, except for AFRO. Reminder semnt to AFRO. 18 March: the draft with incorporated edits from ROs shared with TT for final look and to address several pending comments with a deadline by 13:00 on the same day. RRA finalised and distributed. https://ems.who.int/Event/EventCurrentCoreDetail.aspx?eid=2025-E000033 </t>
  </si>
  <si>
    <t>N/A (see comments)</t>
  </si>
  <si>
    <t>EIS was marked but not drafted</t>
  </si>
  <si>
    <t xml:space="preserve">Decision date - 24 Sep 2024 (date of finalisation of the RRA v6) as this a continious Grade 3 event with regular RRA updates before the scheduled grading calls </t>
  </si>
  <si>
    <t>26 February 2025: Received EIS draft for the period covering 6 Sept 2024 to 26 Feb 2025. Shared with TT for inputs deadline 27 Feb at 11am. / 27 February 2025: Sent EIS draft back to EMRO with inputs from HQ teams. / 5 March 2025: sent email requesting status of EIS. / 6 March 2025: EMRO replied to state that the EIS is with the NFP</t>
  </si>
  <si>
    <t>2024-E000226</t>
  </si>
  <si>
    <t>https://ems.who.int/Event/EventOutputIHR.aspx?eid=2024-E000226</t>
  </si>
  <si>
    <t>27 February 2025: It was agreed across the 3L to proceed with EIS and HQ initiated the draft; 28 February shared initial draft with AFRO for further inputs</t>
  </si>
  <si>
    <t>2025-E000073</t>
  </si>
  <si>
    <t>https://ems.who.int/Event/eventSummary.aspx?eid=2025-E000073</t>
  </si>
  <si>
    <t>7 March 2025: Initiated EIS draft and shared with AFRO for inputs</t>
  </si>
  <si>
    <t>2025-E000092</t>
  </si>
  <si>
    <t>https://ems.who.int/Event/eventSummary.aspx?eid=2025-E000092</t>
  </si>
  <si>
    <t>28 February 2025: Draft received from RO and shared with TT deadline COB 28 February 2025. Sent EIS draft to WPRO w inputs from HQ teams.</t>
  </si>
  <si>
    <t>2025-000089</t>
  </si>
  <si>
    <t>https://ems.who.int/Event/eventSummary.aspx?eid=2025-E000089</t>
  </si>
  <si>
    <t>4 March 2025, the 3L agreed to proceed with an EIS; 18 March 2025: SEARO shared initial draft, shared with TT for inputs deadline 3pm 18 March 2025. Sent EIS back to SEARO. / 20 March 2025: Email sent to SEARO confirming receipt of EIS and checking on the status. / 24 March 2025: Sent another request to check in on the EIS (sent back on 18th). / 25 March 2025: EIS is ready to be posted, pending tech error w EIS platform; Posted!</t>
  </si>
  <si>
    <t>2025-E000096</t>
  </si>
  <si>
    <t>https://ems.who.int/Event/eventSummary.aspx?eid=2025-E000096</t>
  </si>
  <si>
    <t>7 March 2025 Received initial EIS draft for mpox in Brazil, shared with TT for review and inputs. Shared draft back with PAHO. 9 March 2025: Received final draft from PAHO nad shared for final clearance</t>
  </si>
  <si>
    <t>2025-E000109</t>
  </si>
  <si>
    <t>https://ems.who.int/Event/eventSummary.aspx?eid=2025-E000112</t>
  </si>
  <si>
    <t xml:space="preserve">27 March sent to HQ TT. Initial inputs provided on 31 March. Deadline extended until 1 April. Relevant  adjustments and proposals included from PHI side . Draft sent back to EMRO on 2 April. 3LTC expected . </t>
  </si>
  <si>
    <t xml:space="preserve">EIS draft shared with TT 19 March. TC with MOH held on 27 March. NFP shared back the EIS draft and fuerter review was requested to HQ TTs. Draft reviewd the same day and sent back to EMRO for further accuaracy check with the NFP. </t>
  </si>
  <si>
    <t>EIS draft shared with TT 19 March, The France IHR NFP asked to hold the final draft, on 9 April the EIS is not working, EIS is ready.</t>
  </si>
  <si>
    <t>Keti, Bruno, Dana</t>
  </si>
  <si>
    <t>19 March 2025: received from PAHO for review</t>
  </si>
  <si>
    <t xml:space="preserve">It was initially intended to be a Kyrgystan RRA, however after push back from senior management it was agreed that there was no need for it. </t>
  </si>
  <si>
    <t>2025-E000125</t>
  </si>
  <si>
    <t>https://ems.who.int/Event/eventSummary.aspx?eid=2025-E000125</t>
  </si>
  <si>
    <t>24 March 2025: WPRO shared IHR notification and have initiated EIS draft. 27 March 2025: HQ received initial draft from WPRO and shared with TT for inputs deadline 3pm 27 March 2025.</t>
  </si>
  <si>
    <t>Alessandro</t>
  </si>
  <si>
    <t xml:space="preserve">Draft shared on EURO sharedrive; 7 April 2025 final EIS draft shared by EURO and posted on EIS. There were access challenges and several IHR NFPs and WHO personnel could not access the EIS. A request for support was raised with Jered and the EMS2 team is working on resolving the technical issue. </t>
  </si>
  <si>
    <t>https://ems.who.int/Event/eventSummary.aspx?eid=2025-E000145</t>
  </si>
  <si>
    <t>4 Apr-25: PAHO shared initial EIS draft, thi s was shared with TT for review deadline 3pm 4 April 2025; 9 April: Received final draft from PAHO for dissemination. EIS platform is still experiencing accesss issues, users cannot view posted EIS</t>
  </si>
  <si>
    <t>4 April 2025: WPRO shared initial draft and this was shared with TT deadline 11am Monday 7 April 2025; 7 April 2025: Draft shared back with WPRO for IHR NFP concurrence; 11 April 2025 final draft with IHR NFP concurrance shared by WPRO, sent for final clearance. EIS on hold for posting on 14 April when EIS platform issue has been resolved</t>
  </si>
  <si>
    <t>Keti, Bruno, Vaishali</t>
  </si>
  <si>
    <t>2025-E000150</t>
  </si>
  <si>
    <t>https://ems.who.int/Event/eventSummary.aspx?eid=2025-E000150</t>
  </si>
  <si>
    <t xml:space="preserve">5 April 2025: WPRO sent notification and question about EIS. 7 April: WPRO shared EIS draft, shared with HQ TT and received feedback on 9 April. IHR NFP concurrence received on 10 April </t>
  </si>
  <si>
    <t>https://ems.who.int/Event/eventSummary.aspx?eid=2025-E000138</t>
  </si>
  <si>
    <t>8 April proposed by AFR and WCO, agreement sent</t>
  </si>
  <si>
    <t>2025-E000148</t>
  </si>
  <si>
    <t>https://ems.who.int/Event/eventSummary.aspx?eid=2025-E000148</t>
  </si>
  <si>
    <t>9 April 2025: SEARO shared initial EIS draft and this was shared with HQ TT for review deadline 9 April 4pm. 15 April 2025: Sent a follow up email to SEARO checking status of the draft 17 Apri 2025: SEARO responded indicating that the draft is till with WCO/IHR NFP pending official announcement of the event.23 April 2025: SEARO shared final draft without additional information from IHR NFP, to be updated once it becomes available.</t>
  </si>
  <si>
    <t>2025-E000157</t>
  </si>
  <si>
    <t>https://ems.who.int/Event/eventSummary.aspx?eid=2025-E000157</t>
  </si>
  <si>
    <t>11 April 2025: Received the initial EIS draft for A(H9N2) in China and shared with TT for inputs deadline 2pm 11 April 2025. 15 April 2025: Sent a follow up email to WPRO regarding status of the EIS draft</t>
  </si>
  <si>
    <t>2025-E000155</t>
  </si>
  <si>
    <t>https://ems.who.int/Event/eventSummary.aspx?eid=2025-E000155</t>
  </si>
  <si>
    <t>11 April 2025: Received the initial EIS draft and shared with TT for inputs deadline COB 11 April 2025</t>
  </si>
  <si>
    <t>2025-E000154</t>
  </si>
  <si>
    <t>https://ems.who.int/Event/eventSummary.aspx?eid=2025-E000154</t>
  </si>
  <si>
    <t>11 April 2025: Received initial EIS draft from EURO shared with HQ deadline COB 14 April 2025</t>
  </si>
  <si>
    <t>RRA decision taken on Monday 19 May 2025 . PAHO shared initial draft on 21 May. Sent back to PAHO on 22 May with the  global risk integrated. the RRA was note finishe for PAHO.</t>
  </si>
  <si>
    <t>Outbreak declared over on 25 April</t>
  </si>
  <si>
    <t>16 April draft received, shared with MERS TT and IPC focal person for MERS events with a deadline of 3pm 17 April. / 17 April 2025: Sent to ROs for NFP concurrence. / 19 April 2025: EMRO sent back draft with missing data and changes to IHR question 3 / 23 April 2025: HQ sent back changes to amendments made by EMRO regarding IHR Q3. Waiting on NFP concurrence on combined EIS. / 28 April 2025: Sent an email to EMRO requesting the status of the EIS. / 29 April 2025: received EIS with NFP concurrence - noting one additional case was added as a high risk contact to the cluster.</t>
  </si>
  <si>
    <t>2025-E000164</t>
  </si>
  <si>
    <t>https://ems.who.int/Event/eventSummary.aspx?eid=2025-E000164</t>
  </si>
  <si>
    <t>received Friday afternoon,</t>
  </si>
  <si>
    <t>2025-E000162</t>
  </si>
  <si>
    <t>https://ems.who.int/Event/eventSummary.aspx?eid=2025-E000162</t>
  </si>
  <si>
    <t>24 April 2025: Received initial EIS draft from WPRO and shared with TT deadline 3pm 24 April 2025.</t>
  </si>
  <si>
    <t>2025-E000188</t>
  </si>
  <si>
    <t>https://ems.who.int/Event/eventSummary.aspx?eid=2025-E000188</t>
  </si>
  <si>
    <t>EIS published next day after the clearance due to technical issue with EIS.</t>
  </si>
  <si>
    <t>2025-E000185</t>
  </si>
  <si>
    <t>http://ems.who.int/Event/eventSummary.aspx?eid=2025-E000185</t>
  </si>
  <si>
    <t>2 May 2025 proposed by AFRO, initial draft by WCO. Agreed upon by 3 levels. Suggested by HQ to combine RRA for DRC and Uganda as epi linked events. / 9 May 2025: shared the RRA with HQ inputs (anthrax TT did not provide feedback) back to AFRO. / 12 May 2025: requested AFRO to gather all inputs from WCOs and consolidate their feedback along with RO's and share with HQ PHI at by 12 noon tomorrow Tuesday 13 May for finalization. / 13 May 2025: Received RRA from AFRO w WCOs inputs consolidated. To be reviewed for clearance and distribution / 14 May 2025: RRA is now under clearance with Esther.</t>
  </si>
  <si>
    <t>2May 2025: Proposed and agreed upon . 15 May 2025: AFRO/JP agreed to have EIS announcement. 16 May 2025: AFRO/JP informed that he is writing the EIS draft and will be sharing with us today, most likely after hours. / 19 May 2025: We did not receive the draft EIS on Friday as promised. An email was sent to AFRO requesting status of the EIS. No response received by COB. / 20 May 2025: Sent another email to AFRO checking on status of the EIS as there was no response to yesterday's email either, also sent messages on TEAMS and WhatsApp. / 21 May 2025: Received the EIS draft overnight, it was only shared with FPs. The draft has now been shared with TTs with a deadline of 12 noon tomorrow Thursday 22 May. / 22 May 2025: AFRO replied that they received confirmation from WCO DRC to proceed with the DON. There is now agreement across the 3-levels. The EIS has now been sent to AFRO. / 27 May 2025: Sent an email requesting confirmation of receipt from last week Thursday and checking in on the status of the EIS. Received message via WA from JP requesting if concurrence is required from both IHR WCOs, replied that yes this is the usual process and to pls request updated figures if available./ 29 May 2025: sent a follow up email requesting status of the EIS. / 30 May 2025: Received feedback from AFRO/JP letting us know that they have not yet received feedback from DRC and Uganda. They included colleagues  from both WCOs in copy to update us on the status of the review process. / 3 June 2025: received feedback from AFRO on DRC figures only up to 30 May, info from Uganda still pending, last update on figures was march 30. / 5 June 2025: on 4 June Dunja proposed during 3pm to put a hold on EIS due to delays and considering publishing the RRA on the recently launched RRA website.</t>
  </si>
  <si>
    <t>2025-E000177</t>
  </si>
  <si>
    <t>https://ems.who.int/Event/eventSummary.aspx?eid=2025-E000177</t>
  </si>
  <si>
    <t>4 May received IHR notification of confirmed A(H5) case in Bangladesh. SEARO will be initiating EIS draft. 7 May 2025: Recveived initial draft from SEARO with limited available information. Shared with TT deadline 2pm 8 May 2025. 13 May 2025: Followed up with SEARO on the status of the EIS draft, if feedback has been received from IHR NFP; 14 May 2025: Received final draft with IHR NFP feedback from SEARO</t>
  </si>
  <si>
    <t>Vaishali, Bruno</t>
  </si>
  <si>
    <t xml:space="preserve">12 May received IHR notification and initial EIS draft from WPRO colleagues. Shared with HQ TT with a deadline of 3 PM 12 May 2025. EIS shared back with WPRO with HQ inputs on 13 May. </t>
  </si>
  <si>
    <t>2025-E000179</t>
  </si>
  <si>
    <t>https://ems.who.int/Event/eventSummary.aspx?eid=2025-E000179 </t>
  </si>
  <si>
    <t>12 May 2025: Received initial EIS draft from WPRO and shared with HQ TT for review and inputs. Only VHF and IPC teams provided inputs, Case mgmt did not reply. Sent back to TT with request for DON. / 16 May 2025: Sent an email to SEARO checking on the status of the EIS and following up on the request for a DON. / 17 May 2025: SEARO replied that they are following up w India IHR NFP and have given him until Monday to hear back from Regarding the DON, they will discuss among the team on Monday. A summary of the Nipah case was shared. / 20 May 2025: EIS was received without NFP concurrence (as per Dunja), re the DON SEARO will get back to us in due course.</t>
  </si>
  <si>
    <t xml:space="preserve">27 May: DON initiated as requested by SEARO with NFP agreement. 28 May: Reminder sent. Same day, the DON was reviewed by TT and Comms although TT shared some reservations about proceeding given no DON was published for similar outbreak in Bangladesh, however the decision to proceed was based on the request from SEARO.  SEARO informed that they have given a deadline to NFP until 29 May. 30 May: Reminder sent to SEARO. Same day SEARO replied the NFP was in agreement but provided no feedback. This was confusing as initially there was already agreement. Follow up conversations took place via Teams Channel with Pavana from SEARO. Pavana check with IHR NFP and requested to extend deadline until next Monday 2 June. 2 June: SEARO shared an official source from the MoH, but provided no feedback to the DON. As comments remained unanswered, SEARO followed up with IHR NFP.  IND decided to put on hold the DON until the information was received. 4 June: SEARO shared a draft from IHR NFP which was inconsistent with the official source from the MoH. Comments from TT and Comms remained unanswered. This was shared with Team Lead (Dunja covering for Adedoyin) and concerns were raised about these issues. 5 June: After review by Team Lead, it was agreed to not proceed with the publication of the DON. 6 June: SEARO, TT and Comms were informed about the decision. </t>
  </si>
  <si>
    <t>2025-E000181</t>
  </si>
  <si>
    <t>https://ems.who.int/Event/eventSummary.aspx?eid=2025-E000181</t>
  </si>
  <si>
    <t>12 May 2025: Received initial EIS draft from WPRO and shared with HQ TT for review and inputs; 13 May 2025: Shared back EIS draft with WPRO incorporating inputs and comments from HQ. 28 May 2025: Received IHR NFP feedback including additional info on the case and VNM public health response actions.</t>
  </si>
  <si>
    <t>2025-E000182</t>
  </si>
  <si>
    <t>https://ems.who.int/Event/eventSummary.aspx?eid=2025-E000182</t>
  </si>
  <si>
    <t>12 May 2025: Received initial EIS draft from WPRO and shared with HQ TT for review and inputs; 13 May 2025: Shared back EIS draft with WPRO incorporating inputs and comments from HQ; 16 May 2025: WPRO still awaiting additional information from WCO and IHR NFP, as available information is scanty.</t>
  </si>
  <si>
    <t>2025-E000183</t>
  </si>
  <si>
    <t>https://ems.who.int/Event/eventSummary.aspx?eid=2025-E000183</t>
  </si>
  <si>
    <t>12 May 2025: Received initial EIS draft from WPRO and shared with HQ TT for review and inputs; 13 May 2025: Shared back EIS draft with WPRO incorporating inputs and comments from HQ 21 May 2025: EIS updated with additionla information received from IHR NFP</t>
  </si>
  <si>
    <t>2025-E000173</t>
  </si>
  <si>
    <t>https://ems.who.int/Event/eventSummary.aspx?eid=2025-E000173</t>
  </si>
  <si>
    <t>12 May 2025: Received initial EIS draft, shared with TTs for feedback tomorrow 1pm Wednesday 14 May. 14 May: EIS with HQ comments sent back to SEARO./  16 May 2025: Sent an email to SEARO checking on the status of the EIS and following up on the request for a DON. / 17 May 2025: SEARO replied to say that they gave IHR NFP until Monday to respond. /  19 May 2025: Sent a follow up message checking on the status of the EIS this morning. After hours, we received EIS draft, but not with track changes - requested this version as well and sent follow up email asking about agreement to proceed on the DON. / 20 May 2025: The EIS to be reviewed by HQ for clearance. / 21 May 2022: Cleared for publication after hours/ 22 May 2022: Published EIS.</t>
  </si>
  <si>
    <t>2022-E000142</t>
  </si>
  <si>
    <t>https://ems.who.int/Event/eventSummary.aspx?eid=2022-E000142</t>
  </si>
  <si>
    <t>15 May draft received, shared with HQ TT; 16 May 2025 shared back draft with WPRO; 19 May 2025 received final draft from WPRO, and shared back draft for concurrence on IHR question; 21 May 2025 received concurrence from WPRO nad TT , conducted final clearance and shared draft for IHR NFP's awareness. 22 May 2025 Followed up with WPRO on the status of the EIS draft.</t>
  </si>
  <si>
    <t>15 May draft received, shared with HQ TT; 16 May 2025 shared back draft with WPRO; 21 May 2025 followed up with WPRO on status of EIS draft 21 Followed up with WPRO on status of the EIS; 22 May, WPRO responded saying they have not yet received IHR NFP feedback.27 May, received a significantly revised EIS text with additional cases reported and shared with TT for further review, deadline 28 May 3pm. 30 May 2025; It was agreed by the 3L to discontinue posting the EIS as based on the additional information provided by IHR NFP the epi context did not meet the criteria to send EIS alert to IHR NFPs, the cluster was linked to an mported case with TH to an affected country</t>
  </si>
  <si>
    <t>Discontinued</t>
  </si>
  <si>
    <t xml:space="preserve"> 19 May 2025 Draft was initiated: 20 May 2025, darft shared with mpox IMST; 26 Ma 2025, draft shared with ROs for review deadline 30 May 2025 4pm GVA time; 28 May 2025: Reminder sent to ROs to review and share back drafts as soon as review is complete. 1 Jun 2025: RRA draft with ROs inputs shared with IMST for finalization deadline 12:00 2 June 2025. Expected date of dissemination 3 June 2025 COB</t>
  </si>
  <si>
    <t>2025-E000208</t>
  </si>
  <si>
    <t>https://ems.who.int/Event/eventSummary.aspx?eid=2025-E000208</t>
  </si>
  <si>
    <t>30 May 2025: Received initial draft from WPRO in the afternoon. Shared with TT with deadline for 10am Monday morning June 2. 2 June 2025: EIS shared back with WPRO / 3 June 2025: WPRO confirmed receipt and said they will work on it with WCO. / 4 June 2025: received EIS back with NFP concurrence.  Sent for clearance to Boris, he is on leave today, we expect his feedback tomorrow as Olivier is busy with EC for mpox. / 5 June 2025: WPRO shared EIS w NFP comments for our records.</t>
  </si>
  <si>
    <t>3 June 2025: Received EIS for 2nd and 3rd case. Shared EIS w TT deadline COB today. Shared back reviewed EIS draft with SEARO. 6 jUNE 2025: Followed up with SEARO on EIS status, reminding them to share the final drfat as as possible in line with the IHR (2005) requirements.</t>
  </si>
  <si>
    <t>2025-E000214</t>
  </si>
  <si>
    <t>https://ems.who.int/Event/eventSummary.aspx?eid=2025-E000214</t>
  </si>
  <si>
    <t>9 June 2025: Received initial draft from WPRO and shared with TT for review deadline 3pm GVA tim e 10 June 2025. 10 June 205: Reviewed draft shared back with WPRO for further inputs. 13 June 2025: Followed up on the status of the EIS draft that is currently awaiting NFP oncurrence.</t>
  </si>
  <si>
    <t>2025-E000215</t>
  </si>
  <si>
    <t>https://ems.who.int/Event/eventSummary.aspx?eid=2025-E000215</t>
  </si>
  <si>
    <t>9 June 2025: Received initial draft from WPRO and shared with TT for review deadline 3pm GVA tim e 10 June 2025. 10 June 205: Reviewed draft shared back with WPRO for further inputs. 13 June 2025: Followed up on the status of the EIS draft that is currently awaiting NFP oncurrence. WPRO responded indicating they are still waiting for key information from IHR NFP and will share draft once received.</t>
  </si>
  <si>
    <t>2025-E000222</t>
  </si>
  <si>
    <t>https://ems.who.int/Event/eventSummary.aspx?eid=2025-E000222</t>
  </si>
  <si>
    <t>15 June 2025: WPRO shared IHR notification and indicated an EIS is in progress. / 17 June 2025: Received EIS draft and shared with TT with deadline of 3pm today. It was sent back to WPRO for NFP concurrence. / 18 June 2025: WPRO confirms receipt and inofrms us that it has been shared with NFP</t>
  </si>
  <si>
    <t>2025-E000230 </t>
  </si>
  <si>
    <t>https://ems.who.int/Event/eventSummary.aspx?eid=2025-E000230</t>
  </si>
  <si>
    <t>19 June 2025: received IHR notification (WCO sent to WPRO on 17 June) from WPRO on 19th and told they are drafting EIS.  / 23 June 2025: received feedback from TT as it was shared over the weekend with a deadline of 4pm. This EIS was proposed to be merged with the 7th case. Published on EIS combined with 7th case (2025-E000235)</t>
  </si>
  <si>
    <t>Published on EIS combined with 7th case (ID in EIS 2025-E000235)</t>
  </si>
  <si>
    <t>All Products done</t>
  </si>
  <si>
    <t>2025-E000235</t>
  </si>
  <si>
    <t>https://ems.who.int/Event/eventSummary.aspx?eid=2025-E000235</t>
  </si>
  <si>
    <t>23 June 2025: WPRO shared the initial draft, shared with TT for review, deadline 4pm 23 June 2025. / 23 June 2025: Reviewed and sent back to WPRO requesting to have it merged with the 6th case.</t>
  </si>
  <si>
    <t>Published on EIS combined with 6th case (ID in EIS 2025-E000235)</t>
  </si>
  <si>
    <t>2025-E000248</t>
  </si>
  <si>
    <t>https://ems.who.int/Event/eventSummary.aspx?eid=2025-E000248</t>
  </si>
  <si>
    <t>30 June 2025: WPRO shared the initial draft for the 8th, 9th and 10th cases in Cambodia, shared the draft with TT deadline 12pm 1 July 2025. 1 July 2025: EIS draft with HQ inputs shared back with WOPRO for additional inputs.</t>
  </si>
  <si>
    <t>2025-E000144</t>
  </si>
  <si>
    <t>https://ems.who.int/Event/eventSummary.aspx?eid=2025-E000144</t>
  </si>
  <si>
    <t>26 June 2025: SEARO has shared the first EIS draft. TT is out of office until July 2, informed SEARO of this and to expect delays as we will need TT inputs. Deadline for Thursday 3pm, reminder to be sent on Wednesday 2 July. / 2 July 2025: Sent a reminder email to TT on deadline for tomorrow. / 3 July 2025: EIS reviewed by TT, no inputs required given SEARO TT covered what was necessary and inputs also provided by PHI team. SEent to SEARO for NFP inputs. / 8 July 2025: Sent an email to SEARO checking on the status of the EIS. / 10 July 2025: received EIS w NFP concurrence, it is now under clearance for publication.Received request from SEARO to hold on publication while WCO provides additional information related to the event, to be expected after COB./ 14v July 2025: Did not receive the EIS over the weekend, was told from SEARO to go ahead and publish as it had been cleared. To be pulished.</t>
  </si>
  <si>
    <t>Lidia,Kaja</t>
  </si>
  <si>
    <t>AFRO shared draft on 1 July 2025, combined RRA draft</t>
  </si>
  <si>
    <t>This is a global RRA, that will take some time to finalise.</t>
  </si>
  <si>
    <t>9 July 2025: WPRO shared initial EIS draft, shared with TT deadline 12pm GVA time 10 July 2025. 16 July 2025: Received final draft from WPRO</t>
  </si>
  <si>
    <t>2025-E000259</t>
  </si>
  <si>
    <t>https://ems.who.int/Event/eventSummary.aspx?eid=2025-E000259</t>
  </si>
  <si>
    <t>9 July 2025: WPRO shared initial EIS draft, shared with TT deadline 4pm GVA time 10 July 2025. / 15 July 2025: an email was sent to WPRO checking on the status of the EIS.16 July 2025: Received final draft from WPRO</t>
  </si>
  <si>
    <t>https://ems.who.int/Event/eventSummary.aspx?eid=2025-E000179</t>
  </si>
  <si>
    <t>10 July 2025: SEARO shared initial EIS draft. It has been shared with TT with a deadline of Friday, 11 July 3 PM / 11 July 2025: EIS sent back to SEARO with inputs from HQ teams. / 14 July 2025: Received information on a second case from Palakkad district, Kerala State. SEARO has updated that current EIS. It has now been shared with TT for deadline of Tuesday 14 July at 3PM. Updated EIS has now been sent back to SEARO for NFP concurrence. 18 July 2025: Followed up with SEARO on the EIS status, asking if they can alos include the latest reported case from Palakkad (32yo male).</t>
  </si>
  <si>
    <t>2025-E000275</t>
  </si>
  <si>
    <t>https://ems.who.int/Event/eventSummary.aspx?eid=2025-E000275</t>
  </si>
  <si>
    <t>17 July 2025: It was agreed across the 3L to proceed with an EIS for this event. AFRO is initiating the drafting process. 21 July 2025; Followed up with AFRO on the status of the initial EIS draft, and when we should expect to receive it. 22 July 2025: Received initial EIS draft from AFRO and shared with TT deadline 23 July 2025 12pm GVA time.</t>
  </si>
  <si>
    <t>2025-E000278</t>
  </si>
  <si>
    <t>https://ems.who.int/Event/eventSummary.aspx?eid=2025-E000278</t>
  </si>
  <si>
    <t>27 July 2025: Received IHR notification regarding 14th H5N1 case in Cambodia. WCO will initiate drafting the periodic EIS including the case reported on 22 July 2025. 31 July 2025: Received the EIS draft with inputs from WCO nad RO, and shared with TT for review deadline 4 August 2025, 1pm GVA time. 8 August 2025, Followed up with WPRO on the EIS status and they replied stating that the draft is still with IHR NFP and if feedback is not received by COB today, we will proceed with posting the latest version and then update the posted EIS once feedback is received from MOH Cambodia. 8 August 2025: Received final EIS draft  / 15 August 2025: There was a request to update the EIS that had been published over the weekend.</t>
  </si>
  <si>
    <t>4 August 2025: HQ initiated EIS draft and shared with TT deadline 4pm 4 August 2025 8 August 2025: Received final EIS draft with IHR NFP concurrence</t>
  </si>
  <si>
    <t>Keti, Vaishali</t>
  </si>
  <si>
    <t>2024-E000539</t>
  </si>
  <si>
    <t>https://ems.who.int/Event/eventSummary.aspx?eid=2024-E000539</t>
  </si>
  <si>
    <t>4 August 2025: HQ saw declaration of outbreak captured in EMS. Followed up with HQ TT on need for EIS. 6: August: received first draft from HQ TT.</t>
  </si>
  <si>
    <t>Keti</t>
  </si>
  <si>
    <t>2025-E000276</t>
  </si>
  <si>
    <t>https://ems.who.int/Event/eventSummary.aspx?eid=2025-E000276</t>
  </si>
  <si>
    <t>5 August 2025: Reached out to WPRO to ask whether EIS is planned. 6 August: clarified with HQ TT what kind of information product is needed and informed WPRO that we are expecting first EIS on Chik China from their end. 8 August 2025: WPRO responded indicating they are in agreement with proceeding with an EIS and they are working with WCO on the initial draft. 11 August 2025: Followed up with WPRO on the status of the initial EIS draft and when we should expect to receive the draft. Initial draft shared by WPRO and with HQ TT for review deadline 12pm 12 August 2025, Regional EIS announcement was done instead</t>
  </si>
  <si>
    <t>2025-E000272</t>
  </si>
  <si>
    <t>https://ems.who.int/Event/eventSummary.aspx?eid=2025-E000272</t>
  </si>
  <si>
    <t>9 August 2025: Received initial draft from SEARO. the case was previously detected in May. SEARO colleagues had been attempting to obtain official verification of this case, through the IHR channels, but have not yet received a response from the national authorities. Given the public health significance of the event, they ask if we agreed on proceeding with an Event Information Site (EIS) posting. After checking it with Dunja, we agreed on proceeding./ 11 August 2025: shared EIS back to SEARO for NFP concurrence / 13 August 2025: sent an email asking about the EIS status. / 14 August 2025:  Received a message from SEARO overnight that they gave a deadline of Friday COB to NFP. Noting that we returned the EIS to SEARO on Monday, 11 August 2025. The IHR NFP was requested to respond within 48 hours, by close of business Friday, 15 August 2025; the EIS was forwarded by SEARO a couple of days after we sent it, which may impact the overall timeliness. Around 11AM today, we received the IHR notification from SEARO via NFP, and they said they will include in ongoing EIS. /18 August: Received fianl draft with IHR NFP concurrence.</t>
  </si>
  <si>
    <t>11 August 2025: IMST proposed a RRA ahead of the EC meeting scheduled 4 September 2025. 12 August 2025: Shared initial draft with the ROs for review deadline 28 August 2025, 4pm GVA time.</t>
  </si>
  <si>
    <t>21 August 2025: Received draft from WPRO, shared with TT deadline 22 August 2pm Geneva time EIS announcment is for WPRO</t>
  </si>
  <si>
    <t>DON is for global situation</t>
  </si>
  <si>
    <t>2025-E000322</t>
  </si>
  <si>
    <t>https://ems.who.int/Event/eventSummary.aspx?eid=2025-E000322</t>
  </si>
  <si>
    <t xml:space="preserve">25 August 2025: HQ proposed EIS to RO for this event. / 26 August 2025: SEARO replied over night that they have already initiated an EIS draft and will get back to us on Wednesday 27th. / 27 August 2025: EIS draft received from SEARO and shared with the TT for 3pm deadline tomorrow Thursday, 28 August /28 August 2025: EIS was sent back to SEARO for NFP concurrence. / 2 September 2025: A follow up email was sent to see the status of the EIS. / 3 September 2025: received EIS w NFP WCO and SEARO inputs for clearance. Received request to pls hold for new update from NFP. New update arrived noting no environmental testing done and changes were made to the cleared document. Publised EIS </t>
  </si>
  <si>
    <t>27 August 2025: WPRO shared EIS draft</t>
  </si>
  <si>
    <t>2025-E000340</t>
  </si>
  <si>
    <t>https://ems.who.int/Event/EventCurrentCoreDetail.aspx?eid=2025-E000340</t>
  </si>
  <si>
    <t>AFRO shared the first draft late evening on 3 September. HQ provided inputs and shared back to AFRO on 4 September.</t>
  </si>
  <si>
    <t xml:space="preserve">HQ initiated the draft on 4 Sep 2025 and shared with TT and AFRO/WCO for comments on 4 Sep 2025. </t>
  </si>
  <si>
    <t>2025-E000344</t>
  </si>
  <si>
    <t>https://ems.who.int/Event/eventSummary.aspx?eid=2025-E000344</t>
  </si>
  <si>
    <t>8 September 2025: Received initial EIS draft from WPRO, shared with TT for review, deadline 1pm GVA time 9 September 2025. 9 September 2025: Shared back reviewed EIS draft with WPRO.</t>
  </si>
  <si>
    <t>No RRA or EIS</t>
  </si>
  <si>
    <t>9 September 2025: HQ agreed to WPRO's proposal to initiate EIS draft. 11 September 2025: Received initial EIS drfat from WPRO and shared with TT for review deadline 12 September COB.</t>
  </si>
  <si>
    <t>2025-E000370</t>
  </si>
  <si>
    <t>https://ems.who.int/Event/eventSummary.aspx?eid=2025-E000370</t>
  </si>
  <si>
    <t>1 October 2025: SEARO proposed to have an EIS for this event on 30 September, HQ discussed w TT and it was agreed to move forward. SEARO confirms they will initiate the first draft. 4 October 2025: Received initial draft from SEARO and shared with TT for review deadline Monday 6 October 4pm./ 7 October 2025: EIS sent back to SEARO.</t>
  </si>
  <si>
    <t>RRA, EIS</t>
  </si>
  <si>
    <t>2025-E000375</t>
  </si>
  <si>
    <t>Event Summary</t>
  </si>
  <si>
    <t>2 October: AFRO requested support to draft RRA, proposed in French. Decision taken to draft joint risk assessment with WOAH and FAO. First draft shared on 6 Oct, closed for review on 8 October. RRA was published on 9 October.</t>
  </si>
  <si>
    <t>6 October 2025: We proposed EIS to AFRO, offered help to draft it. On 10 October AFRO shared the draft EIS. We shared it with TT on the same day. 13: October shared back with AFRO.</t>
  </si>
  <si>
    <t>Open EIS</t>
    <phoneticPr fontId="10" type="noConversion"/>
  </si>
  <si>
    <t>Donghyok</t>
    <phoneticPr fontId="10" type="noConversion"/>
  </si>
  <si>
    <t>2025-E000349</t>
    <phoneticPr fontId="10" type="noConversion"/>
  </si>
  <si>
    <t>https://ems.who.int/Event/eventSummary.aspx?eid=2025-E000349</t>
  </si>
  <si>
    <t>2025-E000371</t>
  </si>
  <si>
    <t>https://ems.who.int/Event/eventSummary.aspx?eid=2025-E000371</t>
  </si>
  <si>
    <t>4 October 2025: PAHO shared intial EIS draft, shared with TT deadline 4pm 6 October 2025. 6 October 2025: Shared reviewd EIS draft with PAHO.</t>
  </si>
  <si>
    <t>Open EIS</t>
  </si>
  <si>
    <t>2 October 2025: WPRO initiated an update of the EIS; 9 October WPRO shared draft of the updated EIS with HQ</t>
  </si>
  <si>
    <t>Lidia,Kaja, Bruno</t>
  </si>
  <si>
    <t>2025-E000122</t>
  </si>
  <si>
    <t>https://ems.who.int/Event/eventSummary.aspx?eid=2025-E000122</t>
  </si>
  <si>
    <t xml:space="preserve">8 October AFRO shared a report of the ongoing Diphtheria situation in 9 countries  in the Regions, seeking the 3L agreement for initiationg a Regional RRA. On 9 October 2025 , PHI replied, concurring on initiating the RR process. </t>
  </si>
  <si>
    <t>025-E000386</t>
  </si>
  <si>
    <t>https://ems.who.int/Event/eventSummary.aspx?eid=2025-E000386</t>
  </si>
  <si>
    <t>15 October 2025: WPRO shared official notifiaction of a new case of human infection with A(H5N1) in Cambodia and indicated an EIS was in progress.</t>
  </si>
  <si>
    <t>AFGHANISTAN</t>
  </si>
  <si>
    <t>AFG</t>
  </si>
  <si>
    <t>ALBANIA</t>
  </si>
  <si>
    <t>ALB</t>
  </si>
  <si>
    <t>ALGERIA</t>
  </si>
  <si>
    <t>DZA</t>
  </si>
  <si>
    <t>AMERICAN SAMOA</t>
  </si>
  <si>
    <t>ASM</t>
  </si>
  <si>
    <t>ANDORRA</t>
  </si>
  <si>
    <t>AND</t>
  </si>
  <si>
    <t>ANGOLA</t>
  </si>
  <si>
    <t>AGO</t>
  </si>
  <si>
    <t>ANGUILLA</t>
  </si>
  <si>
    <t>AIA</t>
  </si>
  <si>
    <t>ANTIGUA AND BARBUDA</t>
  </si>
  <si>
    <t>ATG</t>
  </si>
  <si>
    <t>ARGENTINA</t>
  </si>
  <si>
    <t>ARG</t>
  </si>
  <si>
    <t>ARMENIA</t>
  </si>
  <si>
    <t>ARM</t>
  </si>
  <si>
    <t>ARUBA</t>
  </si>
  <si>
    <t>ABW</t>
  </si>
  <si>
    <t>AUSTRALIA</t>
  </si>
  <si>
    <t>AUS</t>
  </si>
  <si>
    <t>AUSTRIA</t>
  </si>
  <si>
    <t>AUT</t>
  </si>
  <si>
    <t>AZERBAIJAN</t>
  </si>
  <si>
    <t>AZE</t>
  </si>
  <si>
    <t>BAHAMAS</t>
  </si>
  <si>
    <t>BHS</t>
  </si>
  <si>
    <t>BAHRAIN</t>
  </si>
  <si>
    <t>BHR</t>
  </si>
  <si>
    <t>BANGLADESH</t>
  </si>
  <si>
    <t>BGD</t>
  </si>
  <si>
    <t>BARBADOS</t>
  </si>
  <si>
    <t>BRB</t>
  </si>
  <si>
    <t>BELARUS</t>
  </si>
  <si>
    <t>BLR</t>
  </si>
  <si>
    <t>BELGIUM</t>
  </si>
  <si>
    <t>BEL</t>
  </si>
  <si>
    <t>BELIZE</t>
  </si>
  <si>
    <t>BLZ</t>
  </si>
  <si>
    <t>BENIN</t>
  </si>
  <si>
    <t>BEN</t>
  </si>
  <si>
    <t>BERMUDA</t>
  </si>
  <si>
    <t>BMU</t>
  </si>
  <si>
    <t>BHUTAN</t>
  </si>
  <si>
    <t>BTN</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</si>
  <si>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</si>
  <si>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</si>
  <si>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</si>
  <si>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</si>
  <si>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</si>
  <si>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</si>
  <si>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</si>
  <si>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</si>
  <si>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</si>
  <si>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</si>
  <si>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</si>
  <si>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</si>
  <si>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</si>
  <si>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</si>
  <si>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</si>
  <si>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</si>
  <si>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</si>
  <si>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CAMBODIA</t>
  </si>
  <si>
    <t>KHM</t>
  </si>
  <si>
    <t>CAMEROON</t>
  </si>
  <si>
    <t>CMR</t>
  </si>
  <si>
    <t>CANADA</t>
  </si>
  <si>
    <t>CAN</t>
  </si>
  <si>
    <t>CAPE VERDE</t>
  </si>
  <si>
    <t>CPV</t>
  </si>
  <si>
    <t>CAYMAN ISLANDS</t>
  </si>
  <si>
    <t>CYM</t>
  </si>
  <si>
    <t>CENTRAL AFRICAN REPUBLIC</t>
  </si>
  <si>
    <t>CAF</t>
  </si>
  <si>
    <t>CHAD</t>
  </si>
  <si>
    <t>TCD</t>
  </si>
  <si>
    <t>CHILE</t>
  </si>
  <si>
    <t>CHL</t>
  </si>
  <si>
    <t>CHINA</t>
  </si>
  <si>
    <t>CHN</t>
  </si>
  <si>
    <t>CHRISTMAS ISLAND</t>
  </si>
  <si>
    <t>CXR</t>
  </si>
  <si>
    <t>COCOS ISLANDS</t>
  </si>
  <si>
    <t>CCK</t>
  </si>
  <si>
    <t>COLOMBIA</t>
  </si>
  <si>
    <t>COL</t>
  </si>
  <si>
    <t>COMOROS</t>
  </si>
  <si>
    <t>COM</t>
  </si>
  <si>
    <t>CONGO</t>
  </si>
  <si>
    <t>COG</t>
  </si>
  <si>
    <t>COOK ISLANDS</t>
  </si>
  <si>
    <t>COK</t>
  </si>
  <si>
    <t>COSTA RICA</t>
  </si>
  <si>
    <t>CRI</t>
  </si>
  <si>
    <t>COTE D'IVOIRE</t>
  </si>
  <si>
    <t>CIV</t>
  </si>
  <si>
    <t>CROATIA</t>
  </si>
  <si>
    <t>HRV</t>
  </si>
  <si>
    <t>CUBA</t>
  </si>
  <si>
    <t>CUB</t>
  </si>
  <si>
    <t>CYPRUS</t>
  </si>
  <si>
    <t>CYP</t>
  </si>
  <si>
    <t>CZECH REPUBLIC</t>
  </si>
  <si>
    <t>CZE</t>
  </si>
  <si>
    <t>DEMOCRATIC REPUBLIC OF THE CONGO</t>
  </si>
  <si>
    <t>COD</t>
  </si>
  <si>
    <t>DENMARK</t>
  </si>
  <si>
    <t>DNK</t>
  </si>
  <si>
    <t>DJIBOUTI</t>
  </si>
  <si>
    <t>DJI</t>
  </si>
  <si>
    <t>DOMINICA</t>
  </si>
  <si>
    <t>DMA</t>
  </si>
  <si>
    <t>DOMINICAN REPUBLIC</t>
  </si>
  <si>
    <t>DOM</t>
  </si>
  <si>
    <t>ECUADOR</t>
  </si>
  <si>
    <t>ECU</t>
  </si>
  <si>
    <t>EGYPT</t>
  </si>
  <si>
    <t>EGY</t>
  </si>
  <si>
    <t>EL SALVADOR</t>
  </si>
  <si>
    <t>SLV</t>
  </si>
  <si>
    <t>EQUATORIAL GUINEA</t>
  </si>
  <si>
    <t>GNQ</t>
  </si>
  <si>
    <t>ERITREA</t>
  </si>
  <si>
    <t>ERI</t>
  </si>
  <si>
    <t>ESTONIA</t>
  </si>
  <si>
    <t>EST</t>
  </si>
  <si>
    <t>ETHIOPIA</t>
  </si>
  <si>
    <t>ETH</t>
  </si>
  <si>
    <t>FALKLAND ISLANDS</t>
  </si>
  <si>
    <t>FLK</t>
  </si>
  <si>
    <t>FAROE ISLANDS</t>
  </si>
  <si>
    <t>FRO</t>
  </si>
  <si>
    <t>FIJI</t>
  </si>
  <si>
    <t>FJI</t>
  </si>
  <si>
    <t>FINLAND</t>
  </si>
  <si>
    <t>FIN</t>
  </si>
  <si>
    <t>FRANCE</t>
  </si>
  <si>
    <t>FRA</t>
  </si>
  <si>
    <t>FRENCH GUIANA</t>
  </si>
  <si>
    <t>GUF</t>
  </si>
  <si>
    <t>FRENCH POLYNESIA</t>
  </si>
  <si>
    <t>PYF</t>
  </si>
  <si>
    <t>GABON</t>
  </si>
  <si>
    <t>GAB</t>
  </si>
  <si>
    <t>GAMBIA</t>
  </si>
  <si>
    <t>GMB</t>
  </si>
  <si>
    <t>GEORGIA</t>
  </si>
  <si>
    <t>GEO</t>
  </si>
  <si>
    <t>GERMANY</t>
  </si>
  <si>
    <t>DEU</t>
  </si>
  <si>
    <t>GHANA</t>
  </si>
  <si>
    <t>GHA</t>
  </si>
  <si>
    <t>GIBRALTAR</t>
  </si>
  <si>
    <t>GIB</t>
  </si>
  <si>
    <t>GREECE</t>
  </si>
  <si>
    <t>GRC</t>
  </si>
  <si>
    <t>GREENLAND</t>
  </si>
  <si>
    <t>GRL</t>
  </si>
  <si>
    <t>GRENADA</t>
  </si>
  <si>
    <t>GRD</t>
  </si>
  <si>
    <t>GUADELOUPE</t>
  </si>
  <si>
    <t>GLP</t>
  </si>
  <si>
    <t>GUAM</t>
  </si>
  <si>
    <t>GUM</t>
  </si>
  <si>
    <t>GUATEMALA</t>
  </si>
  <si>
    <t>GTM</t>
  </si>
  <si>
    <t>GUERNSEY</t>
  </si>
  <si>
    <t>GGY</t>
  </si>
  <si>
    <t>GUINEA</t>
  </si>
  <si>
    <t>GIN</t>
  </si>
  <si>
    <t>GUINEA-BISSAU</t>
  </si>
  <si>
    <t>GNB</t>
  </si>
  <si>
    <t>GUYANA</t>
  </si>
  <si>
    <t>GUY</t>
  </si>
  <si>
    <t>HAITI</t>
  </si>
  <si>
    <t>HTI</t>
  </si>
  <si>
    <t>HOLY SEE</t>
  </si>
  <si>
    <t>VAT</t>
  </si>
  <si>
    <t>HONDURAS</t>
  </si>
  <si>
    <t>HND</t>
  </si>
  <si>
    <t>HUNGARY</t>
  </si>
  <si>
    <t>HUN</t>
  </si>
  <si>
    <t>ICELAND</t>
  </si>
  <si>
    <t>ISL</t>
  </si>
  <si>
    <t>INDIA</t>
  </si>
  <si>
    <t>IND</t>
  </si>
  <si>
    <t>INDONESIA</t>
  </si>
  <si>
    <t>IDN</t>
  </si>
  <si>
    <t>IRAN</t>
  </si>
  <si>
    <t>IRN</t>
  </si>
  <si>
    <t>IRAQ</t>
  </si>
  <si>
    <t>IRQ</t>
  </si>
  <si>
    <t>IRELAND</t>
  </si>
  <si>
    <t>IRL</t>
  </si>
  <si>
    <t>ISLE OF MAN</t>
  </si>
  <si>
    <t>IMN</t>
  </si>
  <si>
    <t>ISRAEL</t>
  </si>
  <si>
    <t>ISR</t>
  </si>
  <si>
    <t>ITALY</t>
  </si>
  <si>
    <t>ITA</t>
  </si>
  <si>
    <t>JAMAICA</t>
  </si>
  <si>
    <t>JAM</t>
  </si>
  <si>
    <t>JAPAN</t>
  </si>
  <si>
    <t>JPN</t>
  </si>
  <si>
    <t>JERSEY</t>
  </si>
  <si>
    <t>JEY</t>
  </si>
  <si>
    <t>JOHNSTON ATOLL</t>
  </si>
  <si>
    <t>JTN</t>
  </si>
  <si>
    <t>JORDAN</t>
  </si>
  <si>
    <t>JOR</t>
  </si>
  <si>
    <t>KAZAKHSTAN</t>
  </si>
  <si>
    <t>KAZ</t>
  </si>
  <si>
    <t>KENYA</t>
  </si>
  <si>
    <t>KEN</t>
  </si>
  <si>
    <t>KIRIBATI</t>
  </si>
  <si>
    <t>KIR</t>
  </si>
  <si>
    <t>KUWAIT</t>
  </si>
  <si>
    <t>KWT</t>
  </si>
  <si>
    <t>KYRGYZSTAN</t>
  </si>
  <si>
    <t>KGZ</t>
  </si>
  <si>
    <t>LAOS</t>
  </si>
  <si>
    <t>LAO</t>
  </si>
  <si>
    <t>LATVIA</t>
  </si>
  <si>
    <t>LVA</t>
  </si>
  <si>
    <t>LEBANON</t>
  </si>
  <si>
    <t>LBN</t>
  </si>
  <si>
    <t>LESOTHO</t>
  </si>
  <si>
    <t>LSO</t>
  </si>
  <si>
    <t>LIBERIA</t>
  </si>
  <si>
    <t>LBR</t>
  </si>
  <si>
    <t>LIBYA</t>
  </si>
  <si>
    <t>LBY</t>
  </si>
  <si>
    <t>LIECHTENSTEIN</t>
  </si>
  <si>
    <t>LIE</t>
  </si>
  <si>
    <t>LITHUANIA</t>
  </si>
  <si>
    <t>LTU</t>
  </si>
  <si>
    <t>LUXEMBOURG</t>
  </si>
  <si>
    <t>LUX</t>
  </si>
  <si>
    <t>North MACEDONIA</t>
  </si>
  <si>
    <t>MKD</t>
  </si>
  <si>
    <t>MADAGASCAR</t>
  </si>
  <si>
    <t>MDG</t>
  </si>
  <si>
    <t>MALAWI</t>
  </si>
  <si>
    <t>MWI</t>
  </si>
  <si>
    <t>MALAYSIA</t>
  </si>
  <si>
    <t>MYS</t>
  </si>
  <si>
    <t>MALDIVES</t>
  </si>
  <si>
    <t>MDV</t>
  </si>
  <si>
    <t>MALI</t>
  </si>
  <si>
    <t>MLI</t>
  </si>
  <si>
    <t>MALTA</t>
  </si>
  <si>
    <t>MLT</t>
  </si>
  <si>
    <t>MARSHALL ISLANDS</t>
  </si>
  <si>
    <t>MHL</t>
  </si>
  <si>
    <t>MARTINIQUE</t>
  </si>
  <si>
    <t>MTQ</t>
  </si>
  <si>
    <t>MAURITANIA</t>
  </si>
  <si>
    <t>MRT</t>
  </si>
  <si>
    <t>MAURITIUS</t>
  </si>
  <si>
    <t>MUS</t>
  </si>
  <si>
    <t>MAYOTTE</t>
  </si>
  <si>
    <t>MYT</t>
  </si>
  <si>
    <t>MEXICO</t>
  </si>
  <si>
    <t>MEX</t>
  </si>
  <si>
    <t>MICRONESIA</t>
  </si>
  <si>
    <t>FSM</t>
  </si>
  <si>
    <t>MIDWAY ISLANDS</t>
  </si>
  <si>
    <t>MID</t>
  </si>
  <si>
    <t>MOLDOVA</t>
  </si>
  <si>
    <t>MDA</t>
  </si>
  <si>
    <t>MONACO</t>
  </si>
  <si>
    <t>MCO</t>
  </si>
  <si>
    <t>MONGOLIA</t>
  </si>
  <si>
    <t>MNG</t>
  </si>
  <si>
    <t>MONTENEGRO</t>
  </si>
  <si>
    <t>MNE</t>
  </si>
  <si>
    <t>MONTSERRAT</t>
  </si>
  <si>
    <t>MSR</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</si>
  <si>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</si>
  <si>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</si>
  <si>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</si>
  <si>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</si>
  <si>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</si>
  <si>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</si>
  <si>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</si>
  <si>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</si>
  <si>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</si>
  <si>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</si>
  <si>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</si>
  <si>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</si>
  <si>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</si>
  <si>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</si>
  <si>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</si>
  <si>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</si>
  <si>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</si>
  <si>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</si>
  <si>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</si>
  <si>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</si>
  <si>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</si>
  <si>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</si>
  <si>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</si>
  <si>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</si>
  <si>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NIUE</t>
  </si>
  <si>
    <t>NIU</t>
  </si>
  <si>
    <t>NORFOLK ISLAND</t>
  </si>
  <si>
    <t>NFK</t>
  </si>
  <si>
    <t>NORTH KOREA</t>
  </si>
  <si>
    <t>PRK</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</si>
  <si>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</si>
  <si>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</si>
  <si>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</si>
  <si>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</si>
  <si>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</si>
  <si>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</si>
  <si>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</si>
  <si>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</si>
  <si>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</si>
  <si>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</si>
  <si>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</si>
  <si>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</si>
  <si>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</si>
  <si>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</si>
  <si>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</si>
  <si>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</si>
  <si>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</si>
  <si>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</si>
  <si>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</si>
  <si>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</si>
  <si>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PITCAIRN ISLANDS</t>
  </si>
  <si>
    <t>PCN</t>
  </si>
  <si>
    <t>POLAND</t>
  </si>
  <si>
    <t>POL</t>
  </si>
  <si>
    <t>PORTUGAL</t>
  </si>
  <si>
    <t>PRT</t>
  </si>
  <si>
    <t>PUERTO RICO</t>
  </si>
  <si>
    <t>PRI</t>
  </si>
  <si>
    <t>QATAR</t>
  </si>
  <si>
    <t>QAT</t>
  </si>
  <si>
    <t>REPUBLIC OF KOREA</t>
  </si>
  <si>
    <t>KOR</t>
  </si>
  <si>
    <t>REUNION</t>
  </si>
  <si>
    <t>REU</t>
  </si>
  <si>
    <t>ROMANIA</t>
  </si>
  <si>
    <t>ROU</t>
  </si>
  <si>
    <t>RUSSIA</t>
  </si>
  <si>
    <t>RUS</t>
  </si>
  <si>
    <t>RWANDA</t>
  </si>
  <si>
    <t>RWA</t>
  </si>
  <si>
    <t>SAINT HELENA</t>
  </si>
  <si>
    <t>SHN</t>
  </si>
  <si>
    <t>SAINT KITTS AND NEVIS</t>
  </si>
  <si>
    <t>KNA</t>
  </si>
  <si>
    <t>SAINT LUCIA</t>
  </si>
  <si>
    <t>LCA</t>
  </si>
  <si>
    <t>SAINT PIERRE AND MIQUELON</t>
  </si>
  <si>
    <t>SPM</t>
  </si>
  <si>
    <t>SAINT VINCENT AND THE GRENADINES</t>
  </si>
  <si>
    <t>VCT</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</si>
  <si>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</si>
  <si>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</si>
  <si>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</si>
  <si>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</si>
  <si>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</si>
  <si>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</si>
  <si>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</si>
  <si>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</si>
  <si>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</si>
  <si>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</si>
  <si>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</si>
  <si>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</si>
  <si>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</si>
  <si>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</si>
  <si>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</si>
  <si>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</si>
  <si>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</si>
  <si>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</si>
  <si>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SLOVAKIA</t>
  </si>
  <si>
    <t>SVK</t>
  </si>
  <si>
    <t>SLOVENIA</t>
  </si>
  <si>
    <t>SVN</t>
  </si>
  <si>
    <t>SOLOMON ISLANDS</t>
  </si>
  <si>
    <t>SLB</t>
  </si>
  <si>
    <t>SOMALIA</t>
  </si>
  <si>
    <t>SOM</t>
  </si>
  <si>
    <t>SOUTH AFRICA</t>
  </si>
  <si>
    <t>ZAF</t>
  </si>
  <si>
    <t>SOUTH SUDAN</t>
  </si>
  <si>
    <t>SSD</t>
  </si>
  <si>
    <t>SPAIN</t>
  </si>
  <si>
    <t>ESP</t>
  </si>
  <si>
    <t>SRI LANKA</t>
  </si>
  <si>
    <t>LKA</t>
  </si>
  <si>
    <t>SUDAN</t>
  </si>
  <si>
    <t>SDN</t>
  </si>
  <si>
    <t>SURINAME</t>
  </si>
  <si>
    <t>SUR</t>
  </si>
  <si>
    <t>SVALBARD AND JAN MAYEN ISLANDS</t>
  </si>
  <si>
    <t>SJM</t>
  </si>
  <si>
    <t>SWAZILAND</t>
  </si>
  <si>
    <t>SWZ</t>
  </si>
  <si>
    <t>SWEDEN</t>
  </si>
  <si>
    <t>SWE</t>
  </si>
  <si>
    <t>SWITZERLAND</t>
  </si>
  <si>
    <t>CHE</t>
  </si>
  <si>
    <t>SYR</t>
  </si>
  <si>
    <t>TAJIKISTAN</t>
  </si>
  <si>
    <t>TJK</t>
  </si>
  <si>
    <t>TZA</t>
  </si>
  <si>
    <t>THAILAND</t>
  </si>
  <si>
    <t>THA</t>
  </si>
  <si>
    <t>TIMOR-LESTE</t>
  </si>
  <si>
    <t>TLS</t>
  </si>
  <si>
    <t>TOGO</t>
  </si>
  <si>
    <t>TGO</t>
  </si>
  <si>
    <t>TOKELAU</t>
  </si>
  <si>
    <t>TKL</t>
  </si>
  <si>
    <t>TONGA</t>
  </si>
  <si>
    <t>TON</t>
  </si>
  <si>
    <t>TRINIDAD AND TOBAGO</t>
  </si>
  <si>
    <t>TTO</t>
  </si>
  <si>
    <t>TUNISIA</t>
  </si>
  <si>
    <t>TUN</t>
  </si>
  <si>
    <t>TURKEY</t>
  </si>
  <si>
    <t>TUR</t>
  </si>
  <si>
    <t>TURKMENISTAN</t>
  </si>
  <si>
    <t>TKM</t>
  </si>
  <si>
    <t>TURKS AND CAICOS ISLANDS</t>
  </si>
  <si>
    <t>TCA</t>
  </si>
  <si>
    <t>TUVALU</t>
  </si>
  <si>
    <t>TUV</t>
  </si>
  <si>
    <t>UGANDA</t>
  </si>
  <si>
    <t>UGA</t>
  </si>
  <si>
    <t>UKRAINE</t>
  </si>
  <si>
    <t>UKR</t>
  </si>
  <si>
    <t>UNITED ARAB EMIRATES</t>
  </si>
  <si>
    <t>ARE</t>
  </si>
  <si>
    <t>GBR</t>
  </si>
  <si>
    <t>UNITED STATES VIRGIN ISLANDS</t>
  </si>
  <si>
    <t>VIR</t>
  </si>
  <si>
    <t>URUGUAY</t>
  </si>
  <si>
    <t>URY</t>
  </si>
  <si>
    <t>UNITED STATES OF AMERICA</t>
  </si>
  <si>
    <t>USA</t>
  </si>
  <si>
    <t>UZBEKISTAN</t>
  </si>
  <si>
    <t>UZB</t>
  </si>
  <si>
    <t>VANUATU</t>
  </si>
  <si>
    <t>VUT</t>
  </si>
  <si>
    <t>VEN</t>
  </si>
  <si>
    <t>VIET NAM</t>
  </si>
  <si>
    <t>VNM</t>
  </si>
  <si>
    <t>WAKE ISLAND</t>
  </si>
  <si>
    <t>WAK</t>
  </si>
  <si>
    <t>WALLIS AND FUTUNA</t>
  </si>
  <si>
    <t>WLF</t>
  </si>
  <si>
    <t>WEST BANK AND GAZA STRIP</t>
  </si>
  <si>
    <t>PSE</t>
  </si>
  <si>
    <t>WESTERN SAHARA</t>
  </si>
  <si>
    <t>ESH</t>
  </si>
  <si>
    <t>YEMEN</t>
  </si>
  <si>
    <t>YEM</t>
  </si>
  <si>
    <t>ZAMBIA</t>
  </si>
  <si>
    <t>ZMB</t>
  </si>
  <si>
    <t>ZIMBABWE</t>
  </si>
  <si>
    <t>ZWE</t>
  </si>
  <si>
    <t>MULTIPLE</t>
  </si>
  <si>
    <t>MLX</t>
  </si>
  <si>
    <t>TWN</t>
  </si>
  <si>
    <t xml:space="preserve">Column </t>
  </si>
  <si>
    <t>Variable name</t>
  </si>
  <si>
    <t>Variable description</t>
  </si>
  <si>
    <t>A</t>
  </si>
  <si>
    <t>status</t>
  </si>
  <si>
    <t>Status of the products - open or closed</t>
  </si>
  <si>
    <t>B</t>
  </si>
  <si>
    <t>Indicates the status of products; "Open" or "Closed". If it says "Unknown" then a variable "Need_RRA", "Need_EIS" or "Need_DON" are empty and should be entered as "Yes" or "No".</t>
  </si>
  <si>
    <t>C</t>
  </si>
  <si>
    <t>Name of focal points responsible for the products or following the event</t>
  </si>
  <si>
    <t>D</t>
  </si>
  <si>
    <t>Name of the disease or condition. Drop down list of options.</t>
  </si>
  <si>
    <t>E</t>
  </si>
  <si>
    <t>Name of the affected country. If multiple countries involved, select "Multiple". Drop down list of options.</t>
  </si>
  <si>
    <t>F</t>
  </si>
  <si>
    <t>The region or countries if multiple countries are affected. If only a single country is affected then select "Not applicable". Drop down list of options.</t>
  </si>
  <si>
    <t>G</t>
  </si>
  <si>
    <t>Date of when the entry was first entered into the Signal application</t>
  </si>
  <si>
    <t>H</t>
  </si>
  <si>
    <t>If this is an update to na EIS or new version of an RRA, enter the date when new information was entered in the Signal application as na "Update", which prompted the EIS update or new version of the RRA.</t>
  </si>
  <si>
    <t>I</t>
  </si>
  <si>
    <t>Date of when the event was entered into EMS or when EMS was updated for a new version of the RRA or update EIS</t>
  </si>
  <si>
    <t>J</t>
  </si>
  <si>
    <t>The EMS event ID</t>
  </si>
  <si>
    <t>K</t>
  </si>
  <si>
    <t>Comments related to EMS entry</t>
  </si>
  <si>
    <t>L</t>
  </si>
  <si>
    <t>Is there a pending question, yes or no? Binary variable?</t>
  </si>
  <si>
    <t>M</t>
  </si>
  <si>
    <t>Describe the pending question(s) and answers/response</t>
  </si>
  <si>
    <t>N</t>
  </si>
  <si>
    <t>Enter the date at which the pending question(s) were resolved. Also, if there are no product associated with the entry then please also change the "status" to "closed".</t>
  </si>
  <si>
    <t>O</t>
  </si>
  <si>
    <t>Is a RRA needed? Options include "Yes", "No", "Pending".</t>
  </si>
  <si>
    <t>P</t>
  </si>
  <si>
    <t xml:space="preserve">Version of the RRA. Use sequental numbering for each version; 1,2,3,... Enter "Not applicable" if no RRA is done. </t>
  </si>
  <si>
    <t>Q</t>
  </si>
  <si>
    <t>Description of the status of the RRA. Free text.</t>
  </si>
  <si>
    <t>R</t>
  </si>
  <si>
    <t>Date of when the decision was taken to do or not do a RRA</t>
  </si>
  <si>
    <t>S</t>
  </si>
  <si>
    <t>Date of when WHO HQ/PHI started working on the RRA</t>
  </si>
  <si>
    <t>T</t>
  </si>
  <si>
    <t>Date of when the RRA was published. If no RRA is done write "Not applicable".</t>
  </si>
  <si>
    <t>U</t>
  </si>
  <si>
    <t>"RRA National risk level"</t>
  </si>
  <si>
    <t xml:space="preserve">National risk level attributed to the event in the RRA. Options include "Very High", "High", "Moderate", "Low", "Not applicable". Select "Not applicable" when there is no RRA done for this event. </t>
  </si>
  <si>
    <t>V</t>
  </si>
  <si>
    <t>"RRA Regional risk level"</t>
  </si>
  <si>
    <t xml:space="preserve">Regional risk level attributed to the event in the RRA. Options include "Very High", "High", "Moderate", "Low", "Not applicable". Select "Not applicable" when there is no RRA done for this event. </t>
  </si>
  <si>
    <t>W</t>
  </si>
  <si>
    <t>"RRA Global risk level"</t>
  </si>
  <si>
    <t xml:space="preserve">Global risk level attributed to the event in the RRA. Options include "Very High", "High", "Moderate", "Low", "Not applicable". Select "Not applicable" when there is no RRA done for this event. </t>
  </si>
  <si>
    <t>X</t>
  </si>
  <si>
    <t>Is a EIS needed? Options include "Yes", "No", "Pending".</t>
  </si>
  <si>
    <t>Y</t>
  </si>
  <si>
    <t xml:space="preserve">Type of EIS. Options include "New EIS", "Update existing EIS", "EIS anouncement" or "Not applicable". Select "Not applicable" if there an EIS will not be done. </t>
  </si>
  <si>
    <t>Z</t>
  </si>
  <si>
    <t>Indication of who first drafted the EIS. Iptions include "WHO HQ", "WHO RO" or "Not applicable"</t>
  </si>
  <si>
    <t>AA</t>
  </si>
  <si>
    <t>Description of the status of the EIS</t>
  </si>
  <si>
    <t>AB</t>
  </si>
  <si>
    <t>Date of when the decision was taken to do or not do an EIS</t>
  </si>
  <si>
    <t>AC</t>
  </si>
  <si>
    <t xml:space="preserve">Date of when WHO HQ/PHI started working on the EIS, if first draft produced by WHO HQ/PHI, OR Date when WHO/HQ/PHI first received the draft from the WHO Regional Office. </t>
  </si>
  <si>
    <t>AD</t>
  </si>
  <si>
    <t>EIS sent to Regional office</t>
  </si>
  <si>
    <t>Date of when the EIS was sent to the Regional Office for feedback. Enter "Not applicable " if no EIS was done.</t>
  </si>
  <si>
    <t>AE</t>
  </si>
  <si>
    <t>Date of when the EIS was sent to the NFP for feedback. Enter "Not applicable " if no EIS was done.</t>
  </si>
  <si>
    <t>AF</t>
  </si>
  <si>
    <t>Date of when the final feedback from the NFP on the EIS was received by WHO.Enter "Not applicable " if no EIS was done.</t>
  </si>
  <si>
    <t>AG</t>
  </si>
  <si>
    <t>Date of when the EIS was published. Enter "Not applicable " if no EIS was done.</t>
  </si>
  <si>
    <t>AH</t>
  </si>
  <si>
    <t>Is a DON needed? Options include "Yes", "No", "Pending".</t>
  </si>
  <si>
    <t>AI</t>
  </si>
  <si>
    <t>AJ</t>
  </si>
  <si>
    <t xml:space="preserve">Date of when the DON was published. Enter "Not applicable" if no DON was done. </t>
  </si>
  <si>
    <t>AK</t>
  </si>
  <si>
    <t>Free text entry for comments related to the event that are not related to an exisiting variable.</t>
  </si>
  <si>
    <t>AL</t>
  </si>
  <si>
    <t>GPW 13 - Desc_start</t>
  </si>
  <si>
    <t>Description of the start of an event for GPW13.</t>
  </si>
  <si>
    <t>AM</t>
  </si>
  <si>
    <t>GPW13 - Date_start</t>
  </si>
  <si>
    <t>Date of when the event started for GPW13.</t>
  </si>
  <si>
    <t>AN</t>
  </si>
  <si>
    <t>GPW 13 - Desc_detect</t>
  </si>
  <si>
    <t>Description of what constitutes detection of the event for GPW13.</t>
  </si>
  <si>
    <t>AO</t>
  </si>
  <si>
    <t>GPW13 - Date_detect</t>
  </si>
  <si>
    <t xml:space="preserve">Date of when the event was detected for GPW13. </t>
  </si>
  <si>
    <t>AP</t>
  </si>
  <si>
    <t>GPW 13 - Desc_notify</t>
  </si>
  <si>
    <t>Description of what constitutes notification of the event for GPW13.</t>
  </si>
  <si>
    <t>AQ</t>
  </si>
  <si>
    <t>GPW13 - Date_notify</t>
  </si>
  <si>
    <t xml:space="preserve">Date of when the event was notified for GPW13. </t>
  </si>
  <si>
    <t>AR</t>
  </si>
  <si>
    <t>GPW 13 - Desc_response</t>
  </si>
  <si>
    <t>Description of what constitutes response to the event for GPW13.</t>
  </si>
  <si>
    <t>AS</t>
  </si>
  <si>
    <t>GPW13 - Date_response</t>
  </si>
  <si>
    <t xml:space="preserve">Date of when response activities for the event were first initiated for GPW13. </t>
  </si>
  <si>
    <t>AT</t>
  </si>
  <si>
    <t xml:space="preserve">Indicator variable used to compute Column B "Product" - no need to enter, uses formulas autmatically. </t>
  </si>
  <si>
    <t>AU</t>
  </si>
  <si>
    <t>AV</t>
  </si>
  <si>
    <t>AW</t>
  </si>
  <si>
    <t>AX</t>
  </si>
  <si>
    <t>Variable that is not use. Leave empty. Necessary for Shiny application at this stage.</t>
  </si>
  <si>
    <t>Dunja comment:</t>
  </si>
  <si>
    <t>it should be noted that some EISs were received over the weekend and feedback is requested on Monday</t>
  </si>
  <si>
    <t>Disease/hazard</t>
  </si>
  <si>
    <t>PHI priority level (1 - high, 2-moderate, 3- low)</t>
  </si>
  <si>
    <t>Monitoring workload level (1-heavy, 2-moderate, 3-low)</t>
  </si>
  <si>
    <t>*GLEWS+</t>
  </si>
  <si>
    <t>**PHI FP Team</t>
  </si>
  <si>
    <t>Support FP from other Unit</t>
  </si>
  <si>
    <t>***HQ Technical Team</t>
  </si>
  <si>
    <r>
      <rPr>
        <b/>
        <sz val="11"/>
        <color rgb="FF444444"/>
        <rFont val="Calibri"/>
        <family val="2"/>
      </rPr>
      <t xml:space="preserve">* GLEWS+ disease criteria:  
</t>
    </r>
    <r>
      <rPr>
        <b/>
        <sz val="11"/>
        <color rgb="FF941124"/>
        <rFont val="Calibri"/>
        <family val="2"/>
      </rPr>
      <t xml:space="preserve">1.	Diseases with a high impact on animal and/or human health
2.	Diseases with high impact on human and low impact on animal health
3.	Diseases with high impact on public health in outbreak situation
</t>
    </r>
  </si>
  <si>
    <t> </t>
  </si>
  <si>
    <t>Sergey, Daniel</t>
  </si>
  <si>
    <r>
      <rPr>
        <b/>
        <sz val="11"/>
        <color rgb="FF000000"/>
        <rFont val="Calibri"/>
        <family val="2"/>
      </rPr>
      <t>** Focal team criteria:  
1.</t>
    </r>
    <r>
      <rPr>
        <b/>
        <sz val="11"/>
        <color rgb="FF941124"/>
        <rFont val="Calibri"/>
        <family val="2"/>
      </rPr>
      <t xml:space="preserve">	Familiar with disease
2.	New members to join a team with senior, experienced staff
3.	If the disease is under the GLEWS list at least one GLEWS FP will be included
4.	At least one member from the disease team that has the same vector ( eg., Chikungunya, Dengue, YF, Zika- mosquito-borne diseases transmitted to humans by the same vector) 
5.	TLs will support all teams if necessary
</t>
    </r>
  </si>
  <si>
    <t xml:space="preserve">Number of hazards followed by individual (number of hazards does not equate to workload) </t>
  </si>
  <si>
    <t>Anthrax</t>
    <phoneticPr fontId="38" type="noConversion"/>
  </si>
  <si>
    <r>
      <rPr>
        <sz val="11"/>
        <color rgb="FF910909"/>
        <rFont val="Calibri"/>
        <family val="2"/>
      </rPr>
      <t>Tatiana/</t>
    </r>
    <r>
      <rPr>
        <sz val="11"/>
        <color rgb="FF000000"/>
        <rFont val="Calibri"/>
        <family val="2"/>
      </rPr>
      <t>Donghyok</t>
    </r>
  </si>
  <si>
    <t xml:space="preserve">Tatiana </t>
  </si>
  <si>
    <t>Lorenzo, Nicolo, Katya, Janet Diaz</t>
  </si>
  <si>
    <t>*** The list needs to be updated</t>
  </si>
  <si>
    <t>Corey</t>
  </si>
  <si>
    <t>Donghyuk</t>
  </si>
  <si>
    <t>Avian Influenza human</t>
  </si>
  <si>
    <r>
      <rPr>
        <sz val="11"/>
        <color rgb="FF7030A0"/>
        <rFont val="Calibri"/>
        <family val="2"/>
      </rPr>
      <t>Victoria</t>
    </r>
    <r>
      <rPr>
        <sz val="11"/>
        <color rgb="FF194F10"/>
        <rFont val="Calibri"/>
        <family val="2"/>
      </rPr>
      <t>,</t>
    </r>
    <r>
      <rPr>
        <sz val="11"/>
        <color rgb="FF000000"/>
        <rFont val="Calibri"/>
        <family val="2"/>
      </rPr>
      <t xml:space="preserve"> </t>
    </r>
    <r>
      <rPr>
        <sz val="11"/>
        <color rgb="FF910909"/>
        <rFont val="Calibri"/>
        <family val="2"/>
      </rPr>
      <t>Tatiana</t>
    </r>
    <r>
      <rPr>
        <sz val="11"/>
        <color rgb="FF664404"/>
        <rFont val="Calibri"/>
        <family val="2"/>
      </rPr>
      <t>,</t>
    </r>
    <r>
      <rPr>
        <sz val="11"/>
        <color rgb="FF000000"/>
        <rFont val="Calibri"/>
        <family val="2"/>
      </rPr>
      <t xml:space="preserve"> </t>
    </r>
    <r>
      <rPr>
        <strike/>
        <sz val="11"/>
        <color rgb="FF9D00FF"/>
        <rFont val="Calibri"/>
        <family val="2"/>
      </rPr>
      <t>Bruno</t>
    </r>
  </si>
  <si>
    <t xml:space="preserve">VanessaCozzi, Aspen, </t>
  </si>
  <si>
    <t xml:space="preserve"> </t>
  </si>
  <si>
    <t>Botulism (Clostridium botulinum toxin)</t>
  </si>
  <si>
    <t>For GLEWS+ diseases, please cc Tatiana and Dunja as well in any correspondence</t>
  </si>
  <si>
    <t>Brucellosis</t>
  </si>
  <si>
    <r>
      <rPr>
        <strike/>
        <sz val="11"/>
        <color rgb="FF910909"/>
        <rFont val="Calibri"/>
        <family val="2"/>
      </rPr>
      <t>Tatiana/</t>
    </r>
    <r>
      <rPr>
        <strike/>
        <sz val="11"/>
        <color rgb="FF000000"/>
        <rFont val="Calibri"/>
        <family val="2"/>
      </rPr>
      <t>Donghyok</t>
    </r>
  </si>
  <si>
    <t>CCHF</t>
  </si>
  <si>
    <r>
      <rPr>
        <sz val="11"/>
        <color rgb="FF0D6E1D"/>
        <rFont val="Calibri"/>
        <family val="2"/>
      </rPr>
      <t>Anastasia</t>
    </r>
    <r>
      <rPr>
        <sz val="11"/>
        <color rgb="FF000000"/>
        <rFont val="Calibri"/>
        <family val="2"/>
      </rPr>
      <t xml:space="preserve">, </t>
    </r>
    <r>
      <rPr>
        <sz val="11"/>
        <color rgb="FF910909"/>
        <rFont val="Calibri"/>
        <family val="2"/>
      </rPr>
      <t>Tatiana</t>
    </r>
  </si>
  <si>
    <t>** GLEWS+ follows only variants of seasonal influenza and zoonotic influenza</t>
  </si>
  <si>
    <r>
      <rPr>
        <sz val="11"/>
        <color rgb="FF0D6E1D"/>
        <rFont val="Calibri"/>
        <family val="2"/>
      </rPr>
      <t>Anastasia</t>
    </r>
    <r>
      <rPr>
        <sz val="11"/>
        <color rgb="FF000000"/>
        <rFont val="Calibri"/>
        <family val="2"/>
      </rPr>
      <t xml:space="preserve">, </t>
    </r>
    <r>
      <rPr>
        <sz val="11"/>
        <color rgb="FFBF8F00"/>
        <rFont val="Calibri"/>
        <family val="2"/>
      </rPr>
      <t>Yosef</t>
    </r>
  </si>
  <si>
    <t>COVID-19 (animal)</t>
  </si>
  <si>
    <t>Deliberate events and CBRN</t>
  </si>
  <si>
    <r>
      <rPr>
        <sz val="11"/>
        <color rgb="FF0070C0"/>
        <rFont val="Calibri"/>
        <family val="2"/>
      </rPr>
      <t>Kaja</t>
    </r>
    <r>
      <rPr>
        <sz val="11"/>
        <color rgb="FF000000"/>
        <rFont val="Calibri"/>
        <family val="2"/>
      </rPr>
      <t>, Corey</t>
    </r>
  </si>
  <si>
    <t>Victoria, Bruno</t>
  </si>
  <si>
    <t>VELAYUDHAN, Raman, ZHONG, Qingxia</t>
  </si>
  <si>
    <t>13 October 2023 - removed Harsh as FP due to shortly starting in WPRO (Kaja)</t>
  </si>
  <si>
    <r>
      <rPr>
        <sz val="11"/>
        <color rgb="FFFF0000"/>
        <rFont val="Calibri"/>
        <family val="2"/>
      </rPr>
      <t>Lidia</t>
    </r>
    <r>
      <rPr>
        <sz val="11"/>
        <color rgb="FF000000"/>
        <rFont val="Calibri"/>
        <family val="2"/>
      </rPr>
      <t xml:space="preserve">, </t>
    </r>
    <r>
      <rPr>
        <sz val="11"/>
        <color rgb="FF0070C0"/>
        <rFont val="Calibri"/>
        <family val="2"/>
      </rPr>
      <t>Bruno</t>
    </r>
  </si>
  <si>
    <t>20 December 2023 - removed Abdallah and Elvis</t>
  </si>
  <si>
    <t>Disasters</t>
  </si>
  <si>
    <t>Kaja, Corey</t>
  </si>
  <si>
    <t xml:space="preserve">Rob Holden, emergencypmo@who.int </t>
  </si>
  <si>
    <t>Neil followed 4 diseases -removed from the list</t>
  </si>
  <si>
    <t>Dracunculiasis</t>
  </si>
  <si>
    <t xml:space="preserve">Sam followed 2 disease -removed </t>
  </si>
  <si>
    <t>Ebola (filovirus), Marburg, SVD</t>
  </si>
  <si>
    <t>Equine encephalitis (VEE, EEE, WEE)</t>
  </si>
  <si>
    <t>Felix followed 10 diseases - removed</t>
  </si>
  <si>
    <t>Substandard and falsified medicines</t>
  </si>
  <si>
    <t>Kaja, Donghyok</t>
  </si>
  <si>
    <t>rapidalert</t>
  </si>
  <si>
    <t>Katrina followed 8 diseases (CCHF, Chikungunya, dengue, disaster, Equine Encephalitis, Oropouce, VHF, Viral encephalitis) - removed</t>
  </si>
  <si>
    <t>Guillain Barre syndrome</t>
  </si>
  <si>
    <t>Etsub followed 8 diseases - removed (BGC Jan 2025)</t>
  </si>
  <si>
    <t>Hantavirus (EID)</t>
  </si>
  <si>
    <t>Dunja, Blanche, Doyin, removed as FP March 2025</t>
  </si>
  <si>
    <t>Hepatitis</t>
  </si>
  <si>
    <t>Lidia, Bruno</t>
  </si>
  <si>
    <t xml:space="preserve">Zyleen removed on 30 April 2025 </t>
  </si>
  <si>
    <t xml:space="preserve">Respiratory syndrome and seasonal influenza (variants and AI for GLEWS) </t>
  </si>
  <si>
    <r>
      <rPr>
        <strike/>
        <sz val="11"/>
        <color rgb="FF7030A0"/>
        <rFont val="Calibri"/>
        <family val="2"/>
      </rPr>
      <t>Victoria</t>
    </r>
    <r>
      <rPr>
        <strike/>
        <sz val="11"/>
        <color rgb="FF000000"/>
        <rFont val="Calibri"/>
        <family val="2"/>
      </rPr>
      <t xml:space="preserve">, </t>
    </r>
    <r>
      <rPr>
        <strike/>
        <sz val="11"/>
        <color rgb="FF910909"/>
        <rFont val="Calibri"/>
        <family val="2"/>
      </rPr>
      <t>Tatiana</t>
    </r>
  </si>
  <si>
    <t>We can have one category as zoonotic influenza</t>
  </si>
  <si>
    <t>INFOSAN/Food safety/Foodbourne</t>
  </si>
  <si>
    <t>Keti, Donghyok</t>
  </si>
  <si>
    <r>
      <rPr>
        <sz val="11"/>
        <color rgb="FF0D6E1D"/>
        <rFont val="Calibri"/>
        <family val="2"/>
      </rPr>
      <t>Anastasia,</t>
    </r>
    <r>
      <rPr>
        <sz val="11"/>
        <color rgb="FF000000"/>
        <rFont val="Calibri"/>
        <family val="2"/>
      </rPr>
      <t xml:space="preserve"> </t>
    </r>
    <r>
      <rPr>
        <sz val="11"/>
        <color rgb="FF30B030"/>
        <rFont val="Calibri"/>
        <family val="2"/>
      </rPr>
      <t>Keti</t>
    </r>
  </si>
  <si>
    <t>Legionella</t>
  </si>
  <si>
    <r>
      <t xml:space="preserve">Lidia, </t>
    </r>
    <r>
      <rPr>
        <strike/>
        <sz val="11"/>
        <color rgb="FF0070C0"/>
        <rFont val="맑은 고딕"/>
        <family val="2"/>
        <scheme val="minor"/>
      </rPr>
      <t xml:space="preserve">Kaja, </t>
    </r>
  </si>
  <si>
    <t>Leishmaniasis</t>
  </si>
  <si>
    <r>
      <t xml:space="preserve"> </t>
    </r>
    <r>
      <rPr>
        <strike/>
        <sz val="11"/>
        <color rgb="FFFF0000"/>
        <rFont val="Calibri"/>
        <family val="2"/>
      </rPr>
      <t>Lidia</t>
    </r>
    <r>
      <rPr>
        <strike/>
        <sz val="11"/>
        <color rgb="FF000000"/>
        <rFont val="Calibri"/>
        <family val="2"/>
      </rPr>
      <t xml:space="preserve">, </t>
    </r>
    <r>
      <rPr>
        <strike/>
        <sz val="11"/>
        <color rgb="FF0070C0"/>
        <rFont val="Calibri"/>
        <family val="2"/>
      </rPr>
      <t>Kaja</t>
    </r>
  </si>
  <si>
    <t>PEZZOLI, Lorenzo &lt;pezzolil@who.int&gt;; BINELLO, Nicolò &lt;binellon@who.int&gt;; FERNANDEZ, Katya &lt;fernandezk@who.int&gt;; DIAZ, Janet Victoria &lt;diazj@who.int&gt;; RYLANCE, Jamie &lt;rylancej@who.int&gt;</t>
  </si>
  <si>
    <t>Mass gathering</t>
  </si>
  <si>
    <r>
      <rPr>
        <sz val="11"/>
        <color rgb="FF000000"/>
        <rFont val="맑은 고딕"/>
        <family val="2"/>
        <scheme val="minor"/>
      </rPr>
      <t xml:space="preserve">Vaishali, </t>
    </r>
    <r>
      <rPr>
        <sz val="11"/>
        <color rgb="FF0070C0"/>
        <rFont val="맑은 고딕"/>
        <family val="2"/>
        <scheme val="minor"/>
      </rPr>
      <t>Kaja</t>
    </r>
  </si>
  <si>
    <t>doesn't include enhanced monitoring for MG</t>
  </si>
  <si>
    <t>Mayaro</t>
  </si>
  <si>
    <r>
      <rPr>
        <sz val="11"/>
        <color rgb="FF000000"/>
        <rFont val="Calibri"/>
        <family val="2"/>
      </rPr>
      <t xml:space="preserve"> </t>
    </r>
    <r>
      <rPr>
        <sz val="11"/>
        <color rgb="FF30B030"/>
        <rFont val="Calibri"/>
        <family val="2"/>
      </rPr>
      <t>Keti</t>
    </r>
    <r>
      <rPr>
        <sz val="11"/>
        <color rgb="FF000000"/>
        <rFont val="Calibri"/>
        <family val="2"/>
      </rPr>
      <t xml:space="preserve">, </t>
    </r>
    <r>
      <rPr>
        <sz val="11"/>
        <color rgb="FF9D00FF"/>
        <rFont val="Calibri"/>
        <family val="2"/>
      </rPr>
      <t>Bruno</t>
    </r>
  </si>
  <si>
    <t>Meliodosis (Burkholderia pseudomallei)</t>
  </si>
  <si>
    <t xml:space="preserve">Tatiana, Dunja </t>
  </si>
  <si>
    <t>MERS</t>
  </si>
  <si>
    <t>Tatiana, Bruno</t>
  </si>
  <si>
    <t xml:space="preserve"> VAN DOBSCHÜTZ Sophie, Al SAYAFI Abdullah, SIMNICENAU, Alica, VANKERKHOVE Maria (in copy)</t>
  </si>
  <si>
    <t>MPOX</t>
  </si>
  <si>
    <r>
      <rPr>
        <sz val="11"/>
        <color rgb="FF60288B"/>
        <rFont val="Calibri"/>
        <family val="2"/>
      </rPr>
      <t>Victoria</t>
    </r>
    <r>
      <rPr>
        <sz val="11"/>
        <color rgb="FF000000"/>
        <rFont val="Calibri"/>
        <family val="2"/>
      </rPr>
      <t xml:space="preserve">, </t>
    </r>
    <r>
      <rPr>
        <sz val="11"/>
        <color rgb="FF0070C0"/>
        <rFont val="Calibri"/>
        <family val="2"/>
      </rPr>
      <t xml:space="preserve"> </t>
    </r>
    <r>
      <rPr>
        <sz val="11"/>
        <color rgb="FF60288B"/>
        <rFont val="Calibri"/>
        <family val="2"/>
      </rPr>
      <t>Bruno</t>
    </r>
  </si>
  <si>
    <t>Mumps</t>
  </si>
  <si>
    <r>
      <rPr>
        <strike/>
        <sz val="11"/>
        <color rgb="FF0070C0"/>
        <rFont val="Calibri"/>
        <family val="2"/>
      </rPr>
      <t>Kaja</t>
    </r>
    <r>
      <rPr>
        <strike/>
        <sz val="11"/>
        <color rgb="FF000000"/>
        <rFont val="Calibri"/>
        <family val="2"/>
      </rPr>
      <t xml:space="preserve">, </t>
    </r>
    <r>
      <rPr>
        <strike/>
        <sz val="11"/>
        <color rgb="FFFF0000"/>
        <rFont val="Calibri"/>
        <family val="2"/>
      </rPr>
      <t>Lidia</t>
    </r>
    <r>
      <rPr>
        <strike/>
        <sz val="11"/>
        <color rgb="FF000000"/>
        <rFont val="Calibri"/>
        <family val="2"/>
      </rPr>
      <t xml:space="preserve"> </t>
    </r>
  </si>
  <si>
    <t>Nipah virus encephalitis (EID)</t>
  </si>
  <si>
    <r>
      <rPr>
        <sz val="11"/>
        <color rgb="FF60288B"/>
        <rFont val="Calibri"/>
        <family val="2"/>
      </rPr>
      <t>Victoria</t>
    </r>
    <r>
      <rPr>
        <sz val="11"/>
        <color rgb="FF000000"/>
        <rFont val="Calibri"/>
        <family val="2"/>
      </rPr>
      <t xml:space="preserve">, </t>
    </r>
    <r>
      <rPr>
        <sz val="11"/>
        <color rgb="FF910909"/>
        <rFont val="Calibri"/>
        <family val="2"/>
      </rPr>
      <t>Tatiana</t>
    </r>
  </si>
  <si>
    <t>Oropouche</t>
  </si>
  <si>
    <t>Pertussis</t>
  </si>
  <si>
    <r>
      <t xml:space="preserve">Lidia, </t>
    </r>
    <r>
      <rPr>
        <strike/>
        <sz val="11"/>
        <color rgb="FF0070C0"/>
        <rFont val="Calibri"/>
        <family val="2"/>
      </rPr>
      <t>Kaja</t>
    </r>
  </si>
  <si>
    <t>Plague (Yersenia pestis)</t>
  </si>
  <si>
    <r>
      <rPr>
        <sz val="11"/>
        <color rgb="FFFF0000"/>
        <rFont val="Calibri"/>
        <family val="2"/>
      </rPr>
      <t>Lidia</t>
    </r>
    <r>
      <rPr>
        <sz val="11"/>
        <color rgb="FF000000"/>
        <rFont val="Calibri"/>
        <family val="2"/>
      </rPr>
      <t>, Vaishali</t>
    </r>
  </si>
  <si>
    <t>Polio</t>
  </si>
  <si>
    <r>
      <rPr>
        <sz val="11"/>
        <color rgb="FF30B030"/>
        <rFont val="Calibri"/>
        <family val="2"/>
      </rPr>
      <t>Keti</t>
    </r>
    <r>
      <rPr>
        <sz val="11"/>
        <color rgb="FF000000"/>
        <rFont val="Calibri"/>
        <family val="2"/>
      </rPr>
      <t>,</t>
    </r>
    <r>
      <rPr>
        <sz val="11"/>
        <color rgb="FF60288B"/>
        <rFont val="Calibri"/>
        <family val="2"/>
      </rPr>
      <t xml:space="preserve"> Vaishali</t>
    </r>
  </si>
  <si>
    <t xml:space="preserve">Psitacossis </t>
  </si>
  <si>
    <t>Q fever (coxiella burnetii)</t>
  </si>
  <si>
    <r>
      <rPr>
        <strike/>
        <sz val="11"/>
        <color rgb="FF910909"/>
        <rFont val="Calibri"/>
        <family val="2"/>
      </rPr>
      <t>Tatiana</t>
    </r>
    <r>
      <rPr>
        <strike/>
        <sz val="11"/>
        <color rgb="FF000000"/>
        <rFont val="Calibri"/>
        <family val="2"/>
      </rPr>
      <t xml:space="preserve">, </t>
    </r>
    <r>
      <rPr>
        <strike/>
        <sz val="11"/>
        <color rgb="FFFF0000"/>
        <rFont val="Calibri"/>
        <family val="2"/>
      </rPr>
      <t>Lidia</t>
    </r>
  </si>
  <si>
    <t>Rabies (dog-mediated)</t>
  </si>
  <si>
    <t>RVF</t>
  </si>
  <si>
    <r>
      <rPr>
        <sz val="11"/>
        <color rgb="FF30B030"/>
        <rFont val="Calibri"/>
        <family val="2"/>
      </rPr>
      <t>Keti,</t>
    </r>
    <r>
      <rPr>
        <sz val="11"/>
        <color rgb="FF60288B"/>
        <rFont val="Calibri"/>
        <family val="2"/>
      </rPr>
      <t xml:space="preserve"> </t>
    </r>
    <r>
      <rPr>
        <sz val="11"/>
        <color rgb="FF548235"/>
        <rFont val="Calibri"/>
        <family val="2"/>
      </rPr>
      <t>Anastasia</t>
    </r>
  </si>
  <si>
    <t>Shigella</t>
  </si>
  <si>
    <t>Smallpox (variola major)</t>
  </si>
  <si>
    <r>
      <rPr>
        <sz val="11"/>
        <color rgb="FFFF0000"/>
        <rFont val="Calibri"/>
        <family val="2"/>
      </rPr>
      <t>Lidia</t>
    </r>
    <r>
      <rPr>
        <sz val="11"/>
        <color rgb="FF000000"/>
        <rFont val="Calibri"/>
        <family val="2"/>
      </rPr>
      <t>, Keti</t>
    </r>
  </si>
  <si>
    <t>Trypanosomiasis</t>
  </si>
  <si>
    <r>
      <rPr>
        <strike/>
        <sz val="11"/>
        <color rgb="FF910909"/>
        <rFont val="Calibri"/>
        <family val="2"/>
      </rPr>
      <t>Tatiana</t>
    </r>
    <r>
      <rPr>
        <strike/>
        <sz val="11"/>
        <color rgb="FF000000"/>
        <rFont val="Calibri"/>
        <family val="2"/>
      </rPr>
      <t xml:space="preserve">, </t>
    </r>
    <r>
      <rPr>
        <strike/>
        <sz val="11"/>
        <color rgb="FF60288B"/>
        <rFont val="Calibri"/>
        <family val="2"/>
      </rPr>
      <t>Victoria</t>
    </r>
  </si>
  <si>
    <t>Typhoid</t>
  </si>
  <si>
    <t xml:space="preserve">Yosef </t>
  </si>
  <si>
    <t>Not yet diagnosed disease</t>
  </si>
  <si>
    <r>
      <rPr>
        <sz val="11"/>
        <color rgb="FF910909"/>
        <rFont val="Calibri"/>
        <family val="2"/>
      </rPr>
      <t>Tatiana</t>
    </r>
    <r>
      <rPr>
        <sz val="11"/>
        <color rgb="FF000000"/>
        <rFont val="Calibri"/>
        <family val="2"/>
      </rPr>
      <t xml:space="preserve">,  </t>
    </r>
    <r>
      <rPr>
        <sz val="11"/>
        <color rgb="FF9D00FF"/>
        <rFont val="Calibri"/>
        <family val="2"/>
      </rPr>
      <t>Bruno</t>
    </r>
  </si>
  <si>
    <t>Janet Diaz, Jamie Rylance</t>
  </si>
  <si>
    <t>VHF (Old World/New World Arenaviruses)
• Junin,
• Mapucho,
• Guaranito,
• Sabia,
• Alkhurma hemorrhagic fever
• Chapare hemorrhagic fever,
• Lujo,
• Hantavirus Pulmonary Syndrome (HPS),
• Hemorrhagic fever with renal syndrome (HFRS),
• Lymphocytic choriomeningitis virus (LCMV)</t>
  </si>
  <si>
    <t>Viral encephalitis (WNV, JEV)</t>
  </si>
  <si>
    <r>
      <rPr>
        <sz val="11"/>
        <color rgb="FF0070C0"/>
        <rFont val="Calibri"/>
        <family val="2"/>
      </rPr>
      <t>Anastasia</t>
    </r>
    <r>
      <rPr>
        <sz val="11"/>
        <color rgb="FF000000"/>
        <rFont val="Calibri"/>
        <family val="2"/>
      </rPr>
      <t>,</t>
    </r>
    <r>
      <rPr>
        <sz val="11"/>
        <color rgb="FF58DBC5"/>
        <rFont val="Calibri"/>
        <family val="2"/>
      </rPr>
      <t xml:space="preserve"> Keti</t>
    </r>
  </si>
  <si>
    <t>Yellow fever</t>
  </si>
  <si>
    <r>
      <rPr>
        <sz val="11"/>
        <color rgb="FFFF0000"/>
        <rFont val="Calibri"/>
        <family val="2"/>
      </rPr>
      <t xml:space="preserve">Lidia, </t>
    </r>
    <r>
      <rPr>
        <sz val="11"/>
        <color rgb="FF0070C0"/>
        <rFont val="Calibri"/>
        <family val="2"/>
      </rPr>
      <t>Kaja,</t>
    </r>
  </si>
  <si>
    <t>Marie Eve Raguenaud</t>
  </si>
  <si>
    <t>project description</t>
  </si>
  <si>
    <t>collaboration</t>
  </si>
  <si>
    <t>project status</t>
  </si>
  <si>
    <t>Start date</t>
  </si>
  <si>
    <t>Completion date aim</t>
  </si>
  <si>
    <t>Column1</t>
  </si>
  <si>
    <t>Priority level</t>
  </si>
  <si>
    <t>Column2</t>
  </si>
  <si>
    <t>Column3</t>
  </si>
  <si>
    <t>EIS new version development, testing and release</t>
  </si>
  <si>
    <t>IT, Addapt</t>
  </si>
  <si>
    <t>open</t>
  </si>
  <si>
    <t>Funding dependent</t>
  </si>
  <si>
    <t>EIS trainings and training materials on new EIS version</t>
  </si>
  <si>
    <t>Adappt</t>
  </si>
  <si>
    <t>EIS communication module development</t>
  </si>
  <si>
    <t>Q1 2024</t>
  </si>
  <si>
    <t>Check development end date</t>
  </si>
  <si>
    <t>IHR Learning Program</t>
  </si>
  <si>
    <t>Lyon office, ROs</t>
  </si>
  <si>
    <t>on hold</t>
  </si>
  <si>
    <t>Still ongoing?</t>
  </si>
  <si>
    <t xml:space="preserve">To be reassessed given the new platform development </t>
  </si>
  <si>
    <t>WHO Academy (with EIS training proposal)</t>
  </si>
  <si>
    <t>???</t>
  </si>
  <si>
    <t>closed</t>
  </si>
  <si>
    <t xml:space="preserve">AMR RRA template and guidance </t>
  </si>
  <si>
    <t>AMR team</t>
  </si>
  <si>
    <t>Check status - it is ongoing</t>
  </si>
  <si>
    <t>? to be removed? - NO, kindly see the rational in the column J</t>
  </si>
  <si>
    <t xml:space="preserve">The GLASS EAR emerging AMR reporting &amp; Risk assessment framework is still ongoing. There is a resumed interest and the PHI template and AMR RRA performed, especially by  ECDC who are leading the initiative and invited WHO EURO and the AMR team in Dec 2023. EURO team will contact  us for the further activities and broader collaboration  with other stakeholders. </t>
  </si>
  <si>
    <t>Update and piloting of the RRA template and guidance v.3.0. Discussion on public distribution.</t>
  </si>
  <si>
    <t>PHI in the Region &amp; WHE TTs</t>
  </si>
  <si>
    <t>Q3 2024</t>
  </si>
  <si>
    <t>RRA workshops and training</t>
  </si>
  <si>
    <t>WHO academy and/or WHO Open course on RRA</t>
  </si>
  <si>
    <t>WG guidelines on effectiveness and impact on travel and trade restriction</t>
  </si>
  <si>
    <t>IHR</t>
  </si>
  <si>
    <t>indicators GPW13</t>
  </si>
  <si>
    <t>Neil</t>
  </si>
  <si>
    <t>category creation in EIOS for the Tokyo olympics</t>
  </si>
  <si>
    <t xml:space="preserve">chemical SOPs development </t>
  </si>
  <si>
    <t>Anastasia to review, add to triage SOP?</t>
  </si>
  <si>
    <t>GLEWS</t>
  </si>
  <si>
    <t>EIOS WG group</t>
  </si>
  <si>
    <t>GLEWS website</t>
  </si>
  <si>
    <t>GLEWS platform</t>
  </si>
  <si>
    <t>Berlin, Tatiana</t>
  </si>
  <si>
    <t>One Health - transboundary zoonoses</t>
  </si>
  <si>
    <t>SOP &amp; guidelines completed</t>
  </si>
  <si>
    <t>joint risk assessement of AI globally in collaboration with FAO and OIE</t>
  </si>
  <si>
    <t>didnt happn - OFLU responsibility</t>
  </si>
  <si>
    <t>cleaning EMS and EIS linked event</t>
  </si>
  <si>
    <t>Kaja to check whether can be closed</t>
  </si>
  <si>
    <t>Amalia</t>
  </si>
  <si>
    <t>Signal app, EMS2, EIS revamp, morning meeting presentation development, emergency dashoboard check</t>
  </si>
  <si>
    <t>ISA, IT, Henry</t>
  </si>
  <si>
    <t>moved to others</t>
  </si>
  <si>
    <t>Operational research - signal detection in last 5 years</t>
  </si>
  <si>
    <t>Neil, Blanche</t>
  </si>
  <si>
    <t>Q4 2024</t>
  </si>
  <si>
    <t>GPW13 &amp; 14, operational indicators</t>
  </si>
  <si>
    <t>EIOS 2.0 rewamp evaluation (May, June)</t>
  </si>
  <si>
    <t>RRA, EIS, EMS automated slides (R shiny)</t>
  </si>
  <si>
    <t>Miguel</t>
  </si>
  <si>
    <t>link to operational indicators</t>
  </si>
  <si>
    <t>PHI compendium project with Berlin hub (competancies)</t>
  </si>
  <si>
    <t>Esther, Blanche</t>
  </si>
  <si>
    <t>Sam</t>
  </si>
  <si>
    <t>ECDC EIOS study - data exchange</t>
  </si>
  <si>
    <t>Kaja, Blanche, Esther</t>
  </si>
  <si>
    <t>EMS data</t>
  </si>
  <si>
    <t>EMS intranet</t>
  </si>
  <si>
    <t>to check</t>
  </si>
  <si>
    <t>RRA and EIS tracker</t>
  </si>
  <si>
    <t>EVD tracker</t>
  </si>
  <si>
    <t>Beijing Olympics</t>
  </si>
  <si>
    <t>Xi</t>
  </si>
  <si>
    <t>EMS data cleaning and recategorisation of the harzard category</t>
  </si>
  <si>
    <t>?Zarina</t>
  </si>
  <si>
    <t>use cases on publication delays for EIS and DON (link with 7-1-7)</t>
  </si>
  <si>
    <t>?Zarina?</t>
  </si>
  <si>
    <t>Katrina</t>
  </si>
  <si>
    <t xml:space="preserve">IHR recommendations implementation </t>
  </si>
  <si>
    <t>Coordination with the lab to ensure that all lab data are requested when the team sends a verification request</t>
  </si>
  <si>
    <t>Phili, ?PHAC person</t>
  </si>
  <si>
    <t>work on the standardised questionnaire with Anne Perrocheau</t>
  </si>
  <si>
    <t>Anne P.</t>
  </si>
  <si>
    <t>didnt finish</t>
  </si>
  <si>
    <t>Ukraine EBS</t>
  </si>
  <si>
    <t>Kaja, Etsub, AEE</t>
  </si>
  <si>
    <t xml:space="preserve">Signal app, EMS2, morning meeting presentation development, </t>
  </si>
  <si>
    <t>Kaja, Etsub, Neil, IMT</t>
  </si>
  <si>
    <t>SOP- Triaging of specific signals: An all hazards approach</t>
  </si>
  <si>
    <t>Victoria/ PHI Unit</t>
  </si>
  <si>
    <t>SOP - Routine activities</t>
  </si>
  <si>
    <t>PHI Unit</t>
  </si>
  <si>
    <t>Operational research - Enhanced PHI</t>
  </si>
  <si>
    <t xml:space="preserve">Felix </t>
  </si>
  <si>
    <t>Report on WHO use of IHR criteria in EIS events posted 2014-2023</t>
  </si>
  <si>
    <t>PHI unit</t>
  </si>
  <si>
    <t>Workshop(s) on research</t>
  </si>
  <si>
    <t>ARC SOP on undiagnosed disease</t>
  </si>
  <si>
    <t>Blanche, Esther, Olivier, Boris, Abdi</t>
  </si>
  <si>
    <t>Mapping of contextual data for RRAs, for selected hazards</t>
  </si>
  <si>
    <t>Berlin Hub</t>
  </si>
  <si>
    <t>Vaishali/Bruno</t>
  </si>
  <si>
    <t>DON hub to improve the content, structure, information flow, and visualization of the DON  to make it more concise, informative and user friendly.</t>
  </si>
  <si>
    <t>Progress, Sitefinity team</t>
  </si>
  <si>
    <t xml:space="preserve">DON translation pilot- Determine the feasibility of producing DONs by using full machine translation with only light post-editing of the MT raw output.
</t>
  </si>
  <si>
    <t>Language team and web team, PHI unit</t>
  </si>
  <si>
    <t>Designing disease infographics for frequently published DONs i.e. Measles, Cholera, Haemorrhagic fevers, polio, yellow fever</t>
  </si>
  <si>
    <t>Anne</t>
  </si>
  <si>
    <t>Annual DON compendium 2022</t>
  </si>
  <si>
    <t>GLEWS+ One Health Intelligence manuscript</t>
  </si>
  <si>
    <t>Dunja, Neil, GLEWS+</t>
  </si>
  <si>
    <t>EIS user log study</t>
  </si>
  <si>
    <t>Felix, Neil</t>
  </si>
  <si>
    <t>Yosef and Zarina</t>
  </si>
  <si>
    <t>Assessment of the information products timeline for acute public health events during public health intelligence practice</t>
  </si>
  <si>
    <t>Blanche, Kaja, Tatiana</t>
  </si>
  <si>
    <t>Q1-2024</t>
  </si>
  <si>
    <t>Updating Technical Focal points at HQ database (VPD Teams)</t>
  </si>
  <si>
    <t>Multi-country outbreak of cholera sitrep end-user survey</t>
  </si>
  <si>
    <t xml:space="preserve">SOP </t>
  </si>
  <si>
    <t>Hazard</t>
  </si>
  <si>
    <t>Meeting frequency</t>
  </si>
  <si>
    <t>IMST</t>
  </si>
  <si>
    <t>Length of meeting</t>
  </si>
  <si>
    <t>Attendee</t>
  </si>
  <si>
    <t>Rotational attendance</t>
  </si>
  <si>
    <t>Other info</t>
  </si>
  <si>
    <t>Weekly</t>
  </si>
  <si>
    <t>60 min</t>
  </si>
  <si>
    <t>HQ Mpox Collaborative Surveillance weekly meeting</t>
  </si>
  <si>
    <t xml:space="preserve">Mpox </t>
  </si>
  <si>
    <t xml:space="preserve">Weekly </t>
  </si>
  <si>
    <t>Mpox HQ IMST Meeting</t>
  </si>
  <si>
    <t xml:space="preserve">Yellow fever </t>
  </si>
  <si>
    <t>1 hour</t>
  </si>
  <si>
    <t>Lidia and/or  Kaja</t>
  </si>
  <si>
    <t>Collaboration with YF technical teams in HQ,  AFRO and PAHO ,YF Regional  laboratories in AFRO, PAHO laboratory FP,  IVB, collaboraton for the YF surveillance and EYE strategy with a weekly presenation of the YF signals and events detected by PHI.</t>
  </si>
  <si>
    <t>90 min</t>
  </si>
  <si>
    <t>No (we used to have a rotational attendance when Etsub was there, he made roster)</t>
  </si>
  <si>
    <t>Country support meeting</t>
  </si>
  <si>
    <t>Yosef, Keti, Bruno, Anastasia</t>
  </si>
  <si>
    <t>HQ Cholera IMST. There are other calls on country-specific outbreaks that we attend on ad hoc base</t>
  </si>
  <si>
    <t>H5 internal coordination meeting</t>
  </si>
  <si>
    <t>Biweekly</t>
  </si>
  <si>
    <t xml:space="preserve">No </t>
  </si>
  <si>
    <t>Victoria and/or Tatiana and /or Dunja</t>
  </si>
  <si>
    <t>Collaboration with GIP technical teams and ROs representatives</t>
  </si>
  <si>
    <t>MVD/SVD</t>
  </si>
  <si>
    <t>Keti, Yosef and/or Victoria</t>
  </si>
  <si>
    <t>3LTC epi pillar MVD Tanzania and SVD Uganda Outbreak</t>
  </si>
  <si>
    <t>SVD</t>
  </si>
  <si>
    <t>weekly</t>
  </si>
  <si>
    <t>3LTC SVD Uganda Outbreak</t>
  </si>
  <si>
    <t>MVD</t>
  </si>
  <si>
    <t>3LTC MVD Tanzania Outbreak</t>
  </si>
  <si>
    <t>Sudan Epi pillar</t>
  </si>
  <si>
    <t>30 min</t>
  </si>
  <si>
    <t>Collaboration with Sudan IMST Epi pillar to discuss the multi-country sitrep</t>
  </si>
  <si>
    <t xml:space="preserve">Lassa Fever (Nigeria) </t>
  </si>
  <si>
    <t>Victoria, Anastasia, Keti</t>
  </si>
  <si>
    <t>From Dunja: 'These meetings are very informative, and I suggest that FPs attend them. There is no need for all FPs to attend, but just one. However, it's good that one who attends keeps the other FPs informed on the main points and shares the ppt presented during the meeting with them. Please also keep me in the loop when sharing those updates.</t>
  </si>
  <si>
    <t>4 October 2025: WPRO shared intial EIS draft, shared with TT deadline 12pm 15 October 2025. 15/09/25: Shared back reviewed EIS draft with WPRO.</t>
  </si>
  <si>
    <t>2 October 2025: SEARO proposed to have an EIS for this event on 30 September, HQ discussed w TT and it was agreed to move forward. SEARO confirms they will initiate the first draft; 8 October 2025: draft EIS received from SEARO and shared with TT for review by 3pm 9 October 2025; 9 October 2025: reminder sent to TT for review; 10 October 2025: Reviewed EIS draft sent back to SEARO; 15 October 2025: Reminder email sent to SEARO; 16 October SEARO replied that they are still waiting some input and discussion with WCO.</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</si>
</sst>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d/mmm/yy"/>
  </numFmts>
  <fonts count="69">
    <font>
      <sz val="11"/>
      <color theme="1"/>
      <name val="맑은 고딕"/>
      <family val="2"/>
      <scheme val="minor"/>
    </font>
    <font>
      <sz val="11"/>
      <color theme="1"/>
      <name val="맑은 고딕"/>
      <family val="2"/>
      <scheme val="minor"/>
    </font>
    <font>
      <b/>
      <sz val="11"/>
      <color theme="1"/>
      <name val="맑은 고딕"/>
      <family val="2"/>
      <scheme val="minor"/>
    </font>
    <font>
      <sz val="11"/>
      <name val="맑은 고딕"/>
      <family val="2"/>
      <scheme val="minor"/>
    </font>
    <font>
      <sz val="11"/>
      <color rgb="FF000000"/>
      <name val="맑은 고딕"/>
      <family val="2"/>
      <scheme val="minor"/>
    </font>
    <font>
      <u/>
      <sz val="11"/>
      <color theme="10"/>
      <name val="맑은 고딕"/>
      <family val="2"/>
      <scheme val="minor"/>
    </font>
    <font>
      <sz val="11"/>
      <color rgb="FF000000"/>
      <name val="Calibri"/>
      <family val="2"/>
    </font>
    <font>
      <sz val="11"/>
      <color theme="1"/>
      <name val="Calibri"/>
      <family val="2"/>
      <charset val="1"/>
    </font>
    <font>
      <b/>
      <sz val="12"/>
      <color theme="1"/>
      <name val="맑은 고딕"/>
      <family val="2"/>
      <scheme val="minor"/>
    </font>
    <font>
      <b/>
      <sz val="11"/>
      <color theme="1"/>
      <name val="Calibri (Body)"/>
    </font>
    <font>
      <sz val="8"/>
      <name val="맑은 고딕"/>
      <family val="2"/>
      <scheme val="minor"/>
    </font>
    <font>
      <sz val="11"/>
      <color theme="1"/>
      <name val="Calibri"/>
      <family val="2"/>
    </font>
    <font>
      <sz val="12"/>
      <color rgb="FF000000"/>
      <name val="Calibri"/>
      <family val="2"/>
      <charset val="1"/>
    </font>
    <font>
      <sz val="11"/>
      <color rgb="FF444444"/>
      <name val="Calibri"/>
      <family val="2"/>
      <charset val="1"/>
    </font>
    <font>
      <sz val="11"/>
      <color rgb="FF444444"/>
      <name val="Calibri"/>
      <family val="2"/>
    </font>
    <font>
      <sz val="11"/>
      <color rgb="FF000000"/>
      <name val="Calibri"/>
      <family val="2"/>
      <charset val="1"/>
    </font>
    <font>
      <b/>
      <sz val="11"/>
      <color rgb="FF444444"/>
      <name val="Calibri"/>
      <family val="2"/>
    </font>
    <font>
      <b/>
      <sz val="11"/>
      <color rgb="FF941124"/>
      <name val="Calibri"/>
      <family val="2"/>
    </font>
    <font>
      <b/>
      <sz val="11"/>
      <color rgb="FF000000"/>
      <name val="Calibri"/>
      <family val="2"/>
      <charset val="1"/>
    </font>
    <font>
      <sz val="11"/>
      <color rgb="FFA9D08E"/>
      <name val="맑은 고딕"/>
      <family val="2"/>
      <scheme val="minor"/>
    </font>
    <font>
      <sz val="8"/>
      <color rgb="FF000000"/>
      <name val="Verdana"/>
      <family val="2"/>
    </font>
    <font>
      <b/>
      <sz val="16"/>
      <color rgb="FF000000"/>
      <name val="Calibri"/>
      <family val="2"/>
    </font>
    <font>
      <b/>
      <sz val="11"/>
      <color rgb="FF000000"/>
      <name val="Calibri"/>
      <family val="2"/>
    </font>
    <font>
      <b/>
      <sz val="11"/>
      <color theme="1"/>
      <name val="Calibri"/>
      <family val="2"/>
    </font>
    <font>
      <i/>
      <sz val="11"/>
      <color rgb="FF000000"/>
      <name val="맑은 고딕"/>
      <family val="2"/>
      <scheme val="minor"/>
    </font>
    <font>
      <sz val="11"/>
      <color rgb="FF000000"/>
      <name val="Aptos Narrow"/>
      <family val="2"/>
    </font>
    <font>
      <sz val="11"/>
      <color rgb="FF242424"/>
      <name val="Aptos Narrow"/>
      <family val="2"/>
    </font>
    <font>
      <sz val="11"/>
      <color rgb="FFFF0000"/>
      <name val="Calibri"/>
      <family val="2"/>
    </font>
    <font>
      <sz val="11"/>
      <color rgb="FF8A0AF2"/>
      <name val="Calibri"/>
      <family val="2"/>
    </font>
    <font>
      <b/>
      <sz val="11"/>
      <color rgb="FF000000"/>
      <name val="맑은 고딕"/>
      <family val="2"/>
      <scheme val="minor"/>
    </font>
    <font>
      <b/>
      <sz val="11"/>
      <color rgb="FFFF0000"/>
      <name val="맑은 고딕"/>
      <family val="2"/>
      <scheme val="minor"/>
    </font>
    <font>
      <b/>
      <sz val="11"/>
      <color rgb="FF0070C0"/>
      <name val="맑은 고딕"/>
      <family val="2"/>
      <scheme val="minor"/>
    </font>
    <font>
      <b/>
      <sz val="11"/>
      <color rgb="FF0D6E1D"/>
      <name val="맑은 고딕"/>
      <family val="2"/>
      <scheme val="minor"/>
    </font>
    <font>
      <b/>
      <sz val="11"/>
      <color rgb="FF7030A0"/>
      <name val="맑은 고딕"/>
      <family val="2"/>
      <scheme val="minor"/>
    </font>
    <font>
      <b/>
      <sz val="11"/>
      <color rgb="FF910909"/>
      <name val="맑은 고딕"/>
      <family val="2"/>
      <scheme val="minor"/>
    </font>
    <font>
      <b/>
      <sz val="11"/>
      <color rgb="FF8A0AF2"/>
      <name val="맑은 고딕"/>
      <family val="2"/>
      <scheme val="minor"/>
    </font>
    <font>
      <b/>
      <sz val="11"/>
      <color rgb="FF30B030"/>
      <name val="맑은 고딕"/>
      <family val="2"/>
      <scheme val="minor"/>
    </font>
    <font>
      <b/>
      <sz val="11"/>
      <color theme="9" tint="-0.499984740745262"/>
      <name val="맑은 고딕"/>
      <family val="2"/>
      <scheme val="minor"/>
    </font>
    <font>
      <b/>
      <sz val="11"/>
      <color rgb="FF00B0F0"/>
      <name val="맑은 고딕"/>
      <family val="2"/>
      <scheme val="minor"/>
    </font>
    <font>
      <sz val="8"/>
      <name val="맑은 고딕"/>
      <family val="3"/>
      <charset val="129"/>
      <scheme val="minor"/>
    </font>
    <font>
      <sz val="11"/>
      <color rgb="FFFFC000"/>
      <name val="Calibri"/>
      <family val="2"/>
    </font>
    <font>
      <strike/>
      <sz val="11"/>
      <color rgb="FF000000"/>
      <name val="Calibri"/>
      <family val="2"/>
    </font>
    <font>
      <strike/>
      <sz val="11"/>
      <color rgb="FFFF0000"/>
      <name val="Calibri"/>
      <family val="2"/>
    </font>
    <font>
      <strike/>
      <sz val="11"/>
      <color rgb="FFFF0000"/>
      <name val="맑은 고딕"/>
      <family val="2"/>
      <scheme val="minor"/>
    </font>
    <font>
      <strike/>
      <sz val="11"/>
      <color theme="1"/>
      <name val="맑은 고딕"/>
      <family val="2"/>
      <scheme val="minor"/>
    </font>
    <font>
      <b/>
      <sz val="12"/>
      <color rgb="FF000000"/>
      <name val="Calibri"/>
      <family val="2"/>
    </font>
    <font>
      <b/>
      <sz val="10"/>
      <color rgb="FF000000"/>
      <name val="Calibri"/>
      <family val="2"/>
    </font>
    <font>
      <sz val="11"/>
      <color rgb="FF910909"/>
      <name val="Calibri"/>
      <family val="2"/>
    </font>
    <font>
      <sz val="11"/>
      <color rgb="FF7030A0"/>
      <name val="Calibri"/>
      <family val="2"/>
    </font>
    <font>
      <sz val="11"/>
      <color rgb="FF194F10"/>
      <name val="Calibri"/>
      <family val="2"/>
    </font>
    <font>
      <sz val="11"/>
      <color rgb="FF664404"/>
      <name val="Calibri"/>
      <family val="2"/>
    </font>
    <font>
      <strike/>
      <sz val="11"/>
      <color rgb="FF9D00FF"/>
      <name val="Calibri"/>
      <family val="2"/>
    </font>
    <font>
      <sz val="11"/>
      <color rgb="FF0D6E1D"/>
      <name val="Calibri"/>
      <family val="2"/>
    </font>
    <font>
      <sz val="11"/>
      <color rgb="FF0070C0"/>
      <name val="Calibri"/>
      <family val="2"/>
    </font>
    <font>
      <sz val="11"/>
      <color rgb="FF60288B"/>
      <name val="Calibri"/>
      <family val="2"/>
    </font>
    <font>
      <sz val="11"/>
      <color rgb="FF9D00FF"/>
      <name val="Calibri"/>
      <family val="2"/>
    </font>
    <font>
      <sz val="11"/>
      <color rgb="FF30B030"/>
      <name val="Calibri"/>
      <family val="2"/>
    </font>
    <font>
      <sz val="11"/>
      <color rgb="FF58DBC5"/>
      <name val="Calibri"/>
      <family val="2"/>
    </font>
    <font>
      <b/>
      <sz val="11"/>
      <color rgb="FF242424"/>
      <name val="Aptos Narrow"/>
      <family val="2"/>
    </font>
    <font>
      <sz val="11"/>
      <color rgb="FF0070C0"/>
      <name val="맑은 고딕"/>
      <family val="2"/>
      <scheme val="minor"/>
    </font>
    <font>
      <sz val="9"/>
      <color rgb="FF000000"/>
      <name val="Segoe UI"/>
      <family val="2"/>
    </font>
    <font>
      <strike/>
      <sz val="11"/>
      <color rgb="FF910909"/>
      <name val="Calibri"/>
      <family val="2"/>
    </font>
    <font>
      <strike/>
      <sz val="11"/>
      <color rgb="FF7030A0"/>
      <name val="Calibri"/>
      <family val="2"/>
    </font>
    <font>
      <strike/>
      <sz val="11"/>
      <color rgb="FF0070C0"/>
      <name val="맑은 고딕"/>
      <family val="2"/>
      <scheme val="minor"/>
    </font>
    <font>
      <strike/>
      <sz val="11"/>
      <color rgb="FF0070C0"/>
      <name val="Calibri"/>
      <family val="2"/>
    </font>
    <font>
      <sz val="11"/>
      <color rgb="FF548235"/>
      <name val="Calibri"/>
      <family val="2"/>
    </font>
    <font>
      <sz val="11"/>
      <color rgb="FFBF8F00"/>
      <name val="Calibri"/>
      <family val="2"/>
    </font>
    <font>
      <strike/>
      <sz val="11"/>
      <color rgb="FF60288B"/>
      <name val="Calibri"/>
      <family val="2"/>
    </font>
    <font>
      <b/>
      <sz val="11"/>
      <color rgb="FFC00000"/>
      <name val="Aptos Narrow"/>
      <family val="2"/>
    </font>
  </fonts>
  <fills count="29">
    <fill>
      <patternFill patternType="none"/>
    </fill>
    <fill>
      <patternFill patternType="gray125"/>
    </fill>
    <fill>
      <patternFill patternType="solid">
        <fgColor rgb="FF0070C0"/>
        <bgColor indexed="64"/>
      </patternFill>
    </fill>
    <fill>
      <patternFill patternType="solid">
        <fgColor theme="0" tint="-4.9989318521683403E-2"/>
        <bgColor indexed="64"/>
      </patternFill>
    </fill>
    <fill>
      <patternFill patternType="solid">
        <fgColor rgb="FFF2F2F2"/>
        <bgColor indexed="64"/>
      </patternFill>
    </fill>
    <fill>
      <patternFill patternType="solid">
        <fgColor theme="1"/>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rgb="FF941124"/>
        <bgColor indexed="64"/>
      </patternFill>
    </fill>
    <fill>
      <patternFill patternType="solid">
        <fgColor rgb="FF60288B"/>
        <bgColor indexed="64"/>
      </patternFill>
    </fill>
    <fill>
      <patternFill patternType="solid">
        <fgColor rgb="FFFFFFFF"/>
        <bgColor indexed="64"/>
      </patternFill>
    </fill>
    <fill>
      <patternFill patternType="solid">
        <fgColor rgb="FFD9E1F2"/>
        <bgColor rgb="FFD9E1F2"/>
      </patternFill>
    </fill>
    <fill>
      <patternFill patternType="solid">
        <fgColor rgb="FFFFFF00"/>
        <bgColor indexed="64"/>
      </patternFill>
    </fill>
    <fill>
      <patternFill patternType="solid">
        <fgColor rgb="FFC6E0B4"/>
        <bgColor indexed="64"/>
      </patternFill>
    </fill>
    <fill>
      <patternFill patternType="solid">
        <fgColor rgb="FFF8CBAD"/>
        <bgColor indexed="64"/>
      </patternFill>
    </fill>
    <fill>
      <patternFill patternType="solid">
        <fgColor theme="4" tint="0.79998168889431442"/>
        <bgColor theme="4" tint="0.79998168889431442"/>
      </patternFill>
    </fill>
    <fill>
      <patternFill patternType="solid">
        <fgColor rgb="FFE7E6E6"/>
        <bgColor indexed="64"/>
      </patternFill>
    </fill>
    <fill>
      <patternFill patternType="solid">
        <fgColor rgb="FFD9E1F2"/>
        <bgColor rgb="FF000000"/>
      </patternFill>
    </fill>
    <fill>
      <patternFill patternType="solid">
        <fgColor rgb="FFA9D08E"/>
        <bgColor rgb="FF000000"/>
      </patternFill>
    </fill>
    <fill>
      <patternFill patternType="solid">
        <fgColor rgb="FFF4B084"/>
        <bgColor rgb="FF000000"/>
      </patternFill>
    </fill>
    <fill>
      <patternFill patternType="solid">
        <fgColor rgb="FFFFFF00"/>
        <bgColor rgb="FF000000"/>
      </patternFill>
    </fill>
    <fill>
      <patternFill patternType="solid">
        <fgColor rgb="FF595959"/>
        <bgColor rgb="FF000000"/>
      </patternFill>
    </fill>
    <fill>
      <patternFill patternType="solid">
        <fgColor rgb="FFFFFFFF"/>
        <bgColor rgb="FF000000"/>
      </patternFill>
    </fill>
    <fill>
      <patternFill patternType="solid">
        <fgColor rgb="FFE7E6E6"/>
        <bgColor rgb="FF000000"/>
      </patternFill>
    </fill>
    <fill>
      <patternFill patternType="solid">
        <fgColor rgb="FFFBFBFB"/>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s>
  <borders count="7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ck">
        <color rgb="FFFFFFFF"/>
      </bottom>
      <diagonal/>
    </border>
    <border>
      <left/>
      <right/>
      <top/>
      <bottom style="thin">
        <color indexed="64"/>
      </bottom>
      <diagonal/>
    </border>
    <border>
      <left/>
      <right style="thin">
        <color indexed="64"/>
      </right>
      <top/>
      <bottom/>
      <diagonal/>
    </border>
    <border>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rgb="FF8EA9DB"/>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top style="thin">
        <color rgb="FF4472C4"/>
      </top>
      <bottom/>
      <diagonal/>
    </border>
    <border>
      <left style="thin">
        <color indexed="64"/>
      </left>
      <right style="thin">
        <color indexed="64"/>
      </right>
      <top style="thin">
        <color indexed="64"/>
      </top>
      <bottom style="thin">
        <color rgb="FF8EA9DB"/>
      </bottom>
      <diagonal/>
    </border>
    <border>
      <left style="thin">
        <color rgb="FF000000"/>
      </left>
      <right style="thin">
        <color rgb="FF000000"/>
      </right>
      <top style="thin">
        <color rgb="FF000000"/>
      </top>
      <bottom/>
      <diagonal/>
    </border>
    <border>
      <left style="thin">
        <color indexed="64"/>
      </left>
      <right/>
      <top style="thin">
        <color indexed="64"/>
      </top>
      <bottom style="thin">
        <color rgb="FF000000"/>
      </bottom>
      <diagonal/>
    </border>
    <border>
      <left style="thin">
        <color indexed="64"/>
      </left>
      <right/>
      <top style="thin">
        <color rgb="FF000000"/>
      </top>
      <bottom style="thin">
        <color rgb="FF000000"/>
      </bottom>
      <diagonal/>
    </border>
    <border>
      <left/>
      <right style="thin">
        <color rgb="FF000000"/>
      </right>
      <top/>
      <bottom style="medium">
        <color indexed="64"/>
      </bottom>
      <diagonal/>
    </border>
    <border>
      <left style="thin">
        <color indexed="64"/>
      </left>
      <right style="thin">
        <color rgb="FF000000"/>
      </right>
      <top style="thin">
        <color indexed="64"/>
      </top>
      <bottom/>
      <diagonal/>
    </border>
    <border>
      <left/>
      <right style="thin">
        <color rgb="FF000000"/>
      </right>
      <top/>
      <bottom/>
      <diagonal/>
    </border>
    <border>
      <left/>
      <right style="medium">
        <color indexed="64"/>
      </right>
      <top/>
      <bottom style="medium">
        <color indexed="64"/>
      </bottom>
      <diagonal/>
    </border>
    <border>
      <left/>
      <right style="thin">
        <color rgb="FF000000"/>
      </right>
      <top/>
      <bottom style="thin">
        <color indexed="64"/>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top/>
      <bottom style="thin">
        <color rgb="FF8EA9DB"/>
      </bottom>
      <diagonal/>
    </border>
    <border>
      <left style="thin">
        <color indexed="64"/>
      </left>
      <right/>
      <top/>
      <bottom/>
      <diagonal/>
    </border>
    <border>
      <left style="thin">
        <color indexed="64"/>
      </left>
      <right style="medium">
        <color indexed="64"/>
      </right>
      <top/>
      <bottom/>
      <diagonal/>
    </border>
    <border>
      <left style="thin">
        <color indexed="64"/>
      </left>
      <right style="thin">
        <color rgb="FF000000"/>
      </right>
      <top/>
      <bottom/>
      <diagonal/>
    </border>
    <border>
      <left style="thin">
        <color rgb="FF4472C4"/>
      </left>
      <right/>
      <top style="thin">
        <color rgb="FF4472C4"/>
      </top>
      <bottom/>
      <diagonal/>
    </border>
    <border>
      <left/>
      <right style="thin">
        <color rgb="FF4472C4"/>
      </right>
      <top style="thin">
        <color rgb="FF4472C4"/>
      </top>
      <bottom/>
      <diagonal/>
    </border>
    <border>
      <left style="thin">
        <color rgb="FF4472C4"/>
      </left>
      <right/>
      <top style="thin">
        <color rgb="FF4472C4"/>
      </top>
      <bottom style="thin">
        <color rgb="FF4472C4"/>
      </bottom>
      <diagonal/>
    </border>
    <border>
      <left/>
      <right/>
      <top style="thin">
        <color rgb="FF4472C4"/>
      </top>
      <bottom style="thin">
        <color rgb="FF4472C4"/>
      </bottom>
      <diagonal/>
    </border>
    <border>
      <left/>
      <right style="thin">
        <color rgb="FF4472C4"/>
      </right>
      <top style="thin">
        <color rgb="FF4472C4"/>
      </top>
      <bottom style="thin">
        <color rgb="FF4472C4"/>
      </bottom>
      <diagonal/>
    </border>
    <border>
      <left style="thin">
        <color indexed="64"/>
      </left>
      <right style="thin">
        <color indexed="64"/>
      </right>
      <top style="thin">
        <color indexed="64"/>
      </top>
      <bottom style="thin">
        <color theme="4" tint="0.39997558519241921"/>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medium">
        <color indexed="64"/>
      </right>
      <top style="thin">
        <color indexed="64"/>
      </top>
      <bottom style="thin">
        <color rgb="FF000000"/>
      </bottom>
      <diagonal/>
    </border>
    <border>
      <left style="thin">
        <color indexed="64"/>
      </left>
      <right style="medium">
        <color indexed="64"/>
      </right>
      <top style="thin">
        <color rgb="FF000000"/>
      </top>
      <bottom style="thin">
        <color rgb="FF000000"/>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medium">
        <color indexed="64"/>
      </left>
      <right style="medium">
        <color indexed="64"/>
      </right>
      <top style="thin">
        <color indexed="64"/>
      </top>
      <bottom style="thin">
        <color rgb="FF000000"/>
      </bottom>
      <diagonal/>
    </border>
    <border>
      <left style="medium">
        <color indexed="64"/>
      </left>
      <right style="medium">
        <color indexed="64"/>
      </right>
      <top style="thin">
        <color rgb="FF000000"/>
      </top>
      <bottom style="thin">
        <color rgb="FF000000"/>
      </bottom>
      <diagonal/>
    </border>
    <border>
      <left/>
      <right/>
      <top style="thin">
        <color indexed="64"/>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right style="medium">
        <color indexed="64"/>
      </right>
      <top style="thin">
        <color theme="4" tint="0.39997558519241921"/>
      </top>
      <bottom style="thin">
        <color theme="4" tint="0.39997558519241921"/>
      </bottom>
      <diagonal/>
    </border>
    <border>
      <left style="thin">
        <color indexed="64"/>
      </left>
      <right style="medium">
        <color indexed="64"/>
      </right>
      <top style="thin">
        <color theme="4" tint="0.39997558519241921"/>
      </top>
      <bottom style="thin">
        <color theme="4" tint="0.39997558519241921"/>
      </bottom>
      <diagonal/>
    </border>
    <border>
      <left/>
      <right style="thin">
        <color rgb="FF000000"/>
      </right>
      <top style="thin">
        <color theme="4" tint="0.39997558519241921"/>
      </top>
      <bottom style="thin">
        <color theme="4" tint="0.39997558519241921"/>
      </bottom>
      <diagonal/>
    </border>
  </borders>
  <cellStyleXfs count="2">
    <xf numFmtId="0" fontId="0" fillId="0" borderId="0"/>
    <xf numFmtId="0" fontId="5" fillId="0" borderId="0" applyNumberFormat="0" applyFill="0" applyBorder="0" applyAlignment="0" applyProtection="0"/>
  </cellStyleXfs>
  <cellXfs count="458">
    <xf numFmtId="0" fontId="0" fillId="0" borderId="0" xfId="0"/>
    <xf numFmtId="0" fontId="8" fillId="2" borderId="1" xfId="0" applyFont="1" applyFill="1" applyBorder="1"/>
    <xf numFmtId="0" fontId="8" fillId="2" borderId="1" xfId="0" applyFont="1" applyFill="1" applyBorder="1" applyAlignment="1">
      <alignment wrapText="1"/>
    </xf>
    <xf numFmtId="0" fontId="2" fillId="3" borderId="1" xfId="0" applyFont="1" applyFill="1" applyBorder="1" applyAlignment="1">
      <alignment horizontal="center"/>
    </xf>
    <xf numFmtId="0" fontId="0" fillId="3" borderId="1" xfId="0" applyFill="1" applyBorder="1" applyAlignment="1">
      <alignment horizontal="left"/>
    </xf>
    <xf numFmtId="0" fontId="0" fillId="3" borderId="1" xfId="0" applyFill="1" applyBorder="1" applyAlignment="1">
      <alignment wrapText="1"/>
    </xf>
    <xf numFmtId="0" fontId="0" fillId="3" borderId="1" xfId="0" applyFill="1" applyBorder="1" applyAlignment="1">
      <alignment horizontal="left" vertical="center" wrapText="1"/>
    </xf>
    <xf numFmtId="0" fontId="2" fillId="3" borderId="1" xfId="0" applyFont="1" applyFill="1" applyBorder="1" applyAlignment="1">
      <alignment horizontal="center" vertical="center"/>
    </xf>
    <xf numFmtId="1" fontId="0" fillId="3" borderId="1" xfId="0" applyNumberFormat="1" applyFill="1" applyBorder="1" applyAlignment="1">
      <alignment horizontal="left" vertical="center" wrapText="1"/>
    </xf>
    <xf numFmtId="0" fontId="2" fillId="2" borderId="1" xfId="0" applyFont="1" applyFill="1" applyBorder="1" applyAlignment="1">
      <alignment vertical="center"/>
    </xf>
    <xf numFmtId="0" fontId="9" fillId="2" borderId="7" xfId="0" applyFont="1" applyFill="1" applyBorder="1" applyAlignment="1">
      <alignment horizontal="left" vertical="center" wrapText="1"/>
    </xf>
    <xf numFmtId="0" fontId="2" fillId="2" borderId="7" xfId="0" applyFont="1" applyFill="1" applyBorder="1" applyAlignment="1">
      <alignment vertical="center"/>
    </xf>
    <xf numFmtId="0" fontId="0" fillId="3" borderId="1" xfId="0" applyFill="1" applyBorder="1" applyAlignment="1">
      <alignment vertical="center"/>
    </xf>
    <xf numFmtId="0" fontId="0" fillId="3" borderId="1" xfId="0" applyFill="1" applyBorder="1" applyAlignment="1">
      <alignment vertical="center" wrapText="1"/>
    </xf>
    <xf numFmtId="0" fontId="0" fillId="0" borderId="0" xfId="0" applyAlignment="1">
      <alignment vertical="center" wrapText="1"/>
    </xf>
    <xf numFmtId="0" fontId="0" fillId="0" borderId="12" xfId="0" applyBorder="1" applyAlignment="1">
      <alignment vertical="center"/>
    </xf>
    <xf numFmtId="0" fontId="0" fillId="0" borderId="0" xfId="0" applyAlignment="1">
      <alignment vertical="center"/>
    </xf>
    <xf numFmtId="0" fontId="0" fillId="3" borderId="4" xfId="0" applyFill="1" applyBorder="1" applyAlignment="1">
      <alignment vertical="center"/>
    </xf>
    <xf numFmtId="0" fontId="0" fillId="3" borderId="1" xfId="0" applyFill="1" applyBorder="1"/>
    <xf numFmtId="0" fontId="0" fillId="2" borderId="1" xfId="0" applyFill="1" applyBorder="1"/>
    <xf numFmtId="0" fontId="4" fillId="0" borderId="0" xfId="0" applyFont="1" applyAlignment="1">
      <alignment vertical="center"/>
    </xf>
    <xf numFmtId="0" fontId="2" fillId="0" borderId="0" xfId="0" applyFont="1" applyAlignment="1">
      <alignment vertical="center"/>
    </xf>
    <xf numFmtId="0" fontId="0" fillId="3" borderId="29" xfId="0" applyFill="1" applyBorder="1"/>
    <xf numFmtId="0" fontId="0" fillId="3" borderId="7" xfId="0" applyFill="1" applyBorder="1" applyAlignment="1">
      <alignment vertical="center"/>
    </xf>
    <xf numFmtId="0" fontId="0" fillId="0" borderId="4"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0" fillId="0" borderId="7" xfId="0" applyBorder="1" applyAlignment="1">
      <alignment vertical="center"/>
    </xf>
    <xf numFmtId="0" fontId="4" fillId="0" borderId="7" xfId="0" applyFont="1" applyBorder="1" applyAlignment="1">
      <alignment vertical="center"/>
    </xf>
    <xf numFmtId="0" fontId="4" fillId="0" borderId="16" xfId="0" applyFont="1" applyBorder="1" applyAlignment="1">
      <alignment vertical="center"/>
    </xf>
    <xf numFmtId="0" fontId="0" fillId="0" borderId="13" xfId="0" applyBorder="1" applyAlignment="1">
      <alignment vertical="center"/>
    </xf>
    <xf numFmtId="0" fontId="0" fillId="0" borderId="5" xfId="0" applyBorder="1" applyAlignment="1">
      <alignment vertical="center"/>
    </xf>
    <xf numFmtId="0" fontId="0" fillId="0" borderId="8" xfId="0" applyBorder="1" applyAlignment="1">
      <alignment vertical="center"/>
    </xf>
    <xf numFmtId="0" fontId="2" fillId="5" borderId="22" xfId="0" applyFont="1" applyFill="1" applyBorder="1" applyAlignment="1">
      <alignment vertical="center"/>
    </xf>
    <xf numFmtId="0" fontId="2" fillId="5" borderId="27" xfId="0" applyFont="1" applyFill="1" applyBorder="1" applyAlignment="1">
      <alignment vertical="center"/>
    </xf>
    <xf numFmtId="0" fontId="2" fillId="5" borderId="23" xfId="0" applyFont="1" applyFill="1" applyBorder="1" applyAlignment="1">
      <alignment vertical="center"/>
    </xf>
    <xf numFmtId="0" fontId="0" fillId="0" borderId="11" xfId="0" applyBorder="1" applyAlignment="1">
      <alignment vertical="center"/>
    </xf>
    <xf numFmtId="0" fontId="0" fillId="0" borderId="2" xfId="0" applyBorder="1" applyAlignment="1">
      <alignment horizontal="center" vertical="center"/>
    </xf>
    <xf numFmtId="15" fontId="0" fillId="0" borderId="2" xfId="0" applyNumberFormat="1" applyBorder="1" applyAlignment="1">
      <alignment horizontal="center" vertical="center"/>
    </xf>
    <xf numFmtId="0" fontId="0" fillId="0" borderId="9" xfId="0" applyBorder="1" applyAlignment="1">
      <alignment vertical="center"/>
    </xf>
    <xf numFmtId="15" fontId="0" fillId="0" borderId="6" xfId="0" applyNumberFormat="1" applyBorder="1" applyAlignment="1">
      <alignment horizontal="center" vertical="center"/>
    </xf>
    <xf numFmtId="15" fontId="0" fillId="0" borderId="7" xfId="0" applyNumberFormat="1" applyBorder="1" applyAlignment="1">
      <alignment horizontal="center" vertical="center"/>
    </xf>
    <xf numFmtId="0" fontId="0" fillId="0" borderId="0" xfId="0" applyAlignment="1">
      <alignment horizontal="center" vertical="center"/>
    </xf>
    <xf numFmtId="1" fontId="2" fillId="5" borderId="24" xfId="0" applyNumberFormat="1" applyFont="1" applyFill="1" applyBorder="1" applyAlignment="1">
      <alignment horizontal="center" vertical="center"/>
    </xf>
    <xf numFmtId="0" fontId="2" fillId="5" borderId="24" xfId="0" applyFont="1" applyFill="1" applyBorder="1" applyAlignment="1">
      <alignment horizontal="center" vertical="center"/>
    </xf>
    <xf numFmtId="0" fontId="2" fillId="5" borderId="26" xfId="0" applyFont="1" applyFill="1" applyBorder="1" applyAlignment="1">
      <alignment horizontal="center" vertical="center"/>
    </xf>
    <xf numFmtId="0" fontId="0" fillId="3" borderId="4" xfId="0" applyFill="1" applyBorder="1" applyAlignment="1">
      <alignment horizontal="left"/>
    </xf>
    <xf numFmtId="1" fontId="0" fillId="3" borderId="1" xfId="0" applyNumberFormat="1" applyFill="1" applyBorder="1" applyAlignment="1">
      <alignment horizontal="left" vertical="center"/>
    </xf>
    <xf numFmtId="0" fontId="0" fillId="3" borderId="1" xfId="0" applyFill="1" applyBorder="1" applyAlignment="1">
      <alignment horizontal="left" vertical="center"/>
    </xf>
    <xf numFmtId="0" fontId="0" fillId="3" borderId="4" xfId="0" applyFill="1" applyBorder="1" applyAlignment="1">
      <alignment horizontal="left" vertical="center"/>
    </xf>
    <xf numFmtId="0" fontId="0" fillId="0" borderId="3" xfId="0" applyBorder="1" applyAlignment="1">
      <alignment vertical="center"/>
    </xf>
    <xf numFmtId="0" fontId="0" fillId="0" borderId="2" xfId="0" applyBorder="1" applyAlignment="1">
      <alignment vertical="center"/>
    </xf>
    <xf numFmtId="0" fontId="0" fillId="0" borderId="1" xfId="0" applyBorder="1" applyAlignment="1">
      <alignment vertical="center"/>
    </xf>
    <xf numFmtId="15" fontId="0" fillId="0" borderId="1" xfId="0" applyNumberFormat="1" applyBorder="1" applyAlignment="1">
      <alignment vertical="center"/>
    </xf>
    <xf numFmtId="0" fontId="0" fillId="0" borderId="32" xfId="0" applyBorder="1" applyAlignment="1">
      <alignment vertical="center"/>
    </xf>
    <xf numFmtId="15" fontId="0" fillId="0" borderId="32" xfId="0" applyNumberFormat="1" applyBorder="1" applyAlignment="1">
      <alignment vertical="center"/>
    </xf>
    <xf numFmtId="0" fontId="0" fillId="0" borderId="6" xfId="0" applyBorder="1" applyAlignment="1">
      <alignment vertical="center"/>
    </xf>
    <xf numFmtId="15" fontId="0" fillId="0" borderId="7" xfId="0" applyNumberFormat="1" applyBorder="1" applyAlignment="1">
      <alignment vertical="center"/>
    </xf>
    <xf numFmtId="15" fontId="0" fillId="0" borderId="8" xfId="0" applyNumberFormat="1" applyBorder="1" applyAlignment="1">
      <alignment vertical="center"/>
    </xf>
    <xf numFmtId="0" fontId="0" fillId="0" borderId="7" xfId="0" applyBorder="1" applyAlignment="1">
      <alignment horizontal="center" vertical="center"/>
    </xf>
    <xf numFmtId="15" fontId="5" fillId="0" borderId="8" xfId="1" applyNumberFormat="1" applyFill="1" applyBorder="1" applyAlignment="1">
      <alignment vertical="center"/>
    </xf>
    <xf numFmtId="15" fontId="0" fillId="0" borderId="0" xfId="0" applyNumberFormat="1" applyAlignment="1">
      <alignment vertical="center"/>
    </xf>
    <xf numFmtId="15" fontId="5" fillId="0" borderId="7" xfId="1" applyNumberFormat="1" applyFill="1" applyBorder="1" applyAlignment="1">
      <alignment vertical="center"/>
    </xf>
    <xf numFmtId="14" fontId="4" fillId="0" borderId="7" xfId="0" applyNumberFormat="1" applyFont="1" applyBorder="1" applyAlignment="1">
      <alignment vertical="center"/>
    </xf>
    <xf numFmtId="15" fontId="4" fillId="0" borderId="7" xfId="0" applyNumberFormat="1" applyFont="1" applyBorder="1" applyAlignment="1">
      <alignment vertical="center"/>
    </xf>
    <xf numFmtId="0" fontId="0" fillId="0" borderId="30" xfId="0" applyBorder="1" applyAlignment="1">
      <alignment vertical="center"/>
    </xf>
    <xf numFmtId="0" fontId="2" fillId="6" borderId="22" xfId="0" applyFont="1" applyFill="1" applyBorder="1" applyAlignment="1">
      <alignment vertical="center"/>
    </xf>
    <xf numFmtId="0" fontId="2" fillId="6" borderId="27" xfId="0" applyFont="1" applyFill="1" applyBorder="1" applyAlignment="1">
      <alignment vertical="center"/>
    </xf>
    <xf numFmtId="0" fontId="0" fillId="0" borderId="33" xfId="0" applyBorder="1" applyAlignment="1">
      <alignment vertical="center"/>
    </xf>
    <xf numFmtId="15" fontId="0" fillId="0" borderId="15" xfId="0" applyNumberFormat="1" applyBorder="1" applyAlignment="1">
      <alignment vertical="center"/>
    </xf>
    <xf numFmtId="15" fontId="5" fillId="0" borderId="1" xfId="1" applyNumberFormat="1" applyFill="1" applyBorder="1" applyAlignment="1">
      <alignment vertical="center"/>
    </xf>
    <xf numFmtId="15" fontId="5" fillId="0" borderId="15" xfId="1" applyNumberFormat="1" applyFill="1" applyBorder="1" applyAlignment="1">
      <alignment vertical="center"/>
    </xf>
    <xf numFmtId="0" fontId="5" fillId="0" borderId="1" xfId="1" applyFill="1" applyBorder="1" applyAlignment="1">
      <alignment vertical="center"/>
    </xf>
    <xf numFmtId="0" fontId="5" fillId="0" borderId="15" xfId="1" applyFill="1" applyBorder="1" applyAlignment="1">
      <alignment vertical="center"/>
    </xf>
    <xf numFmtId="0" fontId="2" fillId="7" borderId="33" xfId="0" applyFont="1" applyFill="1" applyBorder="1" applyAlignment="1">
      <alignment vertical="center"/>
    </xf>
    <xf numFmtId="0" fontId="2" fillId="7" borderId="1" xfId="0" applyFont="1" applyFill="1" applyBorder="1" applyAlignment="1">
      <alignment vertical="center"/>
    </xf>
    <xf numFmtId="0" fontId="2" fillId="7" borderId="15" xfId="0" applyFont="1" applyFill="1" applyBorder="1" applyAlignment="1">
      <alignment vertical="center"/>
    </xf>
    <xf numFmtId="1" fontId="0" fillId="0" borderId="4" xfId="0" applyNumberFormat="1" applyBorder="1" applyAlignment="1">
      <alignment horizontal="center" vertical="center"/>
    </xf>
    <xf numFmtId="1" fontId="0" fillId="0" borderId="1" xfId="0" applyNumberFormat="1" applyBorder="1" applyAlignment="1">
      <alignment horizontal="center" vertical="center"/>
    </xf>
    <xf numFmtId="15" fontId="0" fillId="0" borderId="13" xfId="0" applyNumberFormat="1" applyBorder="1" applyAlignment="1">
      <alignment vertical="center"/>
    </xf>
    <xf numFmtId="1" fontId="4" fillId="0" borderId="28" xfId="0" applyNumberFormat="1" applyFont="1" applyBorder="1" applyAlignment="1">
      <alignment horizontal="center" vertical="center"/>
    </xf>
    <xf numFmtId="15" fontId="0" fillId="0" borderId="6" xfId="0" applyNumberFormat="1" applyBorder="1" applyAlignment="1">
      <alignment vertical="center"/>
    </xf>
    <xf numFmtId="1" fontId="0" fillId="0" borderId="7" xfId="0" applyNumberFormat="1" applyBorder="1" applyAlignment="1">
      <alignment horizontal="center" vertical="center"/>
    </xf>
    <xf numFmtId="15" fontId="0" fillId="0" borderId="16" xfId="0" applyNumberFormat="1" applyBorder="1" applyAlignment="1">
      <alignment vertical="center"/>
    </xf>
    <xf numFmtId="15" fontId="0" fillId="0" borderId="17" xfId="0" applyNumberFormat="1" applyBorder="1" applyAlignment="1">
      <alignment vertical="center"/>
    </xf>
    <xf numFmtId="15" fontId="0" fillId="0" borderId="2" xfId="0" applyNumberFormat="1" applyBorder="1" applyAlignment="1">
      <alignment vertical="center"/>
    </xf>
    <xf numFmtId="1" fontId="0" fillId="0" borderId="0" xfId="0" applyNumberFormat="1" applyAlignment="1">
      <alignment horizontal="center" vertical="center"/>
    </xf>
    <xf numFmtId="0" fontId="2" fillId="8" borderId="24" xfId="0" applyFont="1" applyFill="1" applyBorder="1" applyAlignment="1">
      <alignment vertical="center"/>
    </xf>
    <xf numFmtId="1" fontId="2" fillId="8" borderId="22" xfId="0" applyNumberFormat="1" applyFont="1" applyFill="1" applyBorder="1" applyAlignment="1">
      <alignment horizontal="center" vertical="center"/>
    </xf>
    <xf numFmtId="0" fontId="2" fillId="8" borderId="22" xfId="0" applyFont="1" applyFill="1" applyBorder="1" applyAlignment="1">
      <alignment vertical="center"/>
    </xf>
    <xf numFmtId="0" fontId="2" fillId="8" borderId="23" xfId="0" applyFont="1" applyFill="1" applyBorder="1" applyAlignment="1">
      <alignment vertical="center"/>
    </xf>
    <xf numFmtId="0" fontId="0" fillId="0" borderId="7" xfId="0" applyBorder="1" applyAlignment="1">
      <alignment horizontal="left" vertical="center"/>
    </xf>
    <xf numFmtId="15" fontId="0" fillId="0" borderId="7" xfId="0" applyNumberFormat="1" applyBorder="1" applyAlignment="1">
      <alignment horizontal="left" vertical="center"/>
    </xf>
    <xf numFmtId="0" fontId="2" fillId="9" borderId="24" xfId="0" applyFont="1" applyFill="1" applyBorder="1" applyAlignment="1">
      <alignment vertical="center"/>
    </xf>
    <xf numFmtId="0" fontId="2" fillId="9" borderId="22" xfId="0" applyFont="1" applyFill="1" applyBorder="1" applyAlignment="1">
      <alignment vertical="center"/>
    </xf>
    <xf numFmtId="0" fontId="2" fillId="9" borderId="23" xfId="0" applyFont="1" applyFill="1" applyBorder="1" applyAlignment="1">
      <alignment vertical="center"/>
    </xf>
    <xf numFmtId="0" fontId="2" fillId="10" borderId="24" xfId="0" applyFont="1" applyFill="1" applyBorder="1" applyAlignment="1">
      <alignment vertical="center"/>
    </xf>
    <xf numFmtId="0" fontId="2" fillId="0" borderId="25" xfId="0" applyFont="1"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18" xfId="0" applyBorder="1" applyAlignment="1">
      <alignment vertical="center"/>
    </xf>
    <xf numFmtId="15" fontId="5" fillId="0" borderId="16" xfId="1" applyNumberFormat="1" applyFill="1" applyBorder="1" applyAlignment="1">
      <alignment vertical="center"/>
    </xf>
    <xf numFmtId="0" fontId="2" fillId="8" borderId="26" xfId="0" applyFont="1" applyFill="1" applyBorder="1" applyAlignment="1">
      <alignment vertical="center"/>
    </xf>
    <xf numFmtId="0" fontId="0" fillId="0" borderId="34" xfId="0" applyBorder="1" applyAlignment="1">
      <alignment vertical="center"/>
    </xf>
    <xf numFmtId="0" fontId="0" fillId="4" borderId="1" xfId="0" applyFill="1" applyBorder="1" applyAlignment="1">
      <alignment vertical="center"/>
    </xf>
    <xf numFmtId="0" fontId="0" fillId="3" borderId="31" xfId="0" applyFill="1" applyBorder="1" applyAlignment="1">
      <alignment vertical="center"/>
    </xf>
    <xf numFmtId="15" fontId="0" fillId="0" borderId="30" xfId="0" applyNumberFormat="1" applyBorder="1" applyAlignment="1">
      <alignment vertical="center"/>
    </xf>
    <xf numFmtId="0" fontId="0" fillId="11" borderId="8" xfId="0" applyFill="1" applyBorder="1" applyAlignment="1">
      <alignment vertical="center"/>
    </xf>
    <xf numFmtId="0" fontId="0" fillId="11" borderId="0" xfId="0" applyFill="1" applyAlignment="1">
      <alignment vertical="center"/>
    </xf>
    <xf numFmtId="15" fontId="5" fillId="0" borderId="16" xfId="1" applyNumberFormat="1" applyBorder="1" applyAlignment="1">
      <alignment vertical="center"/>
    </xf>
    <xf numFmtId="0" fontId="0" fillId="11" borderId="7" xfId="0" applyFill="1" applyBorder="1" applyAlignment="1">
      <alignment vertical="center"/>
    </xf>
    <xf numFmtId="0" fontId="0" fillId="11" borderId="16" xfId="0" applyFill="1" applyBorder="1" applyAlignment="1">
      <alignment vertical="center"/>
    </xf>
    <xf numFmtId="0" fontId="0" fillId="11" borderId="30" xfId="0" applyFill="1" applyBorder="1" applyAlignment="1">
      <alignment vertical="center"/>
    </xf>
    <xf numFmtId="15" fontId="0" fillId="11" borderId="7" xfId="0" applyNumberFormat="1" applyFill="1" applyBorder="1" applyAlignment="1">
      <alignment vertical="center"/>
    </xf>
    <xf numFmtId="15" fontId="0" fillId="11" borderId="16" xfId="0" applyNumberFormat="1" applyFill="1" applyBorder="1" applyAlignment="1">
      <alignment vertical="center"/>
    </xf>
    <xf numFmtId="1" fontId="0" fillId="11" borderId="7" xfId="0" applyNumberFormat="1" applyFill="1" applyBorder="1" applyAlignment="1">
      <alignment horizontal="center" vertical="center"/>
    </xf>
    <xf numFmtId="0" fontId="0" fillId="11" borderId="21" xfId="0" applyFill="1" applyBorder="1" applyAlignment="1">
      <alignment vertical="center"/>
    </xf>
    <xf numFmtId="15" fontId="0" fillId="11" borderId="7" xfId="0" applyNumberFormat="1" applyFill="1" applyBorder="1" applyAlignment="1">
      <alignment horizontal="center" vertical="center"/>
    </xf>
    <xf numFmtId="15" fontId="0" fillId="0" borderId="33" xfId="0" applyNumberFormat="1" applyBorder="1" applyAlignment="1">
      <alignment vertical="center"/>
    </xf>
    <xf numFmtId="0" fontId="0" fillId="0" borderId="7" xfId="0" applyBorder="1" applyAlignment="1">
      <alignment vertical="top"/>
    </xf>
    <xf numFmtId="0" fontId="0" fillId="4" borderId="1" xfId="0" applyFill="1" applyBorder="1"/>
    <xf numFmtId="15" fontId="11" fillId="0" borderId="7" xfId="0" applyNumberFormat="1" applyFont="1" applyBorder="1" applyAlignment="1">
      <alignment vertical="center"/>
    </xf>
    <xf numFmtId="0" fontId="4" fillId="4" borderId="31" xfId="0" applyFont="1" applyFill="1" applyBorder="1" applyAlignment="1">
      <alignment vertical="center"/>
    </xf>
    <xf numFmtId="0" fontId="0" fillId="13" borderId="0" xfId="0" applyFill="1"/>
    <xf numFmtId="0" fontId="4" fillId="4" borderId="1" xfId="0" applyFont="1" applyFill="1" applyBorder="1" applyAlignment="1">
      <alignment vertical="center"/>
    </xf>
    <xf numFmtId="0" fontId="0" fillId="3" borderId="37" xfId="0" applyFill="1" applyBorder="1" applyAlignment="1">
      <alignment vertical="center"/>
    </xf>
    <xf numFmtId="0" fontId="16" fillId="14" borderId="0" xfId="0" applyFont="1" applyFill="1" applyAlignment="1">
      <alignment horizontal="left" vertical="top" wrapText="1"/>
    </xf>
    <xf numFmtId="0" fontId="18" fillId="13" borderId="0" xfId="0" applyFont="1" applyFill="1"/>
    <xf numFmtId="0" fontId="0" fillId="0" borderId="38" xfId="0" applyBorder="1" applyAlignment="1">
      <alignment vertical="center"/>
    </xf>
    <xf numFmtId="0" fontId="0" fillId="0" borderId="39" xfId="0" applyBorder="1" applyAlignment="1">
      <alignment vertical="center"/>
    </xf>
    <xf numFmtId="14" fontId="0" fillId="0" borderId="7" xfId="0" applyNumberFormat="1" applyBorder="1" applyAlignment="1">
      <alignment vertical="center"/>
    </xf>
    <xf numFmtId="0" fontId="0" fillId="3" borderId="0" xfId="0" applyFill="1" applyAlignment="1">
      <alignment vertical="center"/>
    </xf>
    <xf numFmtId="15" fontId="2" fillId="9" borderId="22" xfId="0" applyNumberFormat="1" applyFont="1" applyFill="1" applyBorder="1" applyAlignment="1">
      <alignment vertical="center"/>
    </xf>
    <xf numFmtId="15" fontId="0" fillId="0" borderId="4" xfId="0" applyNumberFormat="1" applyBorder="1" applyAlignment="1">
      <alignment vertical="center"/>
    </xf>
    <xf numFmtId="15" fontId="2" fillId="8" borderId="22" xfId="0" applyNumberFormat="1" applyFont="1" applyFill="1" applyBorder="1" applyAlignment="1">
      <alignment vertical="center"/>
    </xf>
    <xf numFmtId="15" fontId="2" fillId="10" borderId="40" xfId="0" applyNumberFormat="1" applyFont="1" applyFill="1" applyBorder="1" applyAlignment="1">
      <alignment vertical="center"/>
    </xf>
    <xf numFmtId="15" fontId="0" fillId="0" borderId="41" xfId="0" applyNumberFormat="1" applyBorder="1" applyAlignment="1">
      <alignment vertical="center"/>
    </xf>
    <xf numFmtId="15" fontId="0" fillId="0" borderId="42" xfId="0" applyNumberFormat="1" applyBorder="1" applyAlignment="1">
      <alignment vertical="center"/>
    </xf>
    <xf numFmtId="0" fontId="2" fillId="10" borderId="43" xfId="0" applyFont="1" applyFill="1" applyBorder="1" applyAlignment="1">
      <alignment vertical="center"/>
    </xf>
    <xf numFmtId="15" fontId="0" fillId="0" borderId="45" xfId="0" applyNumberFormat="1" applyBorder="1" applyAlignment="1">
      <alignment vertical="center"/>
    </xf>
    <xf numFmtId="15" fontId="0" fillId="0" borderId="46" xfId="0" applyNumberFormat="1" applyBorder="1" applyAlignment="1">
      <alignment vertical="center"/>
    </xf>
    <xf numFmtId="15" fontId="0" fillId="11" borderId="41" xfId="0" applyNumberFormat="1" applyFill="1" applyBorder="1" applyAlignment="1">
      <alignment vertical="center"/>
    </xf>
    <xf numFmtId="0" fontId="0" fillId="0" borderId="48" xfId="0" applyBorder="1" applyAlignment="1">
      <alignment vertical="center"/>
    </xf>
    <xf numFmtId="15" fontId="0" fillId="0" borderId="48" xfId="0" applyNumberFormat="1" applyBorder="1" applyAlignment="1">
      <alignment vertical="center"/>
    </xf>
    <xf numFmtId="0" fontId="0" fillId="11" borderId="17" xfId="0" applyFill="1" applyBorder="1" applyAlignment="1">
      <alignment vertical="center"/>
    </xf>
    <xf numFmtId="0" fontId="0" fillId="11" borderId="0" xfId="0" applyFill="1"/>
    <xf numFmtId="0" fontId="19" fillId="11" borderId="0" xfId="0" applyFont="1" applyFill="1"/>
    <xf numFmtId="16" fontId="0" fillId="0" borderId="7" xfId="0" applyNumberFormat="1" applyBorder="1" applyAlignment="1">
      <alignment vertical="center"/>
    </xf>
    <xf numFmtId="14" fontId="0" fillId="0" borderId="16" xfId="0" applyNumberFormat="1" applyBorder="1" applyAlignment="1">
      <alignment vertical="center"/>
    </xf>
    <xf numFmtId="0" fontId="0" fillId="4" borderId="31" xfId="0" applyFill="1" applyBorder="1"/>
    <xf numFmtId="0" fontId="5" fillId="0" borderId="7" xfId="1" applyFill="1" applyBorder="1" applyAlignment="1">
      <alignment vertical="center"/>
    </xf>
    <xf numFmtId="1" fontId="0" fillId="0" borderId="29" xfId="0" applyNumberFormat="1" applyBorder="1" applyAlignment="1">
      <alignment horizontal="center" vertical="center"/>
    </xf>
    <xf numFmtId="0" fontId="0" fillId="0" borderId="7" xfId="0" applyBorder="1" applyAlignment="1">
      <alignment horizontal="right" vertical="center"/>
    </xf>
    <xf numFmtId="15" fontId="0" fillId="0" borderId="7" xfId="0" applyNumberFormat="1" applyBorder="1" applyAlignment="1">
      <alignment horizontal="right" vertical="center"/>
    </xf>
    <xf numFmtId="0" fontId="0" fillId="0" borderId="7" xfId="0" applyBorder="1" applyAlignment="1">
      <alignment horizontal="left" vertical="top"/>
    </xf>
    <xf numFmtId="0" fontId="0" fillId="0" borderId="21" xfId="0" applyBorder="1" applyAlignment="1">
      <alignment vertical="top"/>
    </xf>
    <xf numFmtId="0" fontId="0" fillId="0" borderId="29" xfId="0" applyBorder="1" applyAlignment="1">
      <alignment vertical="center"/>
    </xf>
    <xf numFmtId="0" fontId="0" fillId="0" borderId="50" xfId="0" applyBorder="1" applyAlignment="1">
      <alignment vertical="center"/>
    </xf>
    <xf numFmtId="0" fontId="0" fillId="0" borderId="51" xfId="0" applyBorder="1" applyAlignment="1">
      <alignment vertical="center"/>
    </xf>
    <xf numFmtId="15" fontId="0" fillId="0" borderId="29" xfId="0" applyNumberFormat="1" applyBorder="1" applyAlignment="1">
      <alignment vertical="center"/>
    </xf>
    <xf numFmtId="15" fontId="5" fillId="0" borderId="51" xfId="1" applyNumberFormat="1" applyFill="1" applyBorder="1" applyAlignment="1">
      <alignment vertical="center"/>
    </xf>
    <xf numFmtId="15" fontId="0" fillId="0" borderId="51" xfId="0" applyNumberFormat="1" applyBorder="1" applyAlignment="1">
      <alignment vertical="center"/>
    </xf>
    <xf numFmtId="15" fontId="0" fillId="0" borderId="52" xfId="0" applyNumberFormat="1" applyBorder="1" applyAlignment="1">
      <alignment vertical="center"/>
    </xf>
    <xf numFmtId="15" fontId="0" fillId="0" borderId="29" xfId="0" applyNumberFormat="1" applyBorder="1" applyAlignment="1">
      <alignment horizontal="center" vertical="center"/>
    </xf>
    <xf numFmtId="0" fontId="5" fillId="0" borderId="7" xfId="1" applyBorder="1" applyAlignment="1"/>
    <xf numFmtId="0" fontId="5" fillId="0" borderId="16" xfId="1" applyFill="1" applyBorder="1" applyAlignment="1">
      <alignment vertical="center"/>
    </xf>
    <xf numFmtId="15" fontId="5" fillId="0" borderId="7" xfId="1" applyNumberFormat="1" applyBorder="1" applyAlignment="1">
      <alignment vertical="center"/>
    </xf>
    <xf numFmtId="0" fontId="0" fillId="17" borderId="31" xfId="0" applyFill="1" applyBorder="1"/>
    <xf numFmtId="0" fontId="21" fillId="18" borderId="53" xfId="0" applyFont="1" applyFill="1" applyBorder="1" applyAlignment="1">
      <alignment wrapText="1"/>
    </xf>
    <xf numFmtId="0" fontId="21" fillId="19" borderId="35" xfId="0" applyFont="1" applyFill="1" applyBorder="1" applyAlignment="1">
      <alignment wrapText="1"/>
    </xf>
    <xf numFmtId="0" fontId="21" fillId="20" borderId="35" xfId="0" applyFont="1" applyFill="1" applyBorder="1"/>
    <xf numFmtId="0" fontId="21" fillId="21" borderId="54" xfId="0" applyFont="1" applyFill="1" applyBorder="1"/>
    <xf numFmtId="0" fontId="0" fillId="0" borderId="31" xfId="0" applyBorder="1" applyAlignment="1">
      <alignment horizontal="center"/>
    </xf>
    <xf numFmtId="0" fontId="0" fillId="0" borderId="1" xfId="0" applyBorder="1" applyAlignment="1">
      <alignment vertical="center" wrapText="1"/>
    </xf>
    <xf numFmtId="15" fontId="0" fillId="16" borderId="7" xfId="0" applyNumberFormat="1" applyFill="1" applyBorder="1" applyAlignment="1">
      <alignment vertical="center"/>
    </xf>
    <xf numFmtId="0" fontId="6" fillId="0" borderId="7" xfId="0" applyFont="1" applyBorder="1" applyAlignment="1">
      <alignment horizontal="center" vertical="center"/>
    </xf>
    <xf numFmtId="0" fontId="5" fillId="0" borderId="8" xfId="1" applyFill="1" applyBorder="1" applyAlignment="1">
      <alignment vertical="center"/>
    </xf>
    <xf numFmtId="15" fontId="0" fillId="0" borderId="10" xfId="0" applyNumberFormat="1" applyBorder="1" applyAlignment="1">
      <alignment vertical="center"/>
    </xf>
    <xf numFmtId="0" fontId="5" fillId="0" borderId="16" xfId="1" applyBorder="1" applyAlignment="1"/>
    <xf numFmtId="15" fontId="5" fillId="0" borderId="0" xfId="1" applyNumberFormat="1" applyFill="1" applyBorder="1" applyAlignment="1">
      <alignment vertical="center"/>
    </xf>
    <xf numFmtId="0" fontId="6" fillId="0" borderId="8" xfId="0" applyFont="1" applyBorder="1" applyAlignment="1">
      <alignment vertical="center"/>
    </xf>
    <xf numFmtId="0" fontId="5" fillId="0" borderId="16" xfId="1" applyBorder="1" applyAlignment="1">
      <alignment vertical="center"/>
    </xf>
    <xf numFmtId="1" fontId="4" fillId="0" borderId="7" xfId="0" applyNumberFormat="1" applyFont="1" applyBorder="1" applyAlignment="1">
      <alignment horizontal="center" vertical="center"/>
    </xf>
    <xf numFmtId="1" fontId="0" fillId="0" borderId="28" xfId="0" applyNumberFormat="1" applyBorder="1" applyAlignment="1">
      <alignment horizontal="center" vertical="center"/>
    </xf>
    <xf numFmtId="0" fontId="0" fillId="0" borderId="49" xfId="0" applyBorder="1" applyAlignment="1">
      <alignment vertical="center"/>
    </xf>
    <xf numFmtId="15" fontId="7" fillId="0" borderId="7" xfId="0" applyNumberFormat="1" applyFont="1" applyBorder="1" applyAlignment="1">
      <alignment vertical="center"/>
    </xf>
    <xf numFmtId="0" fontId="6" fillId="0" borderId="21" xfId="0" applyFont="1" applyBorder="1" applyAlignment="1">
      <alignment vertical="center"/>
    </xf>
    <xf numFmtId="16" fontId="0" fillId="0" borderId="16" xfId="0" applyNumberFormat="1" applyBorder="1" applyAlignment="1">
      <alignment vertical="center"/>
    </xf>
    <xf numFmtId="0" fontId="0" fillId="16" borderId="58" xfId="0" applyFill="1" applyBorder="1" applyAlignment="1">
      <alignment vertical="center"/>
    </xf>
    <xf numFmtId="0" fontId="0" fillId="0" borderId="58" xfId="0" applyBorder="1" applyAlignment="1">
      <alignment vertical="center"/>
    </xf>
    <xf numFmtId="0" fontId="0" fillId="11" borderId="9" xfId="0" applyFill="1" applyBorder="1" applyAlignment="1">
      <alignment vertical="center"/>
    </xf>
    <xf numFmtId="0" fontId="0" fillId="0" borderId="9" xfId="0" applyBorder="1" applyAlignment="1">
      <alignment vertical="top"/>
    </xf>
    <xf numFmtId="0" fontId="6" fillId="0" borderId="9" xfId="0" applyFont="1" applyBorder="1" applyAlignment="1">
      <alignment vertical="center"/>
    </xf>
    <xf numFmtId="0" fontId="6" fillId="0" borderId="35" xfId="0" applyFont="1" applyBorder="1" applyAlignment="1">
      <alignment wrapText="1"/>
    </xf>
    <xf numFmtId="15" fontId="0" fillId="13" borderId="16" xfId="0" applyNumberFormat="1" applyFill="1" applyBorder="1" applyAlignment="1">
      <alignment vertical="center"/>
    </xf>
    <xf numFmtId="0" fontId="0" fillId="0" borderId="41" xfId="0" applyBorder="1" applyAlignment="1">
      <alignment vertical="center"/>
    </xf>
    <xf numFmtId="0" fontId="0" fillId="13" borderId="21" xfId="0" applyFill="1" applyBorder="1" applyAlignment="1">
      <alignment vertical="center"/>
    </xf>
    <xf numFmtId="0" fontId="6" fillId="0" borderId="0" xfId="0" applyFont="1"/>
    <xf numFmtId="0" fontId="6" fillId="0" borderId="53" xfId="0" applyFont="1" applyBorder="1" applyAlignment="1">
      <alignment wrapText="1"/>
    </xf>
    <xf numFmtId="0" fontId="6" fillId="0" borderId="54" xfId="0" applyFont="1" applyBorder="1"/>
    <xf numFmtId="0" fontId="6" fillId="24" borderId="35" xfId="0" applyFont="1" applyFill="1" applyBorder="1" applyAlignment="1">
      <alignment wrapText="1"/>
    </xf>
    <xf numFmtId="0" fontId="6" fillId="0" borderId="56" xfId="0" applyFont="1" applyBorder="1" applyAlignment="1">
      <alignment wrapText="1"/>
    </xf>
    <xf numFmtId="0" fontId="6" fillId="0" borderId="57" xfId="0" applyFont="1" applyBorder="1"/>
    <xf numFmtId="0" fontId="0" fillId="0" borderId="60" xfId="0" applyBorder="1" applyAlignment="1">
      <alignment vertical="center"/>
    </xf>
    <xf numFmtId="0" fontId="0" fillId="0" borderId="61" xfId="0" applyBorder="1" applyAlignment="1">
      <alignment vertical="center"/>
    </xf>
    <xf numFmtId="0" fontId="0" fillId="0" borderId="62" xfId="0" applyBorder="1" applyAlignment="1">
      <alignment vertical="center"/>
    </xf>
    <xf numFmtId="0" fontId="0" fillId="0" borderId="63" xfId="0" applyBorder="1" applyAlignment="1">
      <alignment vertical="center"/>
    </xf>
    <xf numFmtId="15" fontId="0" fillId="0" borderId="60" xfId="0" applyNumberFormat="1" applyBorder="1" applyAlignment="1">
      <alignment vertical="center"/>
    </xf>
    <xf numFmtId="15" fontId="0" fillId="0" borderId="61" xfId="0" applyNumberFormat="1" applyBorder="1" applyAlignment="1">
      <alignment vertical="center"/>
    </xf>
    <xf numFmtId="15" fontId="5" fillId="0" borderId="63" xfId="1" applyNumberFormat="1" applyFill="1" applyBorder="1" applyAlignment="1">
      <alignment vertical="center"/>
    </xf>
    <xf numFmtId="176" fontId="0" fillId="0" borderId="33" xfId="0" applyNumberFormat="1" applyBorder="1" applyAlignment="1">
      <alignment vertical="center"/>
    </xf>
    <xf numFmtId="176" fontId="0" fillId="0" borderId="1" xfId="0" applyNumberFormat="1" applyBorder="1" applyAlignment="1">
      <alignment vertical="center"/>
    </xf>
    <xf numFmtId="176" fontId="0" fillId="0" borderId="15" xfId="0" applyNumberFormat="1" applyBorder="1" applyAlignment="1">
      <alignment vertical="center"/>
    </xf>
    <xf numFmtId="1" fontId="0" fillId="0" borderId="60" xfId="0" applyNumberFormat="1" applyBorder="1" applyAlignment="1">
      <alignment horizontal="center" vertical="center"/>
    </xf>
    <xf numFmtId="1" fontId="0" fillId="0" borderId="61" xfId="0" applyNumberFormat="1" applyBorder="1" applyAlignment="1">
      <alignment horizontal="center" vertical="center"/>
    </xf>
    <xf numFmtId="0" fontId="0" fillId="0" borderId="66" xfId="0" applyBorder="1" applyAlignment="1">
      <alignment vertical="center"/>
    </xf>
    <xf numFmtId="0" fontId="0" fillId="0" borderId="67" xfId="0" applyBorder="1" applyAlignment="1">
      <alignment vertical="center"/>
    </xf>
    <xf numFmtId="0" fontId="0" fillId="0" borderId="68" xfId="0" applyBorder="1" applyAlignment="1">
      <alignment vertical="center"/>
    </xf>
    <xf numFmtId="0" fontId="0" fillId="0" borderId="69" xfId="0" applyBorder="1" applyAlignment="1">
      <alignment vertical="center"/>
    </xf>
    <xf numFmtId="0" fontId="0" fillId="26" borderId="31" xfId="0" applyFill="1" applyBorder="1"/>
    <xf numFmtId="176" fontId="0" fillId="0" borderId="7" xfId="0" applyNumberFormat="1" applyBorder="1" applyAlignment="1">
      <alignment vertical="center"/>
    </xf>
    <xf numFmtId="176" fontId="0" fillId="0" borderId="41" xfId="0" applyNumberFormat="1" applyBorder="1" applyAlignment="1">
      <alignment vertical="center"/>
    </xf>
    <xf numFmtId="176" fontId="0" fillId="0" borderId="7" xfId="0" applyNumberFormat="1" applyBorder="1" applyAlignment="1">
      <alignment horizontal="center" vertical="center"/>
    </xf>
    <xf numFmtId="176" fontId="0" fillId="0" borderId="16" xfId="0" applyNumberFormat="1" applyBorder="1" applyAlignment="1">
      <alignment vertical="center"/>
    </xf>
    <xf numFmtId="15" fontId="0" fillId="0" borderId="63" xfId="0" applyNumberFormat="1" applyBorder="1" applyAlignment="1">
      <alignment vertical="center"/>
    </xf>
    <xf numFmtId="0" fontId="0" fillId="0" borderId="59" xfId="0" applyBorder="1"/>
    <xf numFmtId="176" fontId="0" fillId="0" borderId="29" xfId="0" applyNumberFormat="1" applyBorder="1" applyAlignment="1">
      <alignment vertical="center"/>
    </xf>
    <xf numFmtId="176" fontId="0" fillId="0" borderId="29" xfId="0" applyNumberFormat="1" applyBorder="1" applyAlignment="1">
      <alignment horizontal="center" vertical="center"/>
    </xf>
    <xf numFmtId="176" fontId="0" fillId="0" borderId="52" xfId="0" applyNumberFormat="1" applyBorder="1" applyAlignment="1">
      <alignment vertical="center"/>
    </xf>
    <xf numFmtId="0" fontId="0" fillId="0" borderId="0" xfId="0" applyAlignment="1">
      <alignment wrapText="1"/>
    </xf>
    <xf numFmtId="0" fontId="0" fillId="0" borderId="0" xfId="0" applyAlignment="1">
      <alignment vertical="top"/>
    </xf>
    <xf numFmtId="0" fontId="0" fillId="0" borderId="71" xfId="0" applyBorder="1" applyAlignment="1">
      <alignment vertical="center"/>
    </xf>
    <xf numFmtId="0" fontId="0" fillId="26" borderId="1" xfId="0" applyFill="1" applyBorder="1"/>
    <xf numFmtId="0" fontId="0" fillId="17" borderId="1" xfId="0" applyFill="1" applyBorder="1"/>
    <xf numFmtId="0" fontId="0" fillId="4" borderId="31" xfId="0" applyFill="1" applyBorder="1" applyAlignment="1">
      <alignment vertical="center"/>
    </xf>
    <xf numFmtId="0" fontId="0" fillId="0" borderId="31" xfId="0" applyBorder="1" applyAlignment="1">
      <alignment vertical="center"/>
    </xf>
    <xf numFmtId="15" fontId="0" fillId="0" borderId="31" xfId="0" applyNumberFormat="1" applyBorder="1" applyAlignment="1">
      <alignment vertical="center"/>
    </xf>
    <xf numFmtId="0" fontId="23" fillId="15" borderId="0" xfId="0" applyFont="1" applyFill="1" applyAlignment="1">
      <alignment vertical="top" wrapText="1"/>
    </xf>
    <xf numFmtId="0" fontId="24" fillId="0" borderId="1" xfId="0" applyFont="1" applyBorder="1"/>
    <xf numFmtId="0" fontId="0" fillId="17" borderId="29" xfId="0" applyFill="1" applyBorder="1"/>
    <xf numFmtId="15" fontId="0" fillId="0" borderId="58" xfId="0" applyNumberFormat="1" applyBorder="1" applyAlignment="1">
      <alignment vertical="center"/>
    </xf>
    <xf numFmtId="0" fontId="0" fillId="0" borderId="1" xfId="0" applyBorder="1"/>
    <xf numFmtId="0" fontId="13" fillId="0" borderId="1" xfId="0" applyFont="1" applyBorder="1"/>
    <xf numFmtId="0" fontId="25" fillId="0" borderId="1" xfId="0" applyFont="1" applyBorder="1"/>
    <xf numFmtId="0" fontId="0" fillId="3" borderId="12" xfId="0" applyFill="1" applyBorder="1" applyAlignment="1">
      <alignment vertical="center"/>
    </xf>
    <xf numFmtId="0" fontId="0" fillId="3" borderId="0" xfId="0" applyFill="1" applyAlignment="1">
      <alignment vertical="center" wrapText="1"/>
    </xf>
    <xf numFmtId="0" fontId="0" fillId="0" borderId="74" xfId="0" applyBorder="1" applyAlignment="1">
      <alignment vertical="center"/>
    </xf>
    <xf numFmtId="0" fontId="26" fillId="0" borderId="0" xfId="0" applyFont="1"/>
    <xf numFmtId="0" fontId="29" fillId="13" borderId="0" xfId="0" applyFont="1" applyFill="1"/>
    <xf numFmtId="0" fontId="2" fillId="13" borderId="0" xfId="0" applyFont="1" applyFill="1"/>
    <xf numFmtId="0" fontId="30" fillId="0" borderId="31" xfId="0" applyFont="1" applyBorder="1" applyAlignment="1">
      <alignment horizontal="center"/>
    </xf>
    <xf numFmtId="0" fontId="31" fillId="0" borderId="31" xfId="0" applyFont="1" applyBorder="1" applyAlignment="1">
      <alignment horizontal="center"/>
    </xf>
    <xf numFmtId="0" fontId="32" fillId="0" borderId="31" xfId="0" applyFont="1" applyBorder="1" applyAlignment="1">
      <alignment horizontal="center"/>
    </xf>
    <xf numFmtId="0" fontId="33" fillId="0" borderId="31" xfId="0" applyFont="1" applyBorder="1" applyAlignment="1">
      <alignment horizontal="center"/>
    </xf>
    <xf numFmtId="0" fontId="34" fillId="0" borderId="31" xfId="0" applyFont="1" applyBorder="1" applyAlignment="1">
      <alignment horizontal="center"/>
    </xf>
    <xf numFmtId="0" fontId="35" fillId="0" borderId="31" xfId="0" applyFont="1" applyBorder="1" applyAlignment="1">
      <alignment horizontal="center"/>
    </xf>
    <xf numFmtId="0" fontId="36" fillId="0" borderId="59" xfId="0" applyFont="1" applyBorder="1"/>
    <xf numFmtId="0" fontId="6" fillId="0" borderId="55" xfId="0" applyFont="1" applyBorder="1" applyAlignment="1">
      <alignment wrapText="1"/>
    </xf>
    <xf numFmtId="15" fontId="12" fillId="0" borderId="7" xfId="0" applyNumberFormat="1" applyFont="1" applyBorder="1"/>
    <xf numFmtId="0" fontId="14" fillId="0" borderId="7" xfId="0" applyFont="1" applyBorder="1"/>
    <xf numFmtId="0" fontId="6" fillId="0" borderId="7" xfId="0" applyFont="1" applyBorder="1"/>
    <xf numFmtId="0" fontId="13" fillId="0" borderId="7" xfId="0" applyFont="1" applyBorder="1"/>
    <xf numFmtId="0" fontId="0" fillId="0" borderId="7" xfId="0" applyBorder="1"/>
    <xf numFmtId="1" fontId="0" fillId="0" borderId="31" xfId="0" applyNumberFormat="1" applyBorder="1" applyAlignment="1">
      <alignment horizontal="center" vertical="center"/>
    </xf>
    <xf numFmtId="16" fontId="0" fillId="0" borderId="1" xfId="0" applyNumberFormat="1" applyBorder="1" applyAlignment="1">
      <alignment vertical="center"/>
    </xf>
    <xf numFmtId="0" fontId="6" fillId="12" borderId="7" xfId="0" applyFont="1" applyFill="1" applyBorder="1"/>
    <xf numFmtId="0" fontId="0" fillId="0" borderId="36" xfId="0" applyBorder="1" applyAlignment="1">
      <alignment vertical="center"/>
    </xf>
    <xf numFmtId="14" fontId="14" fillId="0" borderId="7" xfId="0" applyNumberFormat="1" applyFont="1" applyBorder="1"/>
    <xf numFmtId="15" fontId="6" fillId="0" borderId="7" xfId="0" applyNumberFormat="1" applyFont="1" applyBorder="1"/>
    <xf numFmtId="15" fontId="20" fillId="0" borderId="7" xfId="0" applyNumberFormat="1" applyFont="1" applyBorder="1"/>
    <xf numFmtId="15" fontId="20" fillId="0" borderId="7" xfId="0" applyNumberFormat="1" applyFont="1" applyBorder="1" applyAlignment="1">
      <alignment vertical="center"/>
    </xf>
    <xf numFmtId="0" fontId="20" fillId="0" borderId="7" xfId="0" applyFont="1" applyBorder="1"/>
    <xf numFmtId="176" fontId="0" fillId="0" borderId="42" xfId="0" applyNumberFormat="1" applyBorder="1" applyAlignment="1">
      <alignment vertical="center"/>
    </xf>
    <xf numFmtId="0" fontId="37" fillId="0" borderId="1" xfId="0" applyFont="1" applyBorder="1"/>
    <xf numFmtId="0" fontId="26" fillId="0" borderId="1" xfId="0" applyFont="1" applyBorder="1"/>
    <xf numFmtId="0" fontId="0" fillId="0" borderId="53" xfId="0" applyBorder="1"/>
    <xf numFmtId="0" fontId="0" fillId="0" borderId="35" xfId="0" applyBorder="1"/>
    <xf numFmtId="0" fontId="0" fillId="0" borderId="54" xfId="0" applyBorder="1"/>
    <xf numFmtId="0" fontId="6" fillId="0" borderId="0" xfId="0" applyFont="1" applyAlignment="1">
      <alignment wrapText="1"/>
    </xf>
    <xf numFmtId="0" fontId="27" fillId="0" borderId="56" xfId="0" applyFont="1" applyBorder="1" applyAlignment="1">
      <alignment wrapText="1"/>
    </xf>
    <xf numFmtId="176" fontId="0" fillId="0" borderId="30" xfId="0" applyNumberFormat="1" applyBorder="1" applyAlignment="1">
      <alignment vertical="center"/>
    </xf>
    <xf numFmtId="0" fontId="4" fillId="0" borderId="8" xfId="0" applyFont="1" applyBorder="1" applyAlignment="1">
      <alignment vertical="center"/>
    </xf>
    <xf numFmtId="0" fontId="5" fillId="0" borderId="16" xfId="1" applyBorder="1"/>
    <xf numFmtId="0" fontId="0" fillId="0" borderId="30" xfId="0" applyBorder="1" applyAlignment="1">
      <alignment vertical="center" wrapText="1"/>
    </xf>
    <xf numFmtId="0" fontId="0" fillId="0" borderId="7" xfId="0" applyBorder="1" applyAlignment="1">
      <alignment vertical="center" wrapText="1"/>
    </xf>
    <xf numFmtId="0" fontId="0" fillId="0" borderId="72" xfId="0" applyBorder="1" applyAlignment="1">
      <alignment vertical="center"/>
    </xf>
    <xf numFmtId="0" fontId="0" fillId="0" borderId="73" xfId="0" applyBorder="1" applyAlignment="1">
      <alignment vertical="center"/>
    </xf>
    <xf numFmtId="0" fontId="6" fillId="0" borderId="30" xfId="0" applyFont="1" applyBorder="1"/>
    <xf numFmtId="0" fontId="4" fillId="0" borderId="6" xfId="0" applyFont="1" applyBorder="1" applyAlignment="1">
      <alignment vertical="center"/>
    </xf>
    <xf numFmtId="15" fontId="0" fillId="0" borderId="71" xfId="0" applyNumberFormat="1" applyBorder="1" applyAlignment="1">
      <alignment vertical="center"/>
    </xf>
    <xf numFmtId="176" fontId="0" fillId="0" borderId="31" xfId="0" applyNumberFormat="1" applyBorder="1" applyAlignment="1">
      <alignment vertical="center"/>
    </xf>
    <xf numFmtId="0" fontId="4" fillId="0" borderId="7" xfId="0" applyFont="1" applyBorder="1"/>
    <xf numFmtId="0" fontId="5" fillId="25" borderId="7" xfId="1" applyFill="1" applyBorder="1" applyAlignment="1"/>
    <xf numFmtId="15" fontId="5" fillId="0" borderId="0" xfId="1" applyNumberFormat="1" applyBorder="1" applyAlignment="1">
      <alignment vertical="center"/>
    </xf>
    <xf numFmtId="15" fontId="5" fillId="0" borderId="31" xfId="1" applyNumberFormat="1" applyFill="1" applyBorder="1" applyAlignment="1">
      <alignment vertical="center"/>
    </xf>
    <xf numFmtId="15" fontId="0" fillId="16" borderId="33" xfId="0" applyNumberFormat="1" applyFill="1" applyBorder="1" applyAlignment="1">
      <alignment vertical="center"/>
    </xf>
    <xf numFmtId="1" fontId="0" fillId="0" borderId="71" xfId="0" applyNumberFormat="1" applyBorder="1" applyAlignment="1">
      <alignment horizontal="center" vertical="center"/>
    </xf>
    <xf numFmtId="15" fontId="6" fillId="12" borderId="7" xfId="0" applyNumberFormat="1" applyFont="1" applyFill="1" applyBorder="1"/>
    <xf numFmtId="15" fontId="0" fillId="0" borderId="49" xfId="0" applyNumberFormat="1" applyBorder="1" applyAlignment="1">
      <alignment vertical="center"/>
    </xf>
    <xf numFmtId="0" fontId="2" fillId="6" borderId="24" xfId="0" applyFont="1" applyFill="1" applyBorder="1" applyAlignment="1">
      <alignment vertical="center"/>
    </xf>
    <xf numFmtId="0" fontId="21" fillId="20" borderId="35" xfId="0" applyFont="1" applyFill="1" applyBorder="1" applyAlignment="1">
      <alignment wrapText="1"/>
    </xf>
    <xf numFmtId="0" fontId="44" fillId="0" borderId="35" xfId="0" applyFont="1" applyBorder="1"/>
    <xf numFmtId="0" fontId="42" fillId="0" borderId="0" xfId="0" applyFont="1" applyAlignment="1">
      <alignment wrapText="1"/>
    </xf>
    <xf numFmtId="15" fontId="0" fillId="11" borderId="33" xfId="0" applyNumberFormat="1" applyFill="1" applyBorder="1" applyAlignment="1">
      <alignment vertical="center"/>
    </xf>
    <xf numFmtId="176" fontId="0" fillId="0" borderId="51" xfId="0" applyNumberFormat="1" applyBorder="1" applyAlignment="1">
      <alignment vertical="center"/>
    </xf>
    <xf numFmtId="0" fontId="13" fillId="0" borderId="7" xfId="0" applyFont="1" applyBorder="1" applyAlignment="1">
      <alignment horizontal="center" vertical="center"/>
    </xf>
    <xf numFmtId="176" fontId="0" fillId="16" borderId="41" xfId="0" applyNumberFormat="1" applyFill="1" applyBorder="1" applyAlignment="1">
      <alignment vertical="center"/>
    </xf>
    <xf numFmtId="0" fontId="0" fillId="16" borderId="7" xfId="0" applyFill="1" applyBorder="1" applyAlignment="1">
      <alignment vertical="center"/>
    </xf>
    <xf numFmtId="0" fontId="0" fillId="16" borderId="16" xfId="0" applyFill="1" applyBorder="1" applyAlignment="1">
      <alignment vertical="center"/>
    </xf>
    <xf numFmtId="0" fontId="5" fillId="16" borderId="16" xfId="1" applyFill="1" applyBorder="1" applyAlignment="1">
      <alignment vertical="center"/>
    </xf>
    <xf numFmtId="0" fontId="5" fillId="0" borderId="0" xfId="1" applyBorder="1" applyAlignment="1">
      <alignment vertical="center"/>
    </xf>
    <xf numFmtId="0" fontId="6" fillId="0" borderId="1" xfId="0" applyFont="1" applyBorder="1" applyAlignment="1">
      <alignment vertical="center"/>
    </xf>
    <xf numFmtId="0" fontId="6" fillId="0" borderId="15" xfId="0" applyFont="1" applyBorder="1" applyAlignment="1">
      <alignment vertical="center"/>
    </xf>
    <xf numFmtId="1" fontId="0" fillId="16" borderId="7" xfId="0" applyNumberFormat="1" applyFill="1" applyBorder="1" applyAlignment="1">
      <alignment horizontal="center" vertical="center"/>
    </xf>
    <xf numFmtId="15" fontId="0" fillId="13" borderId="7" xfId="0" applyNumberFormat="1" applyFill="1" applyBorder="1" applyAlignment="1">
      <alignment vertical="center"/>
    </xf>
    <xf numFmtId="15" fontId="0" fillId="0" borderId="1" xfId="0" applyNumberFormat="1" applyBorder="1" applyAlignment="1">
      <alignment horizontal="right" vertical="center"/>
    </xf>
    <xf numFmtId="176" fontId="0" fillId="0" borderId="71" xfId="0" applyNumberFormat="1" applyBorder="1" applyAlignment="1">
      <alignment vertical="center"/>
    </xf>
    <xf numFmtId="15" fontId="11" fillId="0" borderId="1" xfId="0" applyNumberFormat="1" applyFont="1" applyBorder="1" applyAlignment="1">
      <alignment vertical="center"/>
    </xf>
    <xf numFmtId="0" fontId="5" fillId="0" borderId="0" xfId="1" applyBorder="1" applyAlignment="1"/>
    <xf numFmtId="15" fontId="5" fillId="0" borderId="71" xfId="1" applyNumberFormat="1" applyFill="1" applyBorder="1" applyAlignment="1">
      <alignment vertical="center"/>
    </xf>
    <xf numFmtId="15" fontId="5" fillId="11" borderId="16" xfId="1" applyNumberFormat="1" applyFill="1" applyBorder="1" applyAlignment="1">
      <alignment vertical="center"/>
    </xf>
    <xf numFmtId="15" fontId="0" fillId="0" borderId="65" xfId="0" applyNumberFormat="1" applyBorder="1" applyAlignment="1">
      <alignment vertical="center"/>
    </xf>
    <xf numFmtId="0" fontId="0" fillId="0" borderId="47" xfId="0" applyBorder="1" applyAlignment="1">
      <alignment vertical="center"/>
    </xf>
    <xf numFmtId="0" fontId="0" fillId="0" borderId="6" xfId="0" applyBorder="1" applyAlignment="1">
      <alignment horizontal="center" vertical="center"/>
    </xf>
    <xf numFmtId="0" fontId="26" fillId="0" borderId="7" xfId="0" applyFont="1" applyBorder="1"/>
    <xf numFmtId="0" fontId="41" fillId="0" borderId="35" xfId="0" applyFont="1" applyBorder="1" applyAlignment="1">
      <alignment wrapText="1"/>
    </xf>
    <xf numFmtId="0" fontId="0" fillId="0" borderId="1" xfId="0" applyBorder="1" applyAlignment="1">
      <alignment vertical="top" wrapText="1"/>
    </xf>
    <xf numFmtId="0" fontId="45" fillId="18" borderId="35" xfId="0" applyFont="1" applyFill="1" applyBorder="1" applyAlignment="1">
      <alignment wrapText="1"/>
    </xf>
    <xf numFmtId="0" fontId="46" fillId="18" borderId="35" xfId="0" applyFont="1" applyFill="1" applyBorder="1" applyAlignment="1">
      <alignment wrapText="1"/>
    </xf>
    <xf numFmtId="0" fontId="2" fillId="27" borderId="0" xfId="0" applyFont="1" applyFill="1"/>
    <xf numFmtId="0" fontId="0" fillId="0" borderId="0" xfId="0" applyAlignment="1">
      <alignment horizontal="left"/>
    </xf>
    <xf numFmtId="0" fontId="7" fillId="0" borderId="0" xfId="0" applyFont="1" applyAlignment="1">
      <alignment wrapText="1"/>
    </xf>
    <xf numFmtId="176" fontId="0" fillId="0" borderId="7" xfId="0" applyNumberFormat="1" applyBorder="1" applyAlignment="1">
      <alignment horizontal="right" vertical="center"/>
    </xf>
    <xf numFmtId="15" fontId="5" fillId="0" borderId="16" xfId="1" applyNumberFormat="1" applyFill="1" applyBorder="1" applyAlignment="1">
      <alignment horizontal="right" vertical="center"/>
    </xf>
    <xf numFmtId="0" fontId="58" fillId="0" borderId="0" xfId="0" applyFont="1"/>
    <xf numFmtId="14" fontId="0" fillId="0" borderId="1" xfId="0" applyNumberFormat="1" applyBorder="1" applyAlignment="1">
      <alignment vertical="center"/>
    </xf>
    <xf numFmtId="176" fontId="0" fillId="0" borderId="0" xfId="0" applyNumberFormat="1" applyAlignment="1">
      <alignment vertical="center"/>
    </xf>
    <xf numFmtId="15" fontId="13" fillId="0" borderId="7" xfId="0" applyNumberFormat="1" applyFont="1" applyBorder="1" applyAlignment="1">
      <alignment vertical="center"/>
    </xf>
    <xf numFmtId="15" fontId="5" fillId="0" borderId="62" xfId="1" applyNumberFormat="1" applyFill="1" applyBorder="1" applyAlignment="1">
      <alignment vertical="center"/>
    </xf>
    <xf numFmtId="15" fontId="4" fillId="0" borderId="1" xfId="0" applyNumberFormat="1" applyFont="1" applyBorder="1" applyAlignment="1">
      <alignment vertical="center"/>
    </xf>
    <xf numFmtId="15" fontId="0" fillId="16" borderId="7" xfId="0" applyNumberFormat="1" applyFill="1" applyBorder="1" applyAlignment="1">
      <alignment vertical="top"/>
    </xf>
    <xf numFmtId="15" fontId="4" fillId="0" borderId="15" xfId="0" applyNumberFormat="1" applyFont="1" applyBorder="1" applyAlignment="1">
      <alignment vertical="center"/>
    </xf>
    <xf numFmtId="0" fontId="14" fillId="0" borderId="7" xfId="0" applyFont="1" applyBorder="1" applyAlignment="1">
      <alignment vertical="top"/>
    </xf>
    <xf numFmtId="0" fontId="15" fillId="0" borderId="7" xfId="0" applyFont="1" applyBorder="1"/>
    <xf numFmtId="0" fontId="0" fillId="13" borderId="7" xfId="0" applyFill="1" applyBorder="1" applyAlignment="1">
      <alignment vertical="center"/>
    </xf>
    <xf numFmtId="16" fontId="0" fillId="0" borderId="17" xfId="0" applyNumberFormat="1" applyBorder="1" applyAlignment="1">
      <alignment vertical="center"/>
    </xf>
    <xf numFmtId="15" fontId="5" fillId="0" borderId="21" xfId="1" applyNumberFormat="1" applyFill="1" applyBorder="1" applyAlignment="1">
      <alignment vertical="center"/>
    </xf>
    <xf numFmtId="0" fontId="5" fillId="0" borderId="9" xfId="1" applyNumberFormat="1" applyFill="1" applyBorder="1" applyAlignment="1">
      <alignment vertical="center"/>
    </xf>
    <xf numFmtId="0" fontId="5" fillId="0" borderId="0" xfId="1" applyBorder="1"/>
    <xf numFmtId="0" fontId="0" fillId="0" borderId="1" xfId="0" applyBorder="1" applyAlignment="1">
      <alignment horizontal="right" vertical="center"/>
    </xf>
    <xf numFmtId="0" fontId="5" fillId="0" borderId="51" xfId="1" applyBorder="1" applyAlignment="1">
      <alignment vertical="center"/>
    </xf>
    <xf numFmtId="0" fontId="5" fillId="0" borderId="31" xfId="1" applyBorder="1" applyAlignment="1">
      <alignment vertical="center"/>
    </xf>
    <xf numFmtId="15" fontId="0" fillId="0" borderId="9" xfId="0" applyNumberFormat="1" applyBorder="1" applyAlignment="1">
      <alignment vertical="center"/>
    </xf>
    <xf numFmtId="15" fontId="4" fillId="0" borderId="6" xfId="0" applyNumberFormat="1" applyFont="1" applyBorder="1" applyAlignment="1">
      <alignment vertical="center"/>
    </xf>
    <xf numFmtId="1" fontId="4" fillId="0" borderId="1" xfId="0" applyNumberFormat="1" applyFont="1" applyBorder="1" applyAlignment="1">
      <alignment horizontal="center" vertical="center"/>
    </xf>
    <xf numFmtId="15" fontId="12" fillId="0" borderId="1" xfId="0" applyNumberFormat="1" applyFont="1" applyBorder="1"/>
    <xf numFmtId="0" fontId="6" fillId="0" borderId="49" xfId="0" applyFont="1" applyBorder="1"/>
    <xf numFmtId="176" fontId="0" fillId="0" borderId="75" xfId="0" applyNumberFormat="1" applyBorder="1" applyAlignment="1">
      <alignment vertical="center"/>
    </xf>
    <xf numFmtId="15" fontId="3" fillId="0" borderId="17" xfId="0" applyNumberFormat="1" applyFont="1" applyBorder="1" applyAlignment="1">
      <alignment vertical="center"/>
    </xf>
    <xf numFmtId="14" fontId="0" fillId="0" borderId="17" xfId="0" applyNumberFormat="1" applyBorder="1" applyAlignment="1">
      <alignment vertical="center"/>
    </xf>
    <xf numFmtId="0" fontId="0" fillId="0" borderId="3" xfId="0" applyBorder="1" applyAlignment="1">
      <alignment horizontal="center" vertical="center"/>
    </xf>
    <xf numFmtId="14" fontId="4" fillId="0" borderId="6" xfId="0" applyNumberFormat="1" applyFont="1" applyBorder="1" applyAlignment="1">
      <alignment horizontal="center" vertical="center"/>
    </xf>
    <xf numFmtId="0" fontId="0" fillId="0" borderId="33" xfId="0" applyBorder="1" applyAlignment="1">
      <alignment vertical="center" wrapText="1"/>
    </xf>
    <xf numFmtId="0" fontId="0" fillId="16" borderId="30" xfId="0" applyFill="1" applyBorder="1" applyAlignment="1">
      <alignment vertical="center"/>
    </xf>
    <xf numFmtId="0" fontId="6" fillId="12" borderId="30" xfId="0" applyFont="1" applyFill="1" applyBorder="1"/>
    <xf numFmtId="0" fontId="14" fillId="0" borderId="0" xfId="0" applyFont="1"/>
    <xf numFmtId="0" fontId="4" fillId="0" borderId="0" xfId="0" applyFont="1"/>
    <xf numFmtId="0" fontId="4" fillId="0" borderId="0" xfId="1" applyFont="1" applyBorder="1" applyAlignment="1"/>
    <xf numFmtId="15" fontId="5" fillId="0" borderId="29" xfId="1" applyNumberFormat="1" applyFill="1" applyBorder="1" applyAlignment="1">
      <alignment vertical="center"/>
    </xf>
    <xf numFmtId="0" fontId="5" fillId="0" borderId="7" xfId="1" applyBorder="1" applyAlignment="1">
      <alignment vertical="center"/>
    </xf>
    <xf numFmtId="0" fontId="13" fillId="0" borderId="16" xfId="0" applyFont="1" applyBorder="1"/>
    <xf numFmtId="15" fontId="4" fillId="0" borderId="0" xfId="0" applyNumberFormat="1" applyFont="1" applyAlignment="1">
      <alignment vertical="center"/>
    </xf>
    <xf numFmtId="1" fontId="4" fillId="0" borderId="4" xfId="0" applyNumberFormat="1" applyFont="1" applyBorder="1" applyAlignment="1">
      <alignment horizontal="center" vertical="center"/>
    </xf>
    <xf numFmtId="1" fontId="0" fillId="0" borderId="6" xfId="0" applyNumberFormat="1" applyBorder="1" applyAlignment="1">
      <alignment horizontal="center" vertical="center"/>
    </xf>
    <xf numFmtId="0" fontId="6" fillId="12" borderId="0" xfId="0" applyFont="1" applyFill="1"/>
    <xf numFmtId="16" fontId="0" fillId="0" borderId="29" xfId="0" applyNumberFormat="1" applyBorder="1" applyAlignment="1">
      <alignment vertical="center"/>
    </xf>
    <xf numFmtId="0" fontId="6" fillId="12" borderId="29" xfId="0" applyFont="1" applyFill="1" applyBorder="1"/>
    <xf numFmtId="16" fontId="0" fillId="0" borderId="0" xfId="0" applyNumberFormat="1" applyAlignment="1">
      <alignment vertical="center"/>
    </xf>
    <xf numFmtId="0" fontId="7" fillId="0" borderId="7" xfId="0" applyFont="1" applyBorder="1" applyAlignment="1">
      <alignment vertical="center"/>
    </xf>
    <xf numFmtId="0" fontId="6" fillId="0" borderId="1" xfId="0" applyFont="1" applyBorder="1"/>
    <xf numFmtId="0" fontId="3" fillId="0" borderId="1" xfId="0" applyFont="1" applyBorder="1" applyAlignment="1">
      <alignment vertical="center"/>
    </xf>
    <xf numFmtId="0" fontId="0" fillId="0" borderId="0" xfId="0" applyAlignment="1">
      <alignment horizontal="right" vertical="center"/>
    </xf>
    <xf numFmtId="15" fontId="6" fillId="0" borderId="49" xfId="0" applyNumberFormat="1" applyFont="1" applyBorder="1"/>
    <xf numFmtId="15" fontId="3" fillId="0" borderId="1" xfId="0" applyNumberFormat="1" applyFont="1" applyBorder="1" applyAlignment="1">
      <alignment vertical="center"/>
    </xf>
    <xf numFmtId="14" fontId="0" fillId="0" borderId="0" xfId="0" applyNumberFormat="1" applyAlignment="1">
      <alignment vertical="center"/>
    </xf>
    <xf numFmtId="0" fontId="0" fillId="0" borderId="16" xfId="0" applyBorder="1" applyAlignment="1">
      <alignment horizontal="right" vertical="center"/>
    </xf>
    <xf numFmtId="15" fontId="0" fillId="0" borderId="62" xfId="0" applyNumberFormat="1" applyBorder="1" applyAlignment="1">
      <alignment vertical="center"/>
    </xf>
    <xf numFmtId="0" fontId="3" fillId="0" borderId="15" xfId="0" applyFont="1" applyBorder="1" applyAlignment="1">
      <alignment vertical="center"/>
    </xf>
    <xf numFmtId="0" fontId="3" fillId="0" borderId="2" xfId="0" applyFont="1" applyBorder="1" applyAlignment="1">
      <alignment vertical="center"/>
    </xf>
    <xf numFmtId="15" fontId="0" fillId="0" borderId="44" xfId="0" applyNumberFormat="1" applyBorder="1" applyAlignment="1">
      <alignment vertical="center"/>
    </xf>
    <xf numFmtId="176" fontId="0" fillId="0" borderId="70" xfId="0" applyNumberFormat="1" applyBorder="1" applyAlignment="1">
      <alignment vertical="center"/>
    </xf>
    <xf numFmtId="15" fontId="0" fillId="0" borderId="64" xfId="0" applyNumberFormat="1" applyBorder="1" applyAlignment="1">
      <alignment vertical="center"/>
    </xf>
    <xf numFmtId="15" fontId="0" fillId="16" borderId="41" xfId="0" applyNumberFormat="1" applyFill="1" applyBorder="1" applyAlignment="1">
      <alignment vertical="center"/>
    </xf>
    <xf numFmtId="15" fontId="6" fillId="0" borderId="42" xfId="0" applyNumberFormat="1" applyFont="1" applyBorder="1"/>
    <xf numFmtId="15" fontId="3" fillId="0" borderId="45" xfId="0" applyNumberFormat="1" applyFont="1" applyBorder="1" applyAlignment="1">
      <alignment vertical="center"/>
    </xf>
    <xf numFmtId="16" fontId="0" fillId="0" borderId="51" xfId="0" applyNumberFormat="1" applyBorder="1" applyAlignment="1">
      <alignment vertical="center"/>
    </xf>
    <xf numFmtId="0" fontId="0" fillId="0" borderId="65" xfId="0" applyBorder="1" applyAlignment="1">
      <alignment vertical="center"/>
    </xf>
    <xf numFmtId="15" fontId="0" fillId="0" borderId="61" xfId="0" applyNumberFormat="1" applyBorder="1" applyAlignment="1">
      <alignment horizontal="center" vertical="center"/>
    </xf>
    <xf numFmtId="15" fontId="0" fillId="0" borderId="60" xfId="0" applyNumberFormat="1" applyBorder="1" applyAlignment="1">
      <alignment horizontal="center" vertical="center"/>
    </xf>
    <xf numFmtId="15" fontId="0" fillId="28" borderId="7" xfId="0" applyNumberFormat="1" applyFill="1" applyBorder="1" applyAlignment="1">
      <alignment vertical="center"/>
    </xf>
    <xf numFmtId="176" fontId="5" fillId="0" borderId="7" xfId="1" applyNumberFormat="1" applyBorder="1" applyAlignment="1">
      <alignment vertical="center"/>
    </xf>
    <xf numFmtId="15" fontId="0" fillId="28" borderId="1" xfId="0" applyNumberFormat="1" applyFill="1" applyBorder="1" applyAlignment="1">
      <alignment vertical="center"/>
    </xf>
    <xf numFmtId="176" fontId="0" fillId="28" borderId="7" xfId="0" applyNumberFormat="1" applyFill="1" applyBorder="1" applyAlignment="1">
      <alignment vertical="center"/>
    </xf>
    <xf numFmtId="15" fontId="5" fillId="28" borderId="16" xfId="1" applyNumberFormat="1" applyFill="1" applyBorder="1" applyAlignment="1">
      <alignment vertical="center"/>
    </xf>
    <xf numFmtId="15" fontId="60" fillId="0" borderId="0" xfId="0" applyNumberFormat="1" applyFont="1"/>
    <xf numFmtId="0" fontId="41" fillId="0" borderId="54" xfId="0" applyFont="1" applyBorder="1"/>
    <xf numFmtId="0" fontId="44" fillId="0" borderId="0" xfId="0" applyFont="1"/>
    <xf numFmtId="0" fontId="44" fillId="0" borderId="53" xfId="0" applyFont="1" applyBorder="1"/>
    <xf numFmtId="0" fontId="41" fillId="0" borderId="53" xfId="0" applyFont="1" applyBorder="1" applyAlignment="1">
      <alignment wrapText="1"/>
    </xf>
    <xf numFmtId="0" fontId="41" fillId="24" borderId="35" xfId="0" applyFont="1" applyFill="1" applyBorder="1" applyAlignment="1">
      <alignment wrapText="1"/>
    </xf>
    <xf numFmtId="0" fontId="41" fillId="22" borderId="35" xfId="0" applyFont="1" applyFill="1" applyBorder="1"/>
    <xf numFmtId="0" fontId="52" fillId="0" borderId="35" xfId="0" applyFont="1" applyBorder="1" applyAlignment="1">
      <alignment wrapText="1"/>
    </xf>
    <xf numFmtId="0" fontId="41" fillId="23" borderId="35" xfId="0" applyFont="1" applyFill="1" applyBorder="1"/>
    <xf numFmtId="0" fontId="53" fillId="0" borderId="56" xfId="0" applyFont="1" applyBorder="1" applyAlignment="1">
      <alignment wrapText="1"/>
    </xf>
    <xf numFmtId="0" fontId="44" fillId="11" borderId="0" xfId="0" applyFont="1" applyFill="1"/>
    <xf numFmtId="0" fontId="41" fillId="0" borderId="0" xfId="0" applyFont="1" applyAlignment="1">
      <alignment wrapText="1"/>
    </xf>
    <xf numFmtId="0" fontId="53" fillId="0" borderId="0" xfId="0" applyFont="1" applyAlignment="1">
      <alignment wrapText="1"/>
    </xf>
    <xf numFmtId="0" fontId="47" fillId="0" borderId="35" xfId="0" applyFont="1" applyBorder="1" applyAlignment="1">
      <alignment wrapText="1"/>
    </xf>
    <xf numFmtId="0" fontId="61" fillId="0" borderId="35" xfId="0" applyFont="1" applyBorder="1" applyAlignment="1">
      <alignment wrapText="1"/>
    </xf>
    <xf numFmtId="0" fontId="54" fillId="0" borderId="35" xfId="0" applyFont="1" applyBorder="1" applyAlignment="1">
      <alignment wrapText="1"/>
    </xf>
    <xf numFmtId="0" fontId="28" fillId="0" borderId="35" xfId="0" applyFont="1" applyBorder="1" applyAlignment="1">
      <alignment wrapText="1"/>
    </xf>
    <xf numFmtId="0" fontId="53" fillId="0" borderId="35" xfId="0" applyFont="1" applyBorder="1" applyAlignment="1">
      <alignment wrapText="1"/>
    </xf>
    <xf numFmtId="0" fontId="47" fillId="0" borderId="35" xfId="0" applyFont="1" applyBorder="1"/>
    <xf numFmtId="0" fontId="6" fillId="0" borderId="35" xfId="0" applyFont="1" applyBorder="1"/>
    <xf numFmtId="0" fontId="53" fillId="0" borderId="35" xfId="0" applyFont="1" applyBorder="1"/>
    <xf numFmtId="0" fontId="55" fillId="0" borderId="35" xfId="0" applyFont="1" applyBorder="1"/>
    <xf numFmtId="0" fontId="40" fillId="0" borderId="35" xfId="0" applyFont="1" applyBorder="1"/>
    <xf numFmtId="0" fontId="42" fillId="0" borderId="35" xfId="0" applyFont="1" applyBorder="1" applyAlignment="1">
      <alignment wrapText="1"/>
    </xf>
    <xf numFmtId="0" fontId="56" fillId="0" borderId="35" xfId="0" applyFont="1" applyBorder="1" applyAlignment="1">
      <alignment wrapText="1"/>
    </xf>
    <xf numFmtId="0" fontId="43" fillId="0" borderId="0" xfId="0" applyFont="1"/>
    <xf numFmtId="0" fontId="48" fillId="0" borderId="35" xfId="0" applyFont="1" applyBorder="1" applyAlignment="1">
      <alignment wrapText="1"/>
    </xf>
    <xf numFmtId="0" fontId="68" fillId="0" borderId="0" xfId="0" applyFont="1"/>
    <xf numFmtId="15" fontId="5" fillId="0" borderId="15" xfId="1" applyNumberFormat="1" applyBorder="1" applyAlignment="1">
      <alignment vertical="center"/>
    </xf>
    <xf numFmtId="15" fontId="6" fillId="12" borderId="49" xfId="0" applyNumberFormat="1" applyFont="1" applyFill="1" applyBorder="1"/>
    <xf numFmtId="0" fontId="5" fillId="0" borderId="0" xfId="1"/>
    <xf numFmtId="15" fontId="26" fillId="0" borderId="7" xfId="0" applyNumberFormat="1" applyFont="1" applyBorder="1" applyAlignment="1">
      <alignment vertical="center"/>
    </xf>
    <xf numFmtId="0" fontId="27" fillId="0" borderId="35" xfId="0" applyFont="1" applyBorder="1" applyAlignment="1">
      <alignment wrapText="1"/>
    </xf>
    <xf numFmtId="0" fontId="30" fillId="0" borderId="1" xfId="0" applyFont="1" applyBorder="1"/>
    <xf numFmtId="0" fontId="26" fillId="0" borderId="0" xfId="0" applyFont="1" applyAlignment="1">
      <alignment wrapText="1"/>
    </xf>
    <xf numFmtId="0" fontId="43" fillId="0" borderId="35" xfId="0" applyFont="1" applyBorder="1"/>
    <xf numFmtId="0" fontId="1" fillId="0" borderId="35" xfId="0" applyFont="1" applyBorder="1"/>
    <xf numFmtId="0" fontId="0" fillId="17" borderId="0" xfId="0" applyFill="1"/>
    <xf numFmtId="0" fontId="0" fillId="0" borderId="31" xfId="0" applyBorder="1"/>
    <xf numFmtId="0" fontId="0" fillId="4" borderId="37" xfId="0" applyFill="1" applyBorder="1"/>
    <xf numFmtId="0" fontId="0" fillId="26" borderId="7" xfId="0" applyFill="1" applyBorder="1"/>
    <xf numFmtId="0" fontId="0" fillId="4" borderId="37" xfId="0" applyFill="1" applyBorder="1" applyAlignment="1">
      <alignment vertical="center"/>
    </xf>
    <xf numFmtId="0" fontId="0" fillId="26" borderId="31" xfId="0" applyFill="1" applyBorder="1" applyAlignment="1">
      <alignment wrapText="1"/>
    </xf>
    <xf numFmtId="0" fontId="0" fillId="26" borderId="37" xfId="0" applyFill="1" applyBorder="1"/>
    <xf numFmtId="15" fontId="1" fillId="0" borderId="0" xfId="0" applyNumberFormat="1" applyFont="1" applyAlignment="1">
      <alignment vertical="center"/>
    </xf>
    <xf numFmtId="0" fontId="4" fillId="0" borderId="0" xfId="0" applyFont="1" applyAlignment="1">
      <alignment wrapText="1"/>
    </xf>
    <xf numFmtId="0" fontId="27" fillId="0" borderId="0" xfId="0" applyFont="1" applyAlignment="1">
      <alignment wrapText="1"/>
    </xf>
    <xf numFmtId="0" fontId="5" fillId="0" borderId="0" xfId="1" applyAlignment="1">
      <alignment wrapText="1"/>
    </xf>
    <xf numFmtId="0" fontId="8" fillId="0" borderId="0" xfId="0" applyFont="1" applyAlignment="1">
      <alignment horizontal="center" wrapText="1"/>
    </xf>
    <xf numFmtId="0" fontId="58" fillId="0" borderId="0" xfId="0" applyFont="1" applyAlignment="1">
      <alignment horizontal="center"/>
    </xf>
    <xf numFmtId="0" fontId="2" fillId="0" borderId="0" xfId="0" applyFont="1" applyAlignment="1">
      <alignment horizontal="center"/>
    </xf>
  </cellXfs>
  <cellStyles count="2">
    <cellStyle name="Hyperlink" xfId="1" builtinId="8"/>
    <cellStyle name="Normal" xfId="0" builtinId="0"/>
  </cellStyles>
  <dxfs count="96">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border outline="0">
        <left style="thin">
          <color rgb="FF4472C4"/>
        </left>
        <right style="thin">
          <color rgb="FF4472C4"/>
        </right>
        <top style="thin">
          <color rgb="FF4472C4"/>
        </top>
        <bottom style="thin">
          <color rgb="FF4472C4"/>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numFmt numFmtId="176" formatCode="dd/mmm/yy"/>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76" formatCode="dd/mmm/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top style="thin">
          <color indexed="64"/>
        </top>
        <bottom/>
      </border>
    </dxf>
    <dxf>
      <numFmt numFmtId="0" formatCode="General"/>
      <alignment horizontal="general" vertical="center" textRotation="0" wrapText="0" indent="0" justifyLastLine="0" shrinkToFit="0" readingOrder="0"/>
      <border diagonalUp="0" diagonalDown="0" outline="0">
        <left style="thin">
          <color indexed="64"/>
        </left>
        <right/>
        <top style="thin">
          <color indexed="64"/>
        </top>
        <bottom/>
      </border>
    </dxf>
    <dxf>
      <alignment horizontal="general" vertical="center" textRotation="0" wrapText="0" indent="0" justifyLastLine="0" shrinkToFit="0" readingOrder="0"/>
      <border diagonalUp="0" diagonalDown="0" outline="0">
        <left style="thin">
          <color indexed="64"/>
        </left>
        <right/>
        <top style="thin">
          <color indexed="64"/>
        </top>
        <bottom/>
      </border>
    </dxf>
    <dxf>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top style="thin">
          <color indexed="64"/>
        </top>
        <bottom/>
      </border>
    </dxf>
    <dxf>
      <alignment horizontal="general" vertical="center" textRotation="0" wrapText="0" indent="0" justifyLastLine="0" shrinkToFit="0" readingOrder="0"/>
      <border diagonalUp="0" diagonalDown="0" outline="0">
        <left style="thin">
          <color indexed="64"/>
        </left>
        <right/>
        <top style="thin">
          <color indexed="64"/>
        </top>
        <bottom/>
      </border>
    </dxf>
    <dxf>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top style="thin">
          <color indexed="64"/>
        </top>
        <bottom/>
      </border>
    </dxf>
    <dxf>
      <alignment horizontal="general" vertical="center" textRotation="0" wrapText="0" indent="0" justifyLastLine="0" shrinkToFit="0" readingOrder="0"/>
      <border diagonalUp="0" diagonalDown="0" outline="0">
        <left style="thin">
          <color indexed="64"/>
        </left>
        <right/>
        <top style="thin">
          <color indexed="64"/>
        </top>
        <bottom/>
      </border>
    </dxf>
    <dxf>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top style="thin">
          <color indexed="64"/>
        </top>
        <bottom/>
      </border>
    </dxf>
    <dxf>
      <alignment horizontal="general" vertical="center" textRotation="0" wrapText="0" indent="0" justifyLastLine="0" shrinkToFit="0" readingOrder="0"/>
      <border diagonalUp="0" diagonalDown="0" outline="0">
        <left style="medium">
          <color indexed="64"/>
        </left>
        <right style="medium">
          <color indexed="64"/>
        </right>
        <top style="thin">
          <color indexed="64"/>
        </top>
        <bottom/>
      </border>
    </dxf>
    <dxf>
      <numFmt numFmtId="0" formatCode="Genera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border diagonalUp="0" diagonalDown="0" outline="0">
        <left style="medium">
          <color indexed="64"/>
        </left>
        <right style="medium">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medium">
          <color indexed="64"/>
        </left>
        <right style="medium">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medium">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medium">
          <color indexed="64"/>
        </right>
        <top style="thin">
          <color indexed="64"/>
        </top>
        <bottom/>
      </border>
    </dxf>
    <dxf>
      <numFmt numFmtId="176" formatCode="dd/mmm/yy"/>
      <alignment horizontal="general" vertical="center" textRotation="0" wrapText="0" indent="0" justifyLastLine="0" shrinkToFit="0" readingOrder="0"/>
      <border diagonalUp="0" diagonalDown="0" outline="0">
        <left style="thin">
          <color indexed="64"/>
        </left>
        <right style="thin">
          <color rgb="FF000000"/>
        </right>
        <top style="thin">
          <color indexed="64"/>
        </top>
        <bottom/>
      </border>
    </dxf>
    <dxf>
      <numFmt numFmtId="176" formatCode="dd/mmm/yy"/>
      <alignment horizontal="general" vertical="center" textRotation="0" wrapText="0" indent="0" justifyLastLine="0" shrinkToFit="0" readingOrder="0"/>
      <border diagonalUp="0" diagonalDown="0" outline="0">
        <left style="thin">
          <color indexed="64"/>
        </left>
        <right style="thin">
          <color rgb="FF000000"/>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medium">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medium">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76" formatCode="dd/mmm/yy"/>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76" formatCode="dd/mmm/yy"/>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medium">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medium">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76" formatCode="dd/mmm/yy"/>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76" formatCode="dd/mmm/yy"/>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76" formatCode="dd/mmm/yy"/>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77" formatCode="dd\-mmm\-yy"/>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6" formatCode="dd/mmm/yy"/>
      <alignment horizontal="general" vertical="center" textRotation="0" wrapText="0" indent="0" justifyLastLine="0" shrinkToFit="0" readingOrder="0"/>
      <border diagonalUp="0" diagonalDown="0" outline="0">
        <left style="thin">
          <color indexed="64"/>
        </left>
        <right style="medium">
          <color indexed="64"/>
        </right>
        <top style="thin">
          <color indexed="64"/>
        </top>
        <bottom/>
      </border>
    </dxf>
    <dxf>
      <numFmt numFmtId="176" formatCode="dd/mmm/yy"/>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medium">
          <color indexed="64"/>
        </right>
        <top style="thin">
          <color indexed="64"/>
        </top>
        <bottom style="thin">
          <color indexed="64"/>
        </bottom>
      </border>
    </dxf>
    <dxf>
      <numFmt numFmtId="176" formatCode="dd/mmm/yy"/>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76" formatCode="dd/mmm/yy"/>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6" formatCode="dd/mmm/yy"/>
      <alignment horizontal="general" vertical="center" textRotation="0" wrapText="0" indent="0" justifyLastLine="0" shrinkToFit="0" readingOrder="0"/>
      <border diagonalUp="0" diagonalDown="0" outline="0">
        <left style="medium">
          <color indexed="64"/>
        </left>
        <right style="thin">
          <color indexed="64"/>
        </right>
        <top style="thin">
          <color indexed="64"/>
        </top>
        <bottom/>
      </border>
    </dxf>
    <dxf>
      <numFmt numFmtId="176" formatCode="dd/mmm/yy"/>
      <fill>
        <patternFill patternType="none">
          <fgColor indexed="64"/>
          <bgColor auto="1"/>
        </patternFill>
      </fill>
      <alignment horizontal="general" vertical="center"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numFmt numFmtId="176" formatCode="dd/mmm/yy"/>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medium">
          <color indexed="64"/>
        </right>
        <top style="thin">
          <color indexed="64"/>
        </top>
        <bottom/>
      </border>
    </dxf>
    <dxf>
      <numFmt numFmtId="177" formatCode="dd\-mmm\-yy"/>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medium">
          <color indexed="64"/>
        </right>
        <top style="thin">
          <color indexed="64"/>
        </top>
        <bottom/>
      </border>
    </dxf>
    <dxf>
      <numFmt numFmtId="176" formatCode="dd/mmm/yy"/>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77" formatCode="dd\-mmm\-yy"/>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76" formatCode="dd/mmm/yy"/>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77" formatCode="dd\-mmm\-yy"/>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76" formatCode="dd/mmm/yy"/>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76" formatCode="dd/mmm/yy"/>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medium">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left style="thin">
          <color indexed="64"/>
        </left>
        <right style="medium">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medium">
          <color indexed="64"/>
        </right>
        <top style="thin">
          <color indexed="64"/>
        </top>
        <bottom/>
      </border>
    </dxf>
    <dxf>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77" formatCode="dd\-mmm\-yy"/>
      <alignment horizontal="general" vertical="center" textRotation="0" wrapText="0" indent="0" justifyLastLine="0" shrinkToFit="0" readingOrder="0"/>
      <border diagonalUp="0" diagonalDown="0" outline="0">
        <left style="thin">
          <color indexed="64"/>
        </left>
        <right/>
        <top style="thin">
          <color indexed="64"/>
        </top>
        <bottom/>
      </border>
    </dxf>
    <dxf>
      <font>
        <b/>
      </font>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medium">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9D00FF"/>
      <color rgb="FF30B030"/>
      <color rgb="FF60288B"/>
      <color rgb="FF58DBC5"/>
      <color rgb="FF941124"/>
      <color rgb="FF910909"/>
      <color rgb="FF6B0909"/>
      <color rgb="FF664404"/>
      <color rgb="FF0D6E1D"/>
      <color rgb="FF194F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documenttasks/documenttask1.xml><?xml version="1.0" encoding="utf-8"?>
<Tasks xmlns="http://schemas.microsoft.com/office/tasks/2019/documenttasks">
  <Task id="{938B4726-B663-4426-9AE6-925AA7D7A5CB}">
    <Anchor>
      <Comment id="{9BC98DD7-BB54-4B08-9E9A-81630BC2EAA4}"/>
    </Anchor>
    <History>
      <Event time="2022-09-14T10:02:37.10" id="{AC2BE5BF-D670-4B32-87BB-742441641B7B}">
        <Attribution userId="❲ﵬĀ猂燼ꯄ㥑ꍇ憀ﭠ燨Ţᐂ㯾Ȅ旎䡦钯٫堓ⳣҹꫝ琈䏯ꉠ忿歠ȁ︔л츂晥꽈殔ጆ̬㨀詏хꁆل濝Ńሚ銁Ɩꅍ橁禮ᗖᐃ꟣䲉䗿₋쩘뭕आ꟣䲉䗿₋쩘뭕आ᠝〔麵ꑍ䍍롏덙쀜ٰť鐀覧ｌ譅堠嗊ڻᤉ⠖調蓞ꪣ䨍ꢣ౒걷獰䙥漪䋈䛇뒺迢⯣꟣䲉䗿₋쩘뭕आᜤꌀ老䉈翺璠ỏǋ䒠翺뭀翺䟘翺Ọǋ䠐翺䈠翺䧸翺Ọǋ埐翺荀䞬ǋ擘翺뭀翺ﺐ翺翺ｐ翺뭀翺￠翺묘翺ࡸ翺췠翺㚐翺묘翺攠翺뭀翺晈翺췠翺晈翺췠翺晈翺췠翺ꐃ老翺Ѐ#.I㿿㿿II㾀㾀⣿ማƑ㒀茄,鶐翺1ꕬ老篙ǋ៍ǋā᝝ǋlags翻ȁād糨䧙[翈䧙[&#10;᝝ǋ粭ǋs翻䠂糨䧙[翈䧙[&#10;᝝ǋime翻௹ᢖ篪Ǜ糨䧙[翈䧙[᝝ǋꙞ老䒠翺뭀翺䟘翺切Ọǋ䠐翺䈠翺䧸翺ﮀỌǋ埐翺荀䞬ǋ壘翺캨翺擘翺뭀翺翺材ỏǋｐ翺뭀翺￠翺뭀翺ࡸ翺췠翺㚐翺묘翺잸翺⹀䞪ǋ攠翺뭀翺晈翺췠翺晈翺췠翺ꝡ老翺Ѐȵ簮k翿kk㾀㾀⣿√޲Ԁ茄翺缀翺꠰ѧǋ꼰ѧǋ隰ѧǋ麐ѧǋ냰ѧǋꠀ老埐翺瓐䞬ǋ릐翺ව刲ǋ맠翺ܰ刲ǋƘ翺挐篚ǋǘ翺畀翺Ԉ翺穰䞬ǋ詐翺탈翺誐翺캨翺跀翺窠䞬ǋ闀翺뭀翺陈翺묘翺隘翺翺鸠翺뭀翺겠翺膐ỏǋꗨ翺᝘翺꘰翺᝘翺ꥤ老XLDAPR㼀翺묘翺䴀翺뭀翺擘翺뭀翺跀翺绀䞬ǋ鐐翺묘翺翺酐塨ǋ翺뭀翺ࡸ翺췠翺凨翺론䞱ǋ翺璐翺晈翺췠翺눈翺쾀翺떠翺䰐䞪ǋ翺㧠䞪ǋ翺뭀翺ꨀ老ADcerStyleLight1/Eve䐀勛ǋꬠ老䒠翺뭀翺䟘翺눀Ọǋ䠐翺䈠翺䧸翺떐Ọǋ埐翺荀䞬ǋ壘翺캨翺擘翺뭀翺翺ⶐọǋｐ翺뭀翺￠翺뭀翺ࡸ翺췠翺㚐翺묘翺잸翺⹀䞪ǋ攠翺뭀翺晈翺췠翺晈翺췠翺가老劐䞣ǋ묘翺ী䞤ǋ큰翺㭈翺䱀䞪ǋ一翺巘ѧǋ秸翺묘翺穸翺地糉ǋ粘翺椰ỏǋ絀翺ࡰọǋ縰翺椰ỏǋ犐翺地糉ǋ狠翺旐ỏǋ猨翺뭀翺≀翺࣐ọǋ䉘翺嵠糉ǋ䌐翺쾀翺䑐翺嵠糉ǋ관老}&lt;resolutionId provider=&quot;AD&quot;&gt;&lt;localId O365id=&quot;S::selenicminetd@who.int::61df0fb2-4f1b-4442-9e45-f795767c5a16&quot;/&gt;&lt;/resolutionId&gt;글老଀箧ǋៀ箧ǋᚰ箧ǋ挮浯挀楴楶祴䌮V[؀Ӽǋ꽯老廠箦ǋৰ箧ǋ廠箦ǋ팀篙ǋ䆀䋔뀀老唐䝦ǋ뤰ថǋ뤰ថǋ㴰ឥǋ㏠映ǋ㱠映ǋ㼠映ǋ㎠映ǋ㟠映ǋ⮠映ǋ⪠映ǋ⮠映ǋ㟠映ǋ㎠映ǋ㼠映ǋ㱠映ǋ㏠映ǋ㴰ឥǋeCache\ae59534f-ec9f-404e-904a-f07cec1c281d_ADAL넠老䒠翺뭀翺䟘翺ﳐỌǋ䠐翺䈠翺䧸翺ːọǋ埐翺荀䞬ǋ壘翺큰翺擘翺뭀翺翺泀ỏǋｐ翺뭀翺￠翺뭀翺ࡸ翺췠翺㚐翺묘翺잸翺⹀䞪ǋ攠翺뭀翺晈翺췠翺晈翺췠翺&quot;}눀老BatchSyncStatusesToMatch [] - BatchSyncStatusesToIgnore [Finish,]ğ∀㩐翺㞐翺㩈翺대老翺Ѐ#.6㿿㿿66㾀㾀⣿ማƑ㒀茄,鶐翺듫老䒠翺뭀翺䟘翺Ọǋ䠐翺䈠翺䧸翺Ọǋ埐翺荀䞬ǋ壘翺캨翺擘翺뭀翺翺｠ǘǋﺐ翺翺ｐ翺뭀翺￠翺뭀翺ࡸ翺췠翺㚐翺묘翺攠翺뭀翺晈翺췠翺晈翺췠翺땧老䒠翺뭀翺䟘翺Ọǋ䠐翺䈠翺䧸翺Ọǋ埐翺荀䞬ǋ壘翺큰翺擘翺뭀翺翺쾰Тǋｐ翺뭀翺￠翺뭀翺ࡸ翺췠翺㚐翺묘翺잸翺⹀䞪ǋ攠翺뭀翺晈翺췠翺晈翺췠翺똀老︐ѥǋ肀㎐娟ǋ脀떰ʯǋ脀ʯǋ脀뤀ўǋ腀쏀ʯǋ脀Ꞡʯǋ脀띇老泫뛖㤘ᘎ翶ᘚ翶癸ᙷ翶Ă釈⎻翻癸ᙷ翶㾀癸ᙷ翶蓰ោǋ癸ᙷ翶Ꮀ箧ǋ렀老2025-02-10T18:32:12.3222908Z [state change] disconnecting -&gt; disconnected&#10;翺뭀翺晈翺췠翺눈翺爀ǘǋ됀翺娞ǋ떠翺䰐䞪ǋ뛀翺᝘翺뤀訁{&quot;DisplayName&quot;:&quot;KAASIK-AASLAV, Kaja&quot;,&quot;UserId&quot;:&quot;S::kaasikaaslavk@who.int::ae59534f-ec9f-404e-904a-f07cec1c281d&quot;,&quot;ProviderId&quot;:&quot;AD&quot;}먀老UrlHash:&lt;PII_SCRUBBED&gt;; ServerType:5; SupportedProtocols:87; Version:16; Flags:7; CobaltMajor:1; CobaltMinor:6; MsDavExt:1; Shar뭠老ৰ箧ǋ成箦ǋ臰箦ǋ저篙ǋ䋔স靖밀老㭈翺䱀䞪ǋ一翺䇘ѧǋ翺⼐ọǋ秸翺묘翺穀翺묘翺穸翺糉ǋ粘翺ꕐ晏ǋ絀翺븀Ọǋ縰翺ꕐ晏ǋ犐翺뾰Ọǋ狠翺ꖀ晏ǋ猨翺뭀翺≀翺쟰Ọǋ䉘翺럀嶥ǋ䌐翺쾀翺䑐翺럀嶥ǋ&quot;}뵡老䒠翺뭀翺䟘翺Ọǋ䠐翺䈠翺䧸翺Ọǋ埐翺荀䞬ǋ擘翺뭀翺翺ǘǋﺐ翺翺ｐ翺뭀翺￠翺뭀翺ࡸ翺췠翺㚐翺묘翺攠翺뭀翺晈翺췠翺晈翺췠翺븀老廠箦ǋ迀箦ǋ廠箦ǋR\SऀӼǋ-21-뼠老篙ǋālags翻ȁād絸䧙[聘䧙[&#10;粭ǋs翻䠃絸䧙[聘䧙[&#10;ime翻௹ᢖ篪Ǜ絸䧙[聘䧙[쀀老伯[&#10;://伯[;healthorg.sharepoint.com/sites/PublicHealthIntelligence/Shared%20Documents/Product_tracker/Products%20tracker_v6.xlsx셵老https://worldhealthorg.sharepoint.com/sites/PublicHealthIntelligence/Shared%20Documents/Product_tracker/Products%20tracker_v6.xlsx숈老UrlHash:&lt;PII_SCRUBBED&gt;; ServerType:5; SupportedProtocols:87; Version:16; Flags:7; CobaltMajor:1; CobaltMinor:6; MsDavExt:1; Sharsx쌀老UrlHash:&lt;PII_SCRUBBED&gt;; ServerType:5; SupportedProtocols:87; Version:16; Flags:7; CobaltMajor:1; CobaltMinor:6; MsDavExt:1; Shar&quot;}쒤老https://worldhealthorg.sharepoint.com/sites/publichealthintelligence/shared%20documents/product_tracker/products%20tracker_v6.xlsx앒老&amp;{4584FB82-79AD-43B7-95B1-608234F4FFB7}tes/PublicHealthIntelligence/Shared%20Documents/Product_tracker/Products%20tracker_v6.xlsx였老Ốǋ⸦ǘ翻Àいǘ翻ύ433Ốǋ⸦ǘ翻いǘ翻ύ&#10;95\Ốǋ⸦ǘ翻Pいǘ翻ύ&#10;ffiỐǋ⸦ǘ翻いǘ翻ύ&#10;xlsx윀老https://worldhealthorg.sharepoint.com/sites/PublicHealthIntelligence/Shared%20Documents/Product_tracker/Products%20tracker_v6.xlsx졧送\REGISTRY\USER\S-1-5-21-1446143339-2250552318-1255726049-239795\Software\Microsoft\Office\16.0\Excel\Security\Trusted Documents준老https://worldhealthorg.sharepoint.com:443/sites/PublicHealthIntelligence/_vti_bin/sharedaccess.asmxker/Products%20tracker_v6.lsx쩬老᝘ǋ+++++++++++++++++\þþþᖀ籖ǋ+,-.//012340M&lt;ࣴʓ&lt;&lt;&lt;ऀˏ˕˕˕ऊ쭠送26needs to be reopened prior to publication. EMS was reopened on 17 January.뤝ꠊǍ亚䶑䓅׽៩ct_evId[Ⓘ䶑䓅׽៩&#10;.xlsx찀老Ốǋ⸦ǘ翻Àいǘ翻ύỐǋỐǋ⸦ǘ翻いǘ翻ύ&#10;ȳǋỐǋ⸦ǘ翻Pいǘ翻ύ&#10;Ốǋ⸦ǘ翻いǘ翻ύ&#10;sx촀送㱐粭ǋ://㴐粭ǋhea褐ỏǋg.s蝠ỏǋoin谐ỏǋ/si覠ỏǋubl㎐粭ǋlth㙐粭ǋlig郀ỏǋSha袀ỏǋ0Do㼐粭ǋts/㓐粭ǋct_䀐粭ǋer/陠ៅǋcts鱐ៅǋack.xlsx츀老᝘ǋ+++++++++++++++++\þþþៀ籖ǋ5 !!6&quot;&quot;7#&quot;%&quot;N!!&quot;!!!!!!!&quot;&quot;6&quot;&quot;%!ँ%ˎ˔&amp;&amp;&amp;&amp;ऋ2}콵老牵潩ⴐ箧ǋⴐ箧ǋ꣰ἳǋ⴨箧ǋ⴨箧ǋ꘰䍔翻速ᰊਁᾐ퀀老https://worldhealthorg.sharepoint.com/sites/publichealthintelligence/shared%20documents/product_tracker/products%20tracker_v6.xlsx텬老ះ娥㽀䂂鷀䂄㴰䁷䓰䁻맰䁾苣ᅧဈﮩ⧕襁&#10;ᠥ̅맇Ƃքք툣老伯[://伯[healthorg.sharepoint.com/sites/PublicHealthIntelligence/Shared%20Documents/Product_tracker/Products%20tracker_v6.xlsx팀老牵潩ㅐ箧ǋㅐ箧ǋៅǋㅨ箧ǋㅨ箧ǋꙘ䍔翻ƻ퐀老伯[cr:伯[5871BA-05AD-42FB-AC43-EEA232D6E242}::kaasikaaslavk@who.int::ae59534f-ec9f-404e-904a-f07cec1c281d&quot;,&quot;ProviderId&quot;:&quot;AD&quot;}픀老Ốǋhareāoinlags翻āād쮘䧙[칸䧙[&#10;lig籝ǋs翻䤺쮘䧙[칸䧙[&#10;ct_ime翻䝫篪Ǜ쮘䧙[칸䧙[.xlsx혟老H쵋뤻悋踦褐酁顓衸✹髲腃吠㟫넉㐔꾞ꥊᨋ萟ꗷ孿偞鈱㙲셁࿥㢗 鞕쒙褯埆两溉願⾍뿞椑䓦⺻䲳ࢩ⍙抚湖∞卂Ȕఏᤖजᔃᴆ἟἟἟἟἟἟἟἟἟἟恞ꭩ፿߱휀老\REGISTRY\USER\S-1-5-21-1446143339-2250552318-1255726049-239795\Software\Policies\Microsoft\Office\16.0\Common\Toolbars\ExcelAD&quot;}老https://worldhealthorg.sharepoint.com/sites/PublicHealthIntelligence/Shared%20Documents/Product_tracker/Products%20tracker_v6.xlsx老UrlHash:&lt;PII_SCRUBBED&gt;; ServerType:5; SupportedProtocols:87; Version:16; Flags:7; CobaltMajor:1; CobaltMinor:6; MsDavExt:1; Sharsx鈁\REGISTRY\USER\S-1-5-21-1446143339-2250552318-1255726049-239795\Software\Microsoft\Office\16.0\Common\TargetedMessagingService䄁sx訁{&quot;DisplayName&quot;:&quot;KAASIK-AASLAV, Kaja&quot;,&quot;UserId&quot;:&quot;S::kaasikaaslavk@who.int::ae59534f-ec9f-404e-904a-f07cec1c281d&quot;,&quot;ProviderId&quot;:&quot;AD&quot;}老伯[&#10;ge伯[hareĂoinỐǋInteĂligỐǋProdĂct_rler_vĂ.xlsx老Ốǋhareāoinlags翻ȁād뾈䧙[쉨䧙[&#10;lig籝ǋs翻䤹뾈䧙[쉨䧙[&#10;ct_ime翻䝫篪Ǜ뾈䧙[쉨䧙[.xlsx送븰䞡ǋ쇐䞡ǋ蕠䞳ǋ⵰剼ǋ㠐剼ǋ蛰劰ǋ攠勝ǋൠ妥ǋᡠ妥ǋ咠勶ǋ靀塿ǋ◠旓ǋ炠筯ǋ焀筯ǋ焠昢ǋ讠筯ǋ䲠糭ǋĀ篭ǋӺǋΐӬǋϐӬǋᠰӬǋ㬀篹ǋ臰ӹǋ판Ӷǋọǋ⨀Ỏǋ⨀Ỏǋ⨀Ỏǋ瓀ԃǋ秀ọǋ老{&quot;DisplayName&quot;:&quot;KAASIK-AASLAV, Kaja&quot;,&quot;UserId&quot;:&quot;S::kaasikaaslavk@who.int::ae59534f-ec9f-404e-904a-f07cec1c281d&quot;,&quot;ProviderId&quot;:&quot;AD&quot;}老{&quot;DisplayName&quot;:&quot;KAASIK-AASLAV, Kaja&quot;,&quot;UserId&quot;:&quot;S::kaasikaaslavk@who.int::ae59534f-ec9f-404e-904a-f07cec1c281d&quot;,&quot;ProviderId&quot;:&quot;AD&quot;}@Malgun Gothic Semilight诛넕䜥ႉﺐ劽ǋ퀰簕ǋ타㑉Â䃀箧ǋ�￯ｿ뾍翝￟ngul﫡o鈀 啒啕枀糛ǋ䄐箧ǋɮ卋䵓Ā뚠簔ǋ献햮☯剼ｴ죄窭枓 쉹憟ងꆉﹽ饎饏熿ᖛ䫳鴾⍡額穛仜쉹憟ងꆉﹽ饎饏熿ᖛ䫳鴾⍡額穛仜䒢墰匦魯굛恷㐔ᇈൡ젛遟秮猷ε㷫귛趗﻽璮厦ᓙ枲ԑ衖ꎙ᠉䣣懧㯔扒ؿ跸⚈稜甮ኜ䆈㢒妁灱㡦䮥娴䶚惃锛䙋汍㍥臂⇹楜밑쇘놩兀蟂랖낲뚏藪崽ꐓ㑡ჼ梞촊銒䫈┄Ȳ墍뒽葲ㅗ镄谆쾋ʁ瘊䡉匎ꤠ捠ᶝⳊ㹝릎퍳࣊῿⺬痏鿀ຮ⋆脹獺ꗸ烒燊戩臌㣐贈♦樰녬筡봆辗巬Ψ퐲ዻ뾫Ặ違霊ᅑ౪ㆍ鸏꼞觞ᅓ␴교唿曕覼脄魠镴歒麓䍏⛀찓귪밃荥筹뎳谶漰ዜ撣砽肩௧⠝롓轜謪瀐⡺补ブ毧緬荲륃륍珚ꢴ뎴ꝁ㍹ｌㆳµ᢬缪鲨ꅯ쉹憟ងꆉﹽ饎饏熿䉐箧ǋ䌰箧ǋ㽣耀㹬頋Ā耀諾Ȁ鈀 啒啕匰糛ǋ䙐箧ǋɮ卋䵓Āᯠ篺ǋ 랟췍꾁ᮙ됡㩩晔㭓᱋慏蕮᭩퉏셤ṳ랟췍꾁ᮙ됡㩩晔㭓᱋慏蕮᭩퉏셤ṳ㣦躿靧锦⍆꽏䔒鐜犂䏓墺▣냚꺩䡛糪徬爲᪾퀬췢⟀镘ɣ▂謫ᨇŦ曭㥁긩⏿䠇鼧퇺੿펙⿽㔽ꓖ☯詴勤댵吝郊ᰚ陎΅䞴৺鐭☇ꄐ苑튻壏ᘈ䈕笰帏띊寳刉擓琎엃䰽쉾ᓲ푶（陣萸졬뎣ᢳ籠閤릣捻洫종秙ᳳ蛑誐˩䋼揣䥼༻ⷹ;뎥燈꼔훵꽑煘᰷볈사榲⾡泘撅ༀ鹜燳Ჱ벫癦ㆨﭪ춐䩼挋ժ䬤揘龎绳苭씬鴣贃ꡯ쫂᎙⟱ऴ裁伖⠯暲뇽ᴫ破थ堏穡㕌䟁믶퇋熸䘢ꃮ⦤駒箙짉鏸優鳑浃㶠躺ꫲꉫ叺韩텖澆㤼刽倛ᗨ晴诮༩㱩ꅱ青쥩䚟㖂芬㶻椧랟췍꾁ᮙ됡㩩晔㭓䞐箧ǋ䡰箧ǋ耀㹬㨀㨀㾀逸̀鈀 啒啕拐糛ǋ䣰箧ǋɮ卋䵓Ā먰簔ǋ 랟췍꾁ᮙ됡㩩晔㭓᱋慏蕮᭩퉏셤ṳ㾀랟췍꾁ᮙ됡㩩晔㭓᱋慏蕮᭩퉏셤ṳ㣦躿靧锦⍆꽏䔒鐜犂䏓墺▣냚꺩䡛糪徬爲᪾퀬췢⟀镘ɣ▂謫ᨇŦ曭㥁긩⏿䠇鼧퇺੿펙⿽㔽ꓖ☯詴勤댵吝郊ᰚ陎΅䞴৺鐭☇ꄐ苑튻壏ᘈ䈕笰帏띊寳刉擓琎엃䰽쉾ᓲ푶（陣萸졬뎣ᢳ籠閤릣捻洫종秙ᳳ蛑誐˩䋼揣䥼༻ⷹ;뎥燈꼔훵꽑煘᰷볈사榲⾡泘撅ༀ鹜燳Ჱ벫癦ㆨﭪ춐䩼挋ժ䬤揘龎绳苭씬鴣贃ꡯ쫂᎙⟱ऴ裁伖⠯暲뇽ᴫ破थ堏穡㕌䟁믶퇋熸䘢ꃮ⦤駒箙짉鏸優鳑浃㶠躺ꫲꉫ叺韩텖澆㤼刽倛ᗨ晴诮༩㱩ꅱ青쥩䚟㖂芬㶻椧랟췍꾁ᮙ됡㩩晔㭓䨰箧ǋ䬐箧ǋ㷋䀀㻾爫Ѐ鈀 啒啕魠Ὂǋ䮐箧ǋɮ卋䵓Ā꒰Ȅǋ꼑˄껻槐箜豞욋繗 ⸥曋぀褥芢旫げଠ刵瓩礠쫌⸥曋぀褥芢旫げଠ刵瓩礠쫌斒톿覩Ꭶ舮癍⍣⡃㗀究䄩͖该볫悂㕂腽㗎鋛럠誂뗼ꋁ耼섕䫰ざ顔Ԕᤩペ诲蜺潤鴂ᶿ㿃鶃岖㲕ᙦε눓ڡꬺ㙻⃈녁侬喁餮橂ҭ贶堻놣九佭렼䧌ጆ羷㏎컶籢覄뒁贩㦷픒蠔魏쮉䈨艅儮ﷲ拠㌄Ẃᴱﮗꦰ皾逇ꎬ᠓㣣㼯堡渁ꗓೡ雗ባ톱랗햹댎ႜࠜ翢矌긽꽨ᝨЭ騾竀ᨋ뵮쨉Јҙ씥묒潾릗ᦑ륕ꭅ赖续耵륦캐섭뾋꩛垧练愳ꃄ珡㐃햨ൣÅ冈Ⱇ硋焛歶ђ῰䆏ዒ铇ꙉ㥠売炣⧃崌ጽ餷媈ﳯ䗝ഢ핈뒛궧差多閭꼉奠꫷㫾쐻ᇮ質୿ὕ邕릹磯榎꽁졃쳍׾掞滌⸥曋぀褥芢旫䳐箧ǋ䶰箧ǋ勉Ԁ鈀 啒啕썰糚ǋ丰箧ǋɮ卋䵓Ā볐簔ǋ 랟췍꾁ᮙ됡㩩晔㭓᱋慏蕮᭩퉏셤ṳ랟췍꾁ᮙ됡㩩晔㭓᱋慏蕮᭩퉏셤ṳ㣦躿靧锦⍆꽏䔒鐜犂䏓墺▣냚꺩䡛糪徬爲᪾퀬췢⟀镘ɣ▂謫ᨇŦ曭㥁긩⏿䠇鼧퇺੿펙⿽㔽ꓖ☯詴勤댵吝郊ᰚ陎΅䞴৺鐭☇ꄐ苑튻壏ᘈ䈕笰帏띊寳刉擓琎엃䰽쉾ᓲ푶（陣萸졬뎣ᢳ籠閤릣捻洫종秙ᳳ蛑誐˩䋼揣䥼༻ⷹ;뎥燈꼔훵꽑煘᰷볈사榲⾡泘撅ༀ鹜燳Ჱ벫癦ㆨﭪ춐䩼挋ժ䬤揘龎绳苭씬鴣贃ꡯ쫂᎙⟱ऴ裁伖⠯暲뇽ᴫ破थ堏穡㕌䟁믶퇋熸䘢ꃮ⦤駒箙짉鏸優鳑浃㶠躺ꫲꉫ叺韩텖澆㤼刽倛ᗨ晴诮༩㱩ꅱ青쥩䚟㖂芬㶻椧랟췍꾁ᮙ됡㩩晔㭓佰箧ǋ偐箧ǋ㾀ﯥ؀鈀 啒啕❰糛ǋ僐箧ǋɮ卋䵓Ā瑠篺ǋ 랟췍꾁ᮙ됡㩩晔㭓᱋慏蕮᭩퉏셤ṳ㾀랟췍꾁ᮙ됡㩩晔㭓᱋慏蕮᭩퉏셤ṳ㣦躿靧锦⍆꽏䔒鐜犂䏓墺▣냚꺩䡛糪徬爲᪾퀬췢⟀镘ɣ▂謫ᨇŦ曭㥁긩⏿䠇鼧퇺੿펙⿽㔽ꓖ☯詴勤댵吝郊ᰚ陎΅䞴৺鐭☇ꄐ苑튻壏ᘈ䈕笰帏띊寳刉擓琎엃䰽쉾ᓲ푶（陣萸졬뎣ᢳ籠閤릣捻洫종秙ᳳ蛑誐˩䋼揣䥼༻ⷹ;뎥燈꼔훵꽑煘᰷볈사榲⾡泘撅ༀ鹜燳Ჱ벫癦ㆨﭪ춐䩼挋ժ䬤揘龎绳苭씬鴣贃ꡯ쫂᎙⟱ऴ裁伖⠯暲뇽ᴫ破थ堏穡㕌䟁믶퇋熸䘢ꃮ⦤駒箙짉鏸優鳑浃㶠躺ꫲꉫ叺韩텖澆㤼刽倛ᗨ晴诮༩㱩ꅱ青쥩䚟㖂芬㶻椧랟췍꾁ᮙ됡㩩晔㭓刐箧ǋ勰箧ǋ﯏܀鈀 啒啕岐糛ǋ印箧ǋɮ卋䵓Ā镠簕ǋ⨵啉큤뀌䓊䥘ଯ 쉹憟ងꆉﹽ饎饏熿ᖛ䫳鴾⍡額穛仜쉹憟ងꆉﹽ饎饏熿ᖛ䫳鴾⍡額穛仜䒢墰匦魯굛恷㐔ᇈൡ젛遟秮猷ε㷫귛趗﻽璮厦ᓙ枲ԑ衖ꎙ᠉䣣懧㯔扒ؿ跸⚈稜甮ኜ䆈㢒妁灱㡦䮥娴䶚惃锛䙋汍㍥臂⇹楜밑쇘놩兀蟂랖낲뚏藪崽ꐓ㑡ჼ梞촊銒䫈┄Ȳ墍뒽葲ㅗ镄谆쾋ʁ瘊䡉匎ꤠ捠ᶝⳊ㹝릎퍳࣊῿⺬痏鿀ຮ⋆脹獺ꗸ烒燊戩臌㣐贈♦樰녬筡봆辗巬Ψ퐲ዻ뾫Ặ違霊ᅑ౪ㆍ鸏꼞觞ᅓ␴교唿曕覼脄魠镴歒麓䍏⛀찓귪밃荥筹뎳谶漰ዜ撣砽肩௧⠝롓轜謪瀐⡺补ブ毧緬荲륃륍珚ꢴ뎴ꝁ㍹ｌㆳµ᢬缪鲨ꅯ쉹憟ងꆉﹽ饎饏熿咰箧ǋ喐箧ǋﮱࠀ鈀 啒啕糚ǋ嘐箧ǋɮ卋䵓Ā血篺ǋ 랟췍꾁ᮙ됡㩩晔㭓᱋慏蕮᭩퉏셤ṳ랟췍꾁ᮙ됡㩩晔㭓᱋慏蕮᭩퉏셤ṳ㣦躿靧锦⍆꽏䔒鐜犂䏓墺▣냚꺩䡛糪徬爲᪾퀬췢⟀镘ɣ▂謫ᨇŦ曭㥁긩⏿䠇鼧퇺੿펙⿽㔽ꓖ☯詴勤댵吝郊ᰚ陎΅䞴৺鐭☇ꄐ苑튻壏ᘈ䈕笰帏띊寳刉擓琎엃䰽쉾ᓲ푶（陣萸졬뎣ᢳ籠閤릣捻洫종秙ᳳ蛑誐˩䋼揣䥼༻ⷹ;뎥燈꼔훵꽑煘᰷볈사榲⾡泘撅ༀ鹜燳Ჱ벫癦ㆨﭪ춐䩼挋ժ䬤揘龎绳苭씬鴣贃ꡯ쫂᎙⟱ऴ裁伖⠯暲뇽ᴫ破थ堏穡㕌䟁믶퇋熸䘢ꃮ⦤駒箙짉鏸優鳑浃㶠躺ꫲꉫ叺韩텖澆㤼刽倛ᗨ晴诮༩㱩ꅱ青쥩䚟㖂芬㶻椧랟췍꾁ᮙ됡㩩晔㭓坐箧ǋ堰箧ǋ 㼇㨀㨀㾀ﮛऀ鈀 啒啕蹐糚ǋ墰箧ǋɮ卋䵓Ā돐簔ǋȿ囂톐匘担㉩릓 쉹憟ងꆉﹽ饎饏熿ᖛ䫳鴾⍡額穛仜쉹憟ងꆉﹽ饎饏熿ᖛ䫳鴾⍡額穛仜䒢墰匦魯굛恷㐔ᇈൡ젛遟秮猷ε㷫귛趗﻽璮厦ᓙ枲ԑ衖ꎙ᠉䣣懧㯔扒ؿ跸⚈稜甮ኜ䆈㢒妁灱㡦䮥娴䶚惃锛䙋汍㍥臂⇹楜밑쇘놩兀蟂랖낲뚏藪崽ꐓ㑡ჼ梞촊銒䫈┄Ȳ墍뒽葲ㅗ镄谆쾋ʁ瘊䡉匎ꤠ捠ᶝⳊ㹝릎퍳࣊῿⺬痏鿀ຮ⋆脹獺ꗸ烒燊戩臌㣐贈♦樰녬筡봆辗巬Ψ퐲ዻ뾫Ặ違霊ᅑ౪ㆍ鸏꼞觞ᅓ␴교唿曕覼脄魠镴歒麓䍏⛀찓귪밃荥筹뎳谶漰ዜ撣砽肩௧⠝롓轜謪瀐⡺补ブ毧緬荲륃륍珚ꢴ뎴ꝁ㍹ｌㆳµ᢬缪鲨ꅯ쉹憟ងꆉﹽ饎饏熿姰箧ǋ嫐箧ǋ㺻 㼇כֿ਀鈀 啒啕䭠糛ǋ子箧ǋɮ卋䵓Ā绠篺ǋ䕡禰䋬骜뮉瑉蒂韰 쉹憟ងꆉﹽ饎饏熿ᖛ䫳鴾⍡額穛仜쉹憟ងꆉﹽ饎饏熿ᖛ䫳鴾⍡額穛仜䒢墰匦魯굛恷㐔ᇈൡ젛遟秮猷ε㷫귛趗﻽璮厦ᓙ枲ԑ衖ꎙ᠉䣣懧㯔扒ؿ跸⚈稜甮ኜ䆈㢒妁灱㡦䮥娴䶚惃锛䙋汍㍥臂⇹楜밑쇘놩兀蟂랖낲뚏藪崽ꐓ㑡ჼ梞촊銒䫈┄Ȳ墍뒽葲ㅗ镄谆쾋ʁ瘊䡉匎ꤠ捠ᶝⳊ㹝릎퍳࣊῿⺬痏鿀ຮ⋆脹獺ꗸ烒燊戩臌㣐贈♦樰녬筡봆辗巬Ψ퐲ዻ뾫Ặ違霊ᅑ౪ㆍ鸏꼞觞ᅓ␴교唿曕覼脄魠镴歒麓䍏⛀찓귪밃荥筹뎳谶漰ዜ撣砽肩௧" userName="" userProvider="AD"/>
        <Anchor>
          <Comment id="{9BC98DD7-BB54-4B08-9E9A-81630BC2EAA4}"/>
        </Anchor>
        <Create/>
      </Event>
      <Event time="2022-09-14T10:02:37.10" id="{339B4123-22FB-4FFC-B641-3DBB9E1293AC}">
        <Attribution userId="❲ﵬĀ猂燼ꯄ㥑ꍇ憀ﭠ燨Ţᐂ㯾Ȅ旎䡦钯٫堓ⳣҹꫝ琈䏯ꉠ忿歠ȁ︔л츂晥꽈殔ጆ̬㨀詏хꁆل濝Ńሚ銁Ɩꅍ橁禮ᗖᐃ꟣䲉䗿₋쩘뭕आ꟣䲉䗿₋쩘뭕आ᠝〔麵ꑍ䍍롏덙쀜ٰť鐀覧ｌ譅堠嗊ڻᤉ⠖調蓞ꪣ䨍ꢣ౒걷獰䙥漪䋈䛇뒺迢⯣꟣䲉䗿₋쩘뭕आᜤꌀ老䉈翺璠ỏǋ䒠翺뭀翺䟘翺Ọǋ䠐翺䈠翺䧸翺Ọǋ埐翺荀䞬ǋ擘翺뭀翺ﺐ翺翺ｐ翺뭀翺￠翺묘翺ࡸ翺췠翺㚐翺묘翺攠翺뭀翺晈翺췠翺晈翺췠翺晈翺췠翺ꐃ老翺Ѐ#.I㿿㿿II㾀㾀⣿ማƑ㒀茄,鶐翺1ꕬ老篙ǋ៍ǋā᝝ǋlags翻ȁād糨䧙[翈䧙[&#10;᝝ǋ粭ǋs翻䠂糨䧙[翈䧙[&#10;᝝ǋime翻௹ᢖ篪Ǜ糨䧙[翈䧙[᝝ǋꙞ老䒠翺뭀翺䟘翺切Ọǋ䠐翺䈠翺䧸翺ﮀỌǋ埐翺荀䞬ǋ壘翺캨翺擘翺뭀翺翺材ỏǋｐ翺뭀翺￠翺뭀翺ࡸ翺췠翺㚐翺묘翺잸翺⹀䞪ǋ攠翺뭀翺晈翺췠翺晈翺췠翺ꝡ老翺Ѐȵ簮k翿kk㾀㾀⣿√޲Ԁ茄翺缀翺꠰ѧǋ꼰ѧǋ隰ѧǋ麐ѧǋ냰ѧǋꠀ老埐翺瓐䞬ǋ릐翺ව刲ǋ맠翺ܰ刲ǋƘ翺挐篚ǋǘ翺畀翺Ԉ翺穰䞬ǋ詐翺탈翺誐翺캨翺跀翺窠䞬ǋ闀翺뭀翺陈翺묘翺隘翺翺鸠翺뭀翺겠翺膐ỏǋꗨ翺᝘翺꘰翺᝘翺ꥤ老XLDAPR㼀翺묘翺䴀翺뭀翺擘翺뭀翺跀翺绀䞬ǋ鐐翺묘翺翺酐塨ǋ翺뭀翺ࡸ翺췠翺凨翺론䞱ǋ翺璐翺晈翺췠翺눈翺쾀翺떠翺䰐䞪ǋ翺㧠䞪ǋ翺뭀翺ꨀ老ADcerStyleLight1/Eve䐀勛ǋꬠ老䒠翺뭀翺䟘翺눀Ọǋ䠐翺䈠翺䧸翺떐Ọǋ埐翺荀䞬ǋ壘翺캨翺擘翺뭀翺翺ⶐọǋｐ翺뭀翺￠翺뭀翺ࡸ翺췠翺㚐翺묘翺잸翺⹀䞪ǋ攠翺뭀翺晈翺췠翺晈翺췠翺가老劐䞣ǋ묘翺ী䞤ǋ큰翺㭈翺䱀䞪ǋ一翺巘ѧǋ秸翺묘翺穸翺地糉ǋ粘翺椰ỏǋ絀翺ࡰọǋ縰翺椰ỏǋ犐翺地糉ǋ狠翺旐ỏǋ猨翺뭀翺≀翺࣐ọǋ䉘翺嵠糉ǋ䌐翺쾀翺䑐翺嵠糉ǋ관老}&lt;resolutionId provider=&quot;AD&quot;&gt;&lt;localId O365id=&quot;S::selenicminetd@who.int::61df0fb2-4f1b-4442-9e45-f795767c5a16&quot;/&gt;&lt;/resolutionId&gt;글老଀箧ǋៀ箧ǋᚰ箧ǋ挮浯挀楴楶祴䌮V[؀Ӽǋ꽯老廠箦ǋৰ箧ǋ廠箦ǋ팀篙ǋ䆀䋔뀀老唐䝦ǋ뤰ថǋ뤰ថǋ㴰ឥǋ㏠映ǋ㱠映ǋ㼠映ǋ㎠映ǋ㟠映ǋ⮠映ǋ⪠映ǋ⮠映ǋ㟠映ǋ㎠映ǋ㼠映ǋ㱠映ǋ㏠映ǋ㴰ឥǋeCache\ae59534f-ec9f-404e-904a-f07cec1c281d_ADAL넠老䒠翺뭀翺䟘翺ﳐỌǋ䠐翺䈠翺䧸翺ːọǋ埐翺荀䞬ǋ壘翺큰翺擘翺뭀翺翺泀ỏǋｐ翺뭀翺￠翺뭀翺ࡸ翺췠翺㚐翺묘翺잸翺⹀䞪ǋ攠翺뭀翺晈翺췠翺晈翺췠翺&quot;}눀老BatchSyncStatusesToMatch [] - BatchSyncStatusesToIgnore [Finish,]ğ∀㩐翺㞐翺㩈翺대老翺Ѐ#.6㿿㿿66㾀㾀⣿ማƑ㒀茄,鶐翺듫老䒠翺뭀翺䟘翺Ọǋ䠐翺䈠翺䧸翺Ọǋ埐翺荀䞬ǋ壘翺캨翺擘翺뭀翺翺｠ǘǋﺐ翺翺ｐ翺뭀翺￠翺뭀翺ࡸ翺췠翺㚐翺묘翺攠翺뭀翺晈翺췠翺晈翺췠翺땧老䒠翺뭀翺䟘翺Ọǋ䠐翺䈠翺䧸翺Ọǋ埐翺荀䞬ǋ壘翺큰翺擘翺뭀翺翺쾰Тǋｐ翺뭀翺￠翺뭀翺ࡸ翺췠翺㚐翺묘翺잸翺⹀䞪ǋ攠翺뭀翺晈翺췠翺晈翺췠翺똀老︐ѥǋ肀㎐娟ǋ脀떰ʯǋ脀ʯǋ脀뤀ўǋ腀쏀ʯǋ脀Ꞡʯǋ脀띇老泫뛖㤘ᘎ翶ᘚ翶癸ᙷ翶Ă釈⎻翻癸ᙷ翶㾀癸ᙷ翶蓰ោǋ癸ᙷ翶Ꮀ箧ǋ렀老2025-02-10T18:32:12.3222908Z [state change] disconnecting -&gt; disconnected&#10;翺뭀翺晈翺췠翺눈翺爀ǘǋ됀翺娞ǋ떠翺䰐䞪ǋ뛀翺᝘翺뤀訁{&quot;DisplayName&quot;:&quot;KAASIK-AASLAV, Kaja&quot;,&quot;UserId&quot;:&quot;S::kaasikaaslavk@who.int::ae59534f-ec9f-404e-904a-f07cec1c281d&quot;,&quot;ProviderId&quot;:&quot;AD&quot;}먀老UrlHash:&lt;PII_SCRUBBED&gt;; ServerType:5; SupportedProtocols:87; Version:16; Flags:7; CobaltMajor:1; CobaltMinor:6; MsDavExt:1; Shar뭠老ৰ箧ǋ成箦ǋ臰箦ǋ저篙ǋ䋔স靖밀老㭈翺䱀䞪ǋ一翺䇘ѧǋ翺⼐ọǋ秸翺묘翺穀翺묘翺穸翺糉ǋ粘翺ꕐ晏ǋ絀翺븀Ọǋ縰翺ꕐ晏ǋ犐翺뾰Ọǋ狠翺ꖀ晏ǋ猨翺뭀翺≀翺쟰Ọǋ䉘翺럀嶥ǋ䌐翺쾀翺䑐翺럀嶥ǋ&quot;}뵡老䒠翺뭀翺䟘翺Ọǋ䠐翺䈠翺䧸翺Ọǋ埐翺荀䞬ǋ擘翺뭀翺翺ǘǋﺐ翺翺ｐ翺뭀翺￠翺뭀翺ࡸ翺췠翺㚐翺묘翺攠翺뭀翺晈翺췠翺晈翺췠翺븀老廠箦ǋ迀箦ǋ廠箦ǋR\SऀӼǋ-21-뼠老篙ǋālags翻ȁād絸䧙[聘䧙[&#10;粭ǋs翻䠃絸䧙[聘䧙[&#10;ime翻௹ᢖ篪Ǜ絸䧙[聘䧙[쀀老伯[&#10;://伯[;healthorg.sharepoint.com/sites/PublicHealthIntelligence/Shared%20Documents/Product_tracker/Products%20tracker_v6.xlsx셵老https://worldhealthorg.sharepoint.com/sites/PublicHealthIntelligence/Shared%20Documents/Product_tracker/Products%20tracker_v6.xlsx숈老UrlHash:&lt;PII_SCRUBBED&gt;; ServerType:5; SupportedProtocols:87; Version:16; Flags:7; CobaltMajor:1; CobaltMinor:6; MsDavExt:1; Sharsx쌀老UrlHash:&lt;PII_SCRUBBED&gt;; ServerType:5; SupportedProtocols:87; Version:16; Flags:7; CobaltMajor:1; CobaltMinor:6; MsDavExt:1; Shar&quot;}쒤老https://worldhealthorg.sharepoint.com/sites/publichealthintelligence/shared%20documents/product_tracker/products%20tracker_v6.xlsx앒老&amp;{4584FB82-79AD-43B7-95B1-608234F4FFB7}tes/PublicHealthIntelligence/Shared%20Documents/Product_tracker/Products%20tracker_v6.xlsx였老Ốǋ⸦ǘ翻Àいǘ翻ύ433Ốǋ⸦ǘ翻いǘ翻ύ&#10;95\Ốǋ⸦ǘ翻Pいǘ翻ύ&#10;ffiỐǋ⸦ǘ翻いǘ翻ύ&#10;xlsx윀老https://worldhealthorg.sharepoint.com/sites/PublicHealthIntelligence/Shared%20Documents/Product_tracker/Products%20tracker_v6.xlsx졧送\REGISTRY\USER\S-1-5-21-1446143339-2250552318-1255726049-239795\Software\Microsoft\Office\16.0\Excel\Security\Trusted Documents준老https://worldhealthorg.sharepoint.com:443/sites/PublicHealthIntelligence/_vti_bin/sharedaccess.asmxker/Products%20tracker_v6.lsx쩬老᝘ǋ+++++++++++++++++\þþþᖀ籖ǋ+,-.//012340M&lt;ࣴʓ&lt;&lt;&lt;ऀˏ˕˕˕ऊ쭠送26needs to be reopened prior to publication. EMS was reopened on 17 January.뤝ꠊǍ亚䶑䓅׽៩ct_evId[Ⓘ䶑䓅׽៩&#10;.xlsx찀老Ốǋ⸦ǘ翻Àいǘ翻ύỐǋỐǋ⸦ǘ翻いǘ翻ύ&#10;ȳǋỐǋ⸦ǘ翻Pいǘ翻ύ&#10;Ốǋ⸦ǘ翻いǘ翻ύ&#10;sx촀送㱐粭ǋ://㴐粭ǋhea褐ỏǋg.s蝠ỏǋoin谐ỏǋ/si覠ỏǋubl㎐粭ǋlth㙐粭ǋlig郀ỏǋSha袀ỏǋ0Do㼐粭ǋts/㓐粭ǋct_䀐粭ǋer/陠ៅǋcts鱐ៅǋack.xlsx츀老᝘ǋ+++++++++++++++++\þþþៀ籖ǋ5 !!6&quot;&quot;7#&quot;%&quot;N!!&quot;!!!!!!!&quot;&quot;6&quot;&quot;%!ँ%ˎ˔&amp;&amp;&amp;&amp;ऋ2}콵老牵潩ⴐ箧ǋⴐ箧ǋ꣰ἳǋ⴨箧ǋ⴨箧ǋ꘰䍔翻速ᰊਁᾐ퀀老https://worldhealthorg.sharepoint.com/sites/publichealthintelligence/shared%20documents/product_tracker/products%20tracker_v6.xlsx텬老ះ娥㽀䂂鷀䂄㴰䁷䓰䁻맰䁾苣ᅧဈﮩ⧕襁&#10;ᠥ̅맇Ƃքք툣老伯[://伯[healthorg.sharepoint.com/sites/PublicHealthIntelligence/Shared%20Documents/Product_tracker/Products%20tracker_v6.xlsx팀老牵潩ㅐ箧ǋㅐ箧ǋៅǋㅨ箧ǋㅨ箧ǋꙘ䍔翻ƻ퐀老伯[cr:伯[5871BA-05AD-42FB-AC43-EEA232D6E242}::kaasikaaslavk@who.int::ae59534f-ec9f-404e-904a-f07cec1c281d&quot;,&quot;ProviderId&quot;:&quot;AD&quot;}픀老Ốǋhareāoinlags翻āād쮘䧙[칸䧙[&#10;lig籝ǋs翻䤺쮘䧙[칸䧙[&#10;ct_ime翻䝫篪Ǜ쮘䧙[칸䧙[.xlsx혟老H쵋뤻悋踦褐酁顓衸✹髲腃吠㟫넉㐔꾞ꥊᨋ萟ꗷ孿偞鈱㙲셁࿥㢗 鞕쒙褯埆两溉願⾍뿞椑䓦⺻䲳ࢩ⍙抚湖∞卂Ȕఏᤖजᔃᴆ἟἟἟἟἟἟἟἟἟἟恞ꭩ፿߱휀老\REGISTRY\USER\S-1-5-21-1446143339-2250552318-1255726049-239795\Software\Policies\Microsoft\Office\16.0\Common\Toolbars\ExcelAD&quot;}老https://worldhealthorg.sharepoint.com/sites/PublicHealthIntelligence/Shared%20Documents/Product_tracker/Products%20tracker_v6.xlsx老UrlHash:&lt;PII_SCRUBBED&gt;; ServerType:5; SupportedProtocols:87; Version:16; Flags:7; CobaltMajor:1; CobaltMinor:6; MsDavExt:1; Sharsx鈁\REGISTRY\USER\S-1-5-21-1446143339-2250552318-1255726049-239795\Software\Microsoft\Office\16.0\Common\TargetedMessagingService䄁sx訁{&quot;DisplayName&quot;:&quot;KAASIK-AASLAV, Kaja&quot;,&quot;UserId&quot;:&quot;S::kaasikaaslavk@who.int::ae59534f-ec9f-404e-904a-f07cec1c281d&quot;,&quot;ProviderId&quot;:&quot;AD&quot;}老伯[&#10;ge伯[hareĂoinỐǋInteĂligỐǋProdĂct_rler_vĂ.xlsx老Ốǋhareāoinlags翻ȁād뾈䧙[쉨䧙[&#10;lig籝ǋs翻䤹뾈䧙[쉨䧙[&#10;ct_ime翻䝫篪Ǜ뾈䧙[쉨䧙[.xlsx送븰䞡ǋ쇐䞡ǋ蕠䞳ǋ⵰剼ǋ㠐剼ǋ蛰劰ǋ攠勝ǋൠ妥ǋᡠ妥ǋ咠勶ǋ靀塿ǋ◠旓ǋ炠筯ǋ焀筯ǋ焠昢ǋ讠筯ǋ䲠糭ǋĀ篭ǋӺǋΐӬǋϐӬǋᠰӬǋ㬀篹ǋ臰ӹǋ판Ӷǋọǋ⨀Ỏǋ⨀Ỏǋ⨀Ỏǋ瓀ԃǋ秀ọǋ老{&quot;DisplayName&quot;:&quot;KAASIK-AASLAV, Kaja&quot;,&quot;UserId&quot;:&quot;S::kaasikaaslavk@who.int::ae59534f-ec9f-404e-904a-f07cec1c281d&quot;,&quot;ProviderId&quot;:&quot;AD&quot;}老{&quot;DisplayName&quot;:&quot;KAASIK-AASLAV, Kaja&quot;,&quot;UserId&quot;:&quot;S::kaasikaaslavk@who.int::ae59534f-ec9f-404e-904a-f07cec1c281d&quot;,&quot;ProviderId&quot;:&quot;AD&quot;}@Malgun Gothic Semilight诛넕䜥ႉﺐ劽ǋ퀰簕ǋ타㑉Â䃀箧ǋ�￯ｿ뾍翝￟ngul﫡o鈀 啒啕枀糛ǋ䄐箧ǋɮ卋䵓Ā뚠簔ǋ献햮☯剼ｴ죄窭枓 쉹憟ងꆉﹽ饎饏熿ᖛ䫳鴾⍡額穛仜쉹憟ងꆉﹽ饎饏熿ᖛ䫳鴾⍡額穛仜䒢墰匦魯굛恷㐔ᇈൡ젛遟秮猷ε㷫귛趗﻽璮厦ᓙ枲ԑ衖ꎙ᠉䣣懧㯔扒ؿ跸⚈稜甮ኜ䆈㢒妁灱㡦䮥娴䶚惃锛䙋汍㍥臂⇹楜밑쇘놩兀蟂랖낲뚏藪崽ꐓ㑡ჼ梞촊銒䫈┄Ȳ墍뒽葲ㅗ镄谆쾋ʁ瘊䡉匎ꤠ捠ᶝⳊ㹝릎퍳࣊῿⺬痏鿀ຮ⋆脹獺ꗸ烒燊戩臌㣐贈♦樰녬筡봆辗巬Ψ퐲ዻ뾫Ặ違霊ᅑ౪ㆍ鸏꼞觞ᅓ␴교唿曕覼脄魠镴歒麓䍏⛀찓귪밃荥筹뎳谶漰ዜ撣砽肩௧⠝롓轜謪瀐⡺补ブ毧緬荲륃륍珚ꢴ뎴ꝁ㍹ｌㆳµ᢬缪鲨ꅯ쉹憟ងꆉﹽ饎饏熿䉐箧ǋ䌰箧ǋ㽣耀㹬頋Ā耀諾Ȁ鈀 啒啕匰糛ǋ䙐箧ǋɮ卋䵓Āᯠ篺ǋ 랟췍꾁ᮙ됡㩩晔㭓᱋慏蕮᭩퉏셤ṳ랟췍꾁ᮙ됡㩩晔㭓᱋慏蕮᭩퉏셤ṳ㣦躿靧锦⍆꽏䔒鐜犂䏓墺▣냚꺩䡛糪徬爲᪾퀬췢⟀镘ɣ▂謫ᨇŦ曭㥁긩⏿䠇鼧퇺੿펙⿽㔽ꓖ☯詴勤댵吝郊ᰚ陎΅䞴৺鐭☇ꄐ苑튻壏ᘈ䈕笰帏띊寳刉擓琎엃䰽쉾ᓲ푶（陣萸졬뎣ᢳ籠閤릣捻洫종秙ᳳ蛑誐˩䋼揣䥼༻ⷹ;뎥燈꼔훵꽑煘᰷볈사榲⾡泘撅ༀ鹜燳Ჱ벫癦ㆨﭪ춐䩼挋ժ䬤揘龎绳苭씬鴣贃ꡯ쫂᎙⟱ऴ裁伖⠯暲뇽ᴫ破थ堏穡㕌䟁믶퇋熸䘢ꃮ⦤駒箙짉鏸優鳑浃㶠躺ꫲꉫ叺韩텖澆㤼刽倛ᗨ晴诮༩㱩ꅱ青쥩䚟㖂芬㶻椧랟췍꾁ᮙ됡㩩晔㭓䞐箧ǋ䡰箧ǋ耀㹬㨀㨀㾀逸̀鈀 啒啕拐糛ǋ䣰箧ǋɮ卋䵓Ā먰簔ǋ 랟췍꾁ᮙ됡㩩晔㭓᱋慏蕮᭩퉏셤ṳ㾀랟췍꾁ᮙ됡㩩晔㭓᱋慏蕮᭩퉏셤ṳ㣦躿靧锦⍆꽏䔒鐜犂䏓墺▣냚꺩䡛糪徬爲᪾퀬췢⟀镘ɣ▂謫ᨇŦ曭㥁긩⏿䠇鼧퇺੿펙⿽㔽ꓖ☯詴勤댵吝郊ᰚ陎΅䞴৺鐭☇ꄐ苑튻壏ᘈ䈕笰帏띊寳刉擓琎엃䰽쉾ᓲ푶（陣萸졬뎣ᢳ籠閤릣捻洫종秙ᳳ蛑誐˩䋼揣䥼༻ⷹ;뎥燈꼔훵꽑煘᰷볈사榲⾡泘撅ༀ鹜燳Ჱ벫癦ㆨﭪ춐䩼挋ժ䬤揘龎绳苭씬鴣贃ꡯ쫂᎙⟱ऴ裁伖⠯暲뇽ᴫ破थ堏穡㕌䟁믶퇋熸䘢ꃮ⦤駒箙짉鏸優鳑浃㶠躺ꫲꉫ叺韩텖澆㤼刽倛ᗨ晴诮༩㱩ꅱ青쥩䚟㖂芬㶻椧랟췍꾁ᮙ됡㩩晔㭓䨰箧ǋ䬐箧ǋ㷋䀀㻾爫Ѐ鈀 啒啕魠Ὂǋ䮐箧ǋɮ卋䵓Ā꒰Ȅǋ꼑˄껻槐箜豞욋繗 ⸥曋぀褥芢旫げଠ刵瓩礠쫌⸥曋぀褥芢旫げଠ刵瓩礠쫌斒톿覩Ꭶ舮癍⍣⡃㗀究䄩͖该볫悂㕂腽㗎鋛럠誂뗼ꋁ耼섕䫰ざ顔Ԕᤩペ诲蜺潤鴂ᶿ㿃鶃岖㲕ᙦε눓ڡꬺ㙻⃈녁侬喁餮橂ҭ贶堻놣九佭렼䧌ጆ羷㏎컶籢覄뒁贩㦷픒蠔魏쮉䈨艅儮ﷲ拠㌄Ẃᴱﮗꦰ皾逇ꎬ᠓㣣㼯堡渁ꗓೡ雗ባ톱랗햹댎ႜࠜ翢矌긽꽨ᝨЭ騾竀ᨋ뵮쨉Јҙ씥묒潾릗ᦑ륕ꭅ赖续耵륦캐섭뾋꩛垧练愳ꃄ珡㐃햨ൣÅ冈Ⱇ硋焛歶ђ῰䆏ዒ铇ꙉ㥠売炣⧃崌ጽ餷媈ﳯ䗝ഢ핈뒛궧差多閭꼉奠꫷㫾쐻ᇮ質୿ὕ邕릹磯榎꽁졃쳍׾掞滌⸥曋぀褥芢旫䳐箧ǋ䶰箧ǋ勉Ԁ鈀 啒啕썰糚ǋ丰箧ǋɮ卋䵓Ā볐簔ǋ 랟췍꾁ᮙ됡㩩晔㭓᱋慏蕮᭩퉏셤ṳ랟췍꾁ᮙ됡㩩晔㭓᱋慏蕮᭩퉏셤ṳ㣦躿靧锦⍆꽏䔒鐜犂䏓墺▣냚꺩䡛糪徬爲᪾퀬췢⟀镘ɣ▂謫ᨇŦ曭㥁긩⏿䠇鼧퇺੿펙⿽㔽ꓖ☯詴勤댵吝郊ᰚ陎΅䞴৺鐭☇ꄐ苑튻壏ᘈ䈕笰帏띊寳刉擓琎엃䰽쉾ᓲ푶（陣萸졬뎣ᢳ籠閤릣捻洫종秙ᳳ蛑誐˩䋼揣䥼༻ⷹ;뎥燈꼔훵꽑煘᰷볈사榲⾡泘撅ༀ鹜燳Ჱ벫癦ㆨﭪ춐䩼挋ժ䬤揘龎绳苭씬鴣贃ꡯ쫂᎙⟱ऴ裁伖⠯暲뇽ᴫ破थ堏穡㕌䟁믶퇋熸䘢ꃮ⦤駒箙짉鏸優鳑浃㶠躺ꫲꉫ叺韩텖澆㤼刽倛ᗨ晴诮༩㱩ꅱ青쥩䚟㖂芬㶻椧랟췍꾁ᮙ됡㩩晔㭓佰箧ǋ偐箧ǋ㾀ﯥ؀鈀 啒啕❰糛ǋ僐箧ǋɮ卋䵓Ā瑠篺ǋ 랟췍꾁ᮙ됡㩩晔㭓᱋慏蕮᭩퉏셤ṳ㾀랟췍꾁ᮙ됡㩩晔㭓᱋慏蕮᭩퉏셤ṳ㣦躿靧锦⍆꽏䔒鐜犂䏓墺▣냚꺩䡛糪徬爲᪾퀬췢⟀镘ɣ▂謫ᨇŦ曭㥁긩⏿䠇鼧퇺੿펙⿽㔽ꓖ☯詴勤댵吝郊ᰚ陎΅䞴৺鐭☇ꄐ苑튻壏ᘈ䈕笰帏띊寳刉擓琎엃䰽쉾ᓲ푶（陣萸졬뎣ᢳ籠閤릣捻洫종秙ᳳ蛑誐˩䋼揣䥼༻ⷹ;뎥燈꼔훵꽑煘᰷볈사榲⾡泘撅ༀ鹜燳Ჱ벫癦ㆨﭪ춐䩼挋ժ䬤揘龎绳苭씬鴣贃ꡯ쫂᎙⟱ऴ裁伖⠯暲뇽ᴫ破थ堏穡㕌䟁믶퇋熸䘢ꃮ⦤駒箙짉鏸優鳑浃㶠躺ꫲꉫ叺韩텖澆㤼刽倛ᗨ晴诮༩㱩ꅱ青쥩䚟㖂芬㶻椧랟췍꾁ᮙ됡㩩晔㭓刐箧ǋ勰箧ǋ﯏܀鈀 啒啕岐糛ǋ印箧ǋɮ卋䵓Ā镠簕ǋ⨵啉큤뀌䓊䥘ଯ 쉹憟ងꆉﹽ饎饏熿ᖛ䫳鴾⍡額穛仜쉹憟ងꆉﹽ饎饏熿ᖛ䫳鴾⍡額穛仜䒢墰匦魯굛恷㐔ᇈൡ젛遟秮猷ε㷫귛趗﻽璮厦ᓙ枲ԑ衖ꎙ᠉䣣懧㯔扒ؿ跸⚈稜甮ኜ䆈㢒妁灱㡦䮥娴䶚惃锛䙋汍㍥臂⇹楜밑쇘놩兀蟂랖낲뚏藪崽ꐓ㑡ჼ梞촊銒䫈┄Ȳ墍뒽葲ㅗ镄谆쾋ʁ瘊䡉匎ꤠ捠ᶝⳊ㹝릎퍳࣊῿⺬痏鿀ຮ⋆脹獺ꗸ烒燊戩臌㣐贈♦樰녬筡봆辗巬Ψ퐲ዻ뾫Ặ違霊ᅑ౪ㆍ鸏꼞觞ᅓ␴교唿曕覼脄魠镴歒麓䍏⛀찓귪밃荥筹뎳谶漰ዜ撣砽肩௧⠝롓轜謪瀐⡺补ブ毧緬荲륃륍珚ꢴ뎴ꝁ㍹ｌㆳµ᢬缪鲨ꅯ쉹憟ងꆉﹽ饎饏熿咰箧ǋ喐箧ǋﮱࠀ鈀 啒啕糚ǋ嘐箧ǋɮ卋䵓Ā血篺ǋ 랟췍꾁ᮙ됡㩩晔㭓᱋慏蕮᭩퉏셤ṳ랟췍꾁ᮙ됡㩩晔㭓᱋慏蕮᭩퉏셤ṳ㣦躿靧锦⍆꽏䔒鐜犂䏓墺▣냚꺩䡛糪徬爲᪾퀬췢⟀镘ɣ▂謫ᨇŦ曭㥁긩⏿䠇鼧퇺੿펙⿽㔽ꓖ☯詴勤댵吝郊ᰚ陎΅䞴৺鐭☇ꄐ苑튻壏ᘈ䈕笰帏띊寳刉擓琎엃䰽쉾ᓲ푶（陣萸졬뎣ᢳ籠閤릣捻洫종秙ᳳ蛑誐˩䋼揣䥼༻ⷹ;뎥燈꼔훵꽑煘᰷볈사榲⾡泘撅ༀ鹜燳Ჱ벫癦ㆨﭪ춐䩼挋ժ䬤揘龎绳苭씬鴣贃ꡯ쫂᎙⟱ऴ裁伖⠯暲뇽ᴫ破थ堏穡㕌䟁믶퇋熸䘢ꃮ⦤駒箙짉鏸優鳑浃㶠躺ꫲꉫ叺韩텖澆㤼刽倛ᗨ晴诮༩㱩ꅱ青쥩䚟㖂芬㶻椧랟췍꾁ᮙ됡㩩晔㭓坐箧ǋ堰箧ǋ 㼇㨀㨀㾀ﮛऀ鈀 啒啕蹐糚ǋ墰箧ǋɮ卋䵓Ā돐簔ǋȿ囂톐匘担㉩릓 쉹憟ងꆉﹽ饎饏熿ᖛ䫳鴾⍡額穛仜쉹憟ងꆉﹽ饎饏熿ᖛ䫳鴾⍡額穛仜䒢墰匦魯굛恷㐔ᇈൡ젛遟秮猷ε㷫귛趗﻽璮厦ᓙ枲ԑ衖ꎙ᠉䣣懧㯔扒ؿ跸⚈稜甮ኜ䆈㢒妁灱㡦䮥娴䶚惃锛䙋汍㍥臂⇹楜밑쇘놩兀蟂랖낲뚏藪崽ꐓ㑡ჼ梞촊銒䫈┄Ȳ墍뒽葲ㅗ镄谆쾋ʁ瘊䡉匎ꤠ捠ᶝⳊ㹝릎퍳࣊῿⺬痏鿀ຮ⋆脹獺ꗸ烒燊戩臌㣐贈♦樰녬筡봆辗巬Ψ퐲ዻ뾫Ặ違霊ᅑ౪ㆍ鸏꼞觞ᅓ␴교唿曕覼脄魠镴歒麓䍏⛀찓귪밃荥筹뎳谶漰ዜ撣砽肩௧⠝롓轜謪瀐⡺补ブ毧緬荲륃륍珚ꢴ뎴ꝁ㍹ｌㆳµ᢬缪鲨ꅯ쉹憟ងꆉﹽ饎饏熿姰箧ǋ嫐箧ǋ㺻 㼇כֿ਀鈀 啒啕䭠糛ǋ子箧ǋɮ卋䵓Ā绠篺ǋ䕡禰䋬骜뮉瑉蒂韰 쉹憟ងꆉﹽ饎饏熿ᖛ䫳鴾⍡額穛仜쉹憟ងꆉﹽ饎饏熿ᖛ䫳鴾⍡額穛仜䒢墰匦魯굛恷㐔ᇈൡ젛遟秮猷ε㷫귛趗﻽璮厦ᓙ枲ԑ衖ꎙ᠉䣣懧㯔扒ؿ跸⚈稜甮ኜ䆈㢒妁灱㡦䮥娴䶚惃锛䙋汍㍥臂⇹楜밑쇘놩兀蟂랖낲뚏藪崽ꐓ㑡ჼ梞촊銒䫈┄Ȳ墍뒽葲ㅗ镄谆쾋ʁ瘊䡉匎ꤠ捠ᶝⳊ㹝릎퍳࣊῿⺬痏鿀ຮ⋆脹獺ꗸ烒燊戩臌㣐贈♦樰녬筡봆辗巬Ψ퐲ዻ뾫Ặ違霊ᅑ౪ㆍ鸏꼞觞ᅓ␴교唿曕覼脄魠镴歒麓䍏⛀찓귪밃荥筹뎳谶漰ዜ撣砽肩௧" userName="" userProvider="AD"/>
        <Anchor>
          <Comment id="{9BC98DD7-BB54-4B08-9E9A-81630BC2EAA4}"/>
        </Anchor>
        <Assign userId="30/10/2023" userName="No" userProvider="20/10/2023"/>
      </Event>
      <Event time="2022-09-14T10:02:37.10" id="{028A74DB-7EAC-49F4-A100-73400FAF3682}">
        <Attribution userId="❲ﵬĀ猂燼ꯄ㥑ꍇ憀ﭠ燨Ţᐂ㯾Ȅ旎䡦钯٫堓ⳣҹꫝ琈䏯ꉠ忿歠ȁ︔л츂晥꽈殔ጆ̬㨀詏хꁆل濝Ńሚ銁Ɩꅍ橁禮ᗖᐃ꟣䲉䗿₋쩘뭕आ꟣䲉䗿₋쩘뭕आ᠝〔麵ꑍ䍍롏덙쀜ٰť鐀覧ｌ譅堠嗊ڻᤉ⠖調蓞ꪣ䨍ꢣ౒걷獰䙥漪䋈䛇뒺迢⯣꟣䲉䗿₋쩘뭕आᜤꌀ老䉈翺璠ỏǋ䒠翺뭀翺䟘翺Ọǋ䠐翺䈠翺䧸翺Ọǋ埐翺荀䞬ǋ擘翺뭀翺ﺐ翺翺ｐ翺뭀翺￠翺묘翺ࡸ翺췠翺㚐翺묘翺攠翺뭀翺晈翺췠翺晈翺췠翺晈翺췠翺ꐃ老翺Ѐ#.I㿿㿿II㾀㾀⣿ማƑ㒀茄,鶐翺1ꕬ老篙ǋ៍ǋā᝝ǋlags翻ȁād糨䧙[翈䧙[&#10;᝝ǋ粭ǋs翻䠂糨䧙[翈䧙[&#10;᝝ǋime翻௹ᢖ篪Ǜ糨䧙[翈䧙[᝝ǋꙞ老䒠翺뭀翺䟘翺切Ọǋ䠐翺䈠翺䧸翺ﮀỌǋ埐翺荀䞬ǋ壘翺캨翺擘翺뭀翺翺材ỏǋｐ翺뭀翺￠翺뭀翺ࡸ翺췠翺㚐翺묘翺잸翺⹀䞪ǋ攠翺뭀翺晈翺췠翺晈翺췠翺ꝡ老翺Ѐȵ簮k翿kk㾀㾀⣿√޲Ԁ茄翺缀翺꠰ѧǋ꼰ѧǋ隰ѧǋ麐ѧǋ냰ѧǋꠀ老埐翺瓐䞬ǋ릐翺ව刲ǋ맠翺ܰ刲ǋƘ翺挐篚ǋǘ翺畀翺Ԉ翺穰䞬ǋ詐翺탈翺誐翺캨翺跀翺窠䞬ǋ闀翺뭀翺陈翺묘翺隘翺翺鸠翺뭀翺겠翺膐ỏǋꗨ翺᝘翺꘰翺᝘翺ꥤ老XLDAPR㼀翺묘翺䴀翺뭀翺擘翺뭀翺跀翺绀䞬ǋ鐐翺묘翺翺酐塨ǋ翺뭀翺ࡸ翺췠翺凨翺론䞱ǋ翺璐翺晈翺췠翺눈翺쾀翺떠翺䰐䞪ǋ翺㧠䞪ǋ翺뭀翺ꨀ老ADcerStyleLight1/Eve䐀勛ǋꬠ老䒠翺뭀翺䟘翺눀Ọǋ䠐翺䈠翺䧸翺떐Ọǋ埐翺荀䞬ǋ壘翺캨翺擘翺뭀翺翺ⶐọǋｐ翺뭀翺￠翺뭀翺ࡸ翺췠翺㚐翺묘翺잸翺⹀䞪ǋ攠翺뭀翺晈翺췠翺晈翺췠翺가老劐䞣ǋ묘翺ী䞤ǋ큰翺㭈翺䱀䞪ǋ一翺巘ѧǋ秸翺묘翺穸翺地糉ǋ粘翺椰ỏǋ絀翺ࡰọǋ縰翺椰ỏǋ犐翺地糉ǋ狠翺旐ỏǋ猨翺뭀翺≀翺࣐ọǋ䉘翺嵠糉ǋ䌐翺쾀翺䑐翺嵠糉ǋ관老}&lt;resolutionId provider=&quot;AD&quot;&gt;&lt;localId O365id=&quot;S::selenicminetd@who.int::61df0fb2-4f1b-4442-9e45-f795767c5a16&quot;/&gt;&lt;/resolutionId&gt;글老଀箧ǋៀ箧ǋᚰ箧ǋ挮浯挀楴楶祴䌮V[؀Ӽǋ꽯老廠箦ǋৰ箧ǋ廠箦ǋ팀篙ǋ䆀䋔뀀老唐䝦ǋ뤰ថǋ뤰ថǋ㴰ឥǋ㏠映ǋ㱠映ǋ㼠映ǋ㎠映ǋ㟠映ǋ⮠映ǋ⪠映ǋ⮠映ǋ㟠映ǋ㎠映ǋ㼠映ǋ㱠映ǋ㏠映ǋ㴰ឥǋeCache\ae59534f-ec9f-404e-904a-f07cec1c281d_ADAL넠老䒠翺뭀翺䟘翺ﳐỌǋ䠐翺䈠翺䧸翺ːọǋ埐翺荀䞬ǋ壘翺큰翺擘翺뭀翺翺泀ỏǋｐ翺뭀翺￠翺뭀翺ࡸ翺췠翺㚐翺묘翺잸翺⹀䞪ǋ攠翺뭀翺晈翺췠翺晈翺췠翺&quot;}눀老BatchSyncStatusesToMatch [] - BatchSyncStatusesToIgnore [Finish,]ğ∀㩐翺㞐翺㩈翺대老翺Ѐ#.6㿿㿿66㾀㾀⣿ማƑ㒀茄,鶐翺듫老䒠翺뭀翺䟘翺Ọǋ䠐翺䈠翺䧸翺Ọǋ埐翺荀䞬ǋ壘翺캨翺擘翺뭀翺翺｠ǘǋﺐ翺翺ｐ翺뭀翺￠翺뭀翺ࡸ翺췠翺㚐翺묘翺攠翺뭀翺晈翺췠翺晈翺췠翺땧老䒠翺뭀翺䟘翺Ọǋ䠐翺䈠翺䧸翺Ọǋ埐翺荀䞬ǋ壘翺큰翺擘翺뭀翺翺쾰Тǋｐ翺뭀翺￠翺뭀翺ࡸ翺췠翺㚐翺묘翺잸翺⹀䞪ǋ攠翺뭀翺晈翺췠翺晈翺췠翺똀老︐ѥǋ肀㎐娟ǋ脀떰ʯǋ脀ʯǋ脀뤀ўǋ腀쏀ʯǋ脀Ꞡʯǋ脀띇老泫뛖㤘ᘎ翶ᘚ翶癸ᙷ翶Ă釈⎻翻癸ᙷ翶㾀癸ᙷ翶蓰ោǋ癸ᙷ翶Ꮀ箧ǋ렀老2025-02-10T18:32:12.3222908Z [state change] disconnecting -&gt; disconnected&#10;翺뭀翺晈翺췠翺눈翺爀ǘǋ됀翺娞ǋ떠翺䰐䞪ǋ뛀翺᝘翺뤀訁{&quot;DisplayName&quot;:&quot;KAASIK-AASLAV, Kaja&quot;,&quot;UserId&quot;:&quot;S::kaasikaaslavk@who.int::ae59534f-ec9f-404e-904a-f07cec1c281d&quot;,&quot;ProviderId&quot;:&quot;AD&quot;}먀老UrlHash:&lt;PII_SCRUBBED&gt;; ServerType:5; SupportedProtocols:87; Version:16; Flags:7; CobaltMajor:1; CobaltMinor:6; MsDavExt:1; Shar뭠老ৰ箧ǋ成箦ǋ臰箦ǋ저篙ǋ䋔স靖밀老㭈翺䱀䞪ǋ一翺䇘ѧǋ翺⼐ọǋ秸翺묘翺穀翺묘翺穸翺糉ǋ粘翺ꕐ晏ǋ絀翺븀Ọǋ縰翺ꕐ晏ǋ犐翺뾰Ọǋ狠翺ꖀ晏ǋ猨翺뭀翺≀翺쟰Ọǋ䉘翺럀嶥ǋ䌐翺쾀翺䑐翺럀嶥ǋ&quot;}뵡老䒠翺뭀翺䟘翺Ọǋ䠐翺䈠翺䧸翺Ọǋ埐翺荀䞬ǋ擘翺뭀翺翺ǘǋﺐ翺翺ｐ翺뭀翺￠翺뭀翺ࡸ翺췠翺㚐翺묘翺攠翺뭀翺晈翺췠翺晈翺췠翺븀老廠箦ǋ迀箦ǋ廠箦ǋR\SऀӼǋ-21-뼠老篙ǋālags翻ȁād絸䧙[聘䧙[&#10;粭ǋs翻䠃絸䧙[聘䧙[&#10;ime翻௹ᢖ篪Ǜ絸䧙[聘䧙[쀀老伯[&#10;://伯[;healthorg.sharepoint.com/sites/PublicHealthIntelligence/Shared%20Documents/Product_tracker/Products%20tracker_v6.xlsx셵老https://worldhealthorg.sharepoint.com/sites/PublicHealthIntelligence/Shared%20Documents/Product_tracker/Products%20tracker_v6.xlsx숈老UrlHash:&lt;PII_SCRUBBED&gt;; ServerType:5; SupportedProtocols:87; Version:16; Flags:7; CobaltMajor:1; CobaltMinor:6; MsDavExt:1; Sharsx쌀老UrlHash:&lt;PII_SCRUBBED&gt;; ServerType:5; SupportedProtocols:87; Version:16; Flags:7; CobaltMajor:1; CobaltMinor:6; MsDavExt:1; Shar&quot;}쒤老https://worldhealthorg.sharepoint.com/sites/publichealthintelligence/shared%20documents/product_tracker/products%20tracker_v6.xlsx앒老&amp;{4584FB82-79AD-43B7-95B1-608234F4FFB7}tes/PublicHealthIntelligence/Shared%20Documents/Product_tracker/Products%20tracker_v6.xlsx였老Ốǋ⸦ǘ翻Àいǘ翻ύ433Ốǋ⸦ǘ翻いǘ翻ύ&#10;95\Ốǋ⸦ǘ翻Pいǘ翻ύ&#10;ffiỐǋ⸦ǘ翻いǘ翻ύ&#10;xlsx윀老https://worldhealthorg.sharepoint.com/sites/PublicHealthIntelligence/Shared%20Documents/Product_tracker/Products%20tracker_v6.xlsx졧送\REGISTRY\USER\S-1-5-21-1446143339-2250552318-1255726049-239795\Software\Microsoft\Office\16.0\Excel\Security\Trusted Documents준老https://worldhealthorg.sharepoint.com:443/sites/PublicHealthIntelligence/_vti_bin/sharedaccess.asmxker/Products%20tracker_v6.lsx쩬老᝘ǋ+++++++++++++++++\þþþᖀ籖ǋ+,-.//012340M&lt;ࣴʓ&lt;&lt;&lt;ऀˏ˕˕˕ऊ쭠送26needs to be reopened prior to publication. EMS was reopened on 17 January.뤝ꠊǍ亚䶑䓅׽៩ct_evId[Ⓘ䶑䓅׽៩&#10;.xlsx찀老Ốǋ⸦ǘ翻Àいǘ翻ύỐǋỐǋ⸦ǘ翻いǘ翻ύ&#10;ȳǋỐǋ⸦ǘ翻Pいǘ翻ύ&#10;Ốǋ⸦ǘ翻いǘ翻ύ&#10;sx촀送㱐粭ǋ://㴐粭ǋhea褐ỏǋg.s蝠ỏǋoin谐ỏǋ/si覠ỏǋubl㎐粭ǋlth㙐粭ǋlig郀ỏǋSha袀ỏǋ0Do㼐粭ǋts/㓐粭ǋct_䀐粭ǋer/陠ៅǋcts鱐ៅǋack.xlsx츀老᝘ǋ+++++++++++++++++\þþþៀ籖ǋ5 !!6&quot;&quot;7#&quot;%&quot;N!!&quot;!!!!!!!&quot;&quot;6&quot;&quot;%!ँ%ˎ˔&amp;&amp;&amp;&amp;ऋ2}콵老牵潩ⴐ箧ǋⴐ箧ǋ꣰ἳǋ⴨箧ǋ⴨箧ǋ꘰䍔翻速ᰊਁᾐ퀀老https://worldhealthorg.sharepoint.com/sites/publichealthintelligence/shared%20documents/product_tracker/products%20tracker_v6.xlsx텬老ះ娥㽀䂂鷀䂄㴰䁷䓰䁻맰䁾苣ᅧဈﮩ⧕襁&#10;ᠥ̅맇Ƃքք툣老伯[://伯[healthorg.sharepoint.com/sites/PublicHealthIntelligence/Shared%20Documents/Product_tracker/Products%20tracker_v6.xlsx팀老牵潩ㅐ箧ǋㅐ箧ǋៅǋㅨ箧ǋㅨ箧ǋꙘ䍔翻ƻ퐀老伯[cr:伯[5871BA-05AD-42FB-AC43-EEA232D6E242}::kaasikaaslavk@who.int::ae59534f-ec9f-404e-904a-f07cec1c281d&quot;,&quot;ProviderId&quot;:&quot;AD&quot;}픀老Ốǋhareāoinlags翻āād쮘䧙[칸䧙[&#10;lig籝ǋs翻䤺쮘䧙[칸䧙[&#10;ct_ime翻䝫篪Ǜ쮘䧙[칸䧙[.xlsx혟老H쵋뤻悋踦褐酁顓衸✹髲腃吠㟫넉㐔꾞ꥊᨋ萟ꗷ孿偞鈱㙲셁࿥㢗 鞕쒙褯埆两溉願⾍뿞椑䓦⺻䲳ࢩ⍙抚湖∞卂Ȕఏᤖजᔃᴆ἟἟἟἟἟἟἟἟἟἟恞ꭩ፿߱휀老\REGISTRY\USER\S-1-5-21-1446143339-2250552318-1255726049-239795\Software\Policies\Microsoft\Office\16.0\Common\Toolbars\ExcelAD&quot;}老https://worldhealthorg.sharepoint.com/sites/PublicHealthIntelligence/Shared%20Documents/Product_tracker/Products%20tracker_v6.xlsx老UrlHash:&lt;PII_SCRUBBED&gt;; ServerType:5; SupportedProtocols:87; Version:16; Flags:7; CobaltMajor:1; CobaltMinor:6; MsDavExt:1; Sharsx鈁\REGISTRY\USER\S-1-5-21-1446143339-2250552318-1255726049-239795\Software\Microsoft\Office\16.0\Common\TargetedMessagingService䄁sx訁{&quot;DisplayName&quot;:&quot;KAASIK-AASLAV, Kaja&quot;,&quot;UserId&quot;:&quot;S::kaasikaaslavk@who.int::ae59534f-ec9f-404e-904a-f07cec1c281d&quot;,&quot;ProviderId&quot;:&quot;AD&quot;}老伯[&#10;ge伯[hareĂoinỐǋInteĂligỐǋProdĂct_rler_vĂ.xlsx老Ốǋhareāoinlags翻ȁād뾈䧙[쉨䧙[&#10;lig籝ǋs翻䤹뾈䧙[쉨䧙[&#10;ct_ime翻䝫篪Ǜ뾈䧙[쉨䧙[.xlsx送븰䞡ǋ쇐䞡ǋ蕠䞳ǋ⵰剼ǋ㠐剼ǋ蛰劰ǋ攠勝ǋൠ妥ǋᡠ妥ǋ咠勶ǋ靀塿ǋ◠旓ǋ炠筯ǋ焀筯ǋ焠昢ǋ讠筯ǋ䲠糭ǋĀ篭ǋӺǋΐӬǋϐӬǋᠰӬǋ㬀篹ǋ臰ӹǋ판Ӷǋọǋ⨀Ỏǋ⨀Ỏǋ⨀Ỏǋ瓀ԃǋ秀ọǋ老{&quot;DisplayName&quot;:&quot;KAASIK-AASLAV, Kaja&quot;,&quot;UserId&quot;:&quot;S::kaasikaaslavk@who.int::ae59534f-ec9f-404e-904a-f07cec1c281d&quot;,&quot;ProviderId&quot;:&quot;AD&quot;}老{&quot;DisplayName&quot;:&quot;KAASIK-AASLAV, Kaja&quot;,&quot;UserId&quot;:&quot;S::kaasikaaslavk@who.int::ae59534f-ec9f-404e-904a-f07cec1c281d&quot;,&quot;ProviderId&quot;:&quot;AD&quot;}@Malgun Gothic Semilight诛넕䜥ႉﺐ劽ǋ퀰簕ǋ타㑉Â䃀箧ǋ�￯ｿ뾍翝￟ngul﫡o鈀 啒啕枀糛ǋ䄐箧ǋɮ卋䵓Ā뚠簔ǋ献햮☯剼ｴ죄窭枓 쉹憟ងꆉﹽ饎饏熿ᖛ䫳鴾⍡額穛仜쉹憟ងꆉﹽ饎饏熿ᖛ䫳鴾⍡額穛仜䒢墰匦魯굛恷㐔ᇈൡ젛遟秮猷ε㷫귛趗﻽璮厦ᓙ枲ԑ衖ꎙ᠉䣣懧㯔扒ؿ跸⚈稜甮ኜ䆈㢒妁灱㡦䮥娴䶚惃锛䙋汍㍥臂⇹楜밑쇘놩兀蟂랖낲뚏藪崽ꐓ㑡ჼ梞촊銒䫈┄Ȳ墍뒽葲ㅗ镄谆쾋ʁ瘊䡉匎ꤠ捠ᶝⳊ㹝릎퍳࣊῿⺬痏鿀ຮ⋆脹獺ꗸ烒燊戩臌㣐贈♦樰녬筡봆辗巬Ψ퐲ዻ뾫Ặ違霊ᅑ౪ㆍ鸏꼞觞ᅓ␴교唿曕覼脄魠镴歒麓䍏⛀찓귪밃荥筹뎳谶漰ዜ撣砽肩௧⠝롓轜謪瀐⡺补ブ毧緬荲륃륍珚ꢴ뎴ꝁ㍹ｌㆳµ᢬缪鲨ꅯ쉹憟ងꆉﹽ饎饏熿䉐箧ǋ䌰箧ǋ㽣耀㹬頋Ā耀諾Ȁ鈀 啒啕匰糛ǋ䙐箧ǋɮ卋䵓Āᯠ篺ǋ 랟췍꾁ᮙ됡㩩晔㭓᱋慏蕮᭩퉏셤ṳ랟췍꾁ᮙ됡㩩晔㭓᱋慏蕮᭩퉏셤ṳ㣦躿靧锦⍆꽏䔒鐜犂䏓墺▣냚꺩䡛糪徬爲᪾퀬췢⟀镘ɣ▂謫ᨇŦ曭㥁긩⏿䠇鼧퇺੿펙⿽㔽ꓖ☯詴勤댵吝郊ᰚ陎΅䞴৺鐭☇ꄐ苑튻壏ᘈ䈕笰帏띊寳刉擓琎엃䰽쉾ᓲ푶（陣萸졬뎣ᢳ籠閤릣捻洫종秙ᳳ蛑誐˩䋼揣䥼༻ⷹ;뎥燈꼔훵꽑煘᰷볈사榲⾡泘撅ༀ鹜燳Ჱ벫癦ㆨﭪ춐䩼挋ժ䬤揘龎绳苭씬鴣贃ꡯ쫂᎙⟱ऴ裁伖⠯暲뇽ᴫ破थ堏穡㕌䟁믶퇋熸䘢ꃮ⦤駒箙짉鏸優鳑浃㶠躺ꫲꉫ叺韩텖澆㤼刽倛ᗨ晴诮༩㱩ꅱ青쥩䚟㖂芬㶻椧랟췍꾁ᮙ됡㩩晔㭓䞐箧ǋ䡰箧ǋ耀㹬㨀㨀㾀逸̀鈀 啒啕拐糛ǋ䣰箧ǋɮ卋䵓Ā먰簔ǋ 랟췍꾁ᮙ됡㩩晔㭓᱋慏蕮᭩퉏셤ṳ㾀랟췍꾁ᮙ됡㩩晔㭓᱋慏蕮᭩퉏셤ṳ㣦躿靧锦⍆꽏䔒鐜犂䏓墺▣냚꺩䡛糪徬爲᪾퀬췢⟀镘ɣ▂謫ᨇŦ曭㥁긩⏿䠇鼧퇺੿펙⿽㔽ꓖ☯詴勤댵吝郊ᰚ陎΅䞴৺鐭☇ꄐ苑튻壏ᘈ䈕笰帏띊寳刉擓琎엃䰽쉾ᓲ푶（陣萸졬뎣ᢳ籠閤릣捻洫종秙ᳳ蛑誐˩䋼揣䥼༻ⷹ;뎥燈꼔훵꽑煘᰷볈사榲⾡泘撅ༀ鹜燳Ჱ벫癦ㆨﭪ춐䩼挋ժ䬤揘龎绳苭씬鴣贃ꡯ쫂᎙⟱ऴ裁伖⠯暲뇽ᴫ破थ堏穡㕌䟁믶퇋熸䘢ꃮ⦤駒箙짉鏸優鳑浃㶠躺ꫲꉫ叺韩텖澆㤼刽倛ᗨ晴诮༩㱩ꅱ青쥩䚟㖂芬㶻椧랟췍꾁ᮙ됡㩩晔㭓䨰箧ǋ䬐箧ǋ㷋䀀㻾爫Ѐ鈀 啒啕魠Ὂǋ䮐箧ǋɮ卋䵓Ā꒰Ȅǋ꼑˄껻槐箜豞욋繗 ⸥曋぀褥芢旫げଠ刵瓩礠쫌⸥曋぀褥芢旫げଠ刵瓩礠쫌斒톿覩Ꭶ舮癍⍣⡃㗀究䄩͖该볫悂㕂腽㗎鋛럠誂뗼ꋁ耼섕䫰ざ顔Ԕᤩペ诲蜺潤鴂ᶿ㿃鶃岖㲕ᙦε눓ڡꬺ㙻⃈녁侬喁餮橂ҭ贶堻놣九佭렼䧌ጆ羷㏎컶籢覄뒁贩㦷픒蠔魏쮉䈨艅儮ﷲ拠㌄Ẃᴱﮗꦰ皾逇ꎬ᠓㣣㼯堡渁ꗓೡ雗ባ톱랗햹댎ႜࠜ翢矌긽꽨ᝨЭ騾竀ᨋ뵮쨉Јҙ씥묒潾릗ᦑ륕ꭅ赖续耵륦캐섭뾋꩛垧练愳ꃄ珡㐃햨ൣÅ冈Ⱇ硋焛歶ђ῰䆏ዒ铇ꙉ㥠売炣⧃崌ጽ餷媈ﳯ䗝ഢ핈뒛궧差多閭꼉奠꫷㫾쐻ᇮ質୿ὕ邕릹磯榎꽁졃쳍׾掞滌⸥曋぀褥芢旫䳐箧ǋ䶰箧ǋ勉Ԁ鈀 啒啕썰糚ǋ丰箧ǋɮ卋䵓Ā볐簔ǋ 랟췍꾁ᮙ됡㩩晔㭓᱋慏蕮᭩퉏셤ṳ랟췍꾁ᮙ됡㩩晔㭓᱋慏蕮᭩퉏셤ṳ㣦躿靧锦⍆꽏䔒鐜犂䏓墺▣냚꺩䡛糪徬爲᪾퀬췢⟀镘ɣ▂謫ᨇŦ曭㥁긩⏿䠇鼧퇺੿펙⿽㔽ꓖ☯詴勤댵吝郊ᰚ陎΅䞴৺鐭☇ꄐ苑튻壏ᘈ䈕笰帏띊寳刉擓琎엃䰽쉾ᓲ푶（陣萸졬뎣ᢳ籠閤릣捻洫종秙ᳳ蛑誐˩䋼揣䥼༻ⷹ;뎥燈꼔훵꽑煘᰷볈사榲⾡泘撅ༀ鹜燳Ჱ벫癦ㆨﭪ춐䩼挋ժ䬤揘龎绳苭씬鴣贃ꡯ쫂᎙⟱ऴ裁伖⠯暲뇽ᴫ破थ堏穡㕌䟁믶퇋熸䘢ꃮ⦤駒箙짉鏸優鳑浃㶠躺ꫲꉫ叺韩텖澆㤼刽倛ᗨ晴诮༩㱩ꅱ青쥩䚟㖂芬㶻椧랟췍꾁ᮙ됡㩩晔㭓佰箧ǋ偐箧ǋ㾀ﯥ؀鈀 啒啕❰糛ǋ僐箧ǋɮ卋䵓Ā瑠篺ǋ 랟췍꾁ᮙ됡㩩晔㭓᱋慏蕮᭩퉏셤ṳ㾀랟췍꾁ᮙ됡㩩晔㭓᱋慏蕮᭩퉏셤ṳ㣦躿靧锦⍆꽏䔒鐜犂䏓墺▣냚꺩䡛糪徬爲᪾퀬췢⟀镘ɣ▂謫ᨇŦ曭㥁긩⏿䠇鼧퇺੿펙⿽㔽ꓖ☯詴勤댵吝郊ᰚ陎΅䞴৺鐭☇ꄐ苑튻壏ᘈ䈕笰帏띊寳刉擓琎엃䰽쉾ᓲ푶（陣萸졬뎣ᢳ籠閤릣捻洫종秙ᳳ蛑誐˩䋼揣䥼༻ⷹ;뎥燈꼔훵꽑煘᰷볈사榲⾡泘撅ༀ鹜燳Ჱ벫癦ㆨﭪ춐䩼挋ժ䬤揘龎绳苭씬鴣贃ꡯ쫂᎙⟱ऴ裁伖⠯暲뇽ᴫ破थ堏穡㕌䟁믶퇋熸䘢ꃮ⦤駒箙짉鏸優鳑浃㶠躺ꫲꉫ叺韩텖澆㤼刽倛ᗨ晴诮༩㱩ꅱ青쥩䚟㖂芬㶻椧랟췍꾁ᮙ됡㩩晔㭓刐箧ǋ勰箧ǋ﯏܀鈀 啒啕岐糛ǋ印箧ǋɮ卋䵓Ā镠簕ǋ⨵啉큤뀌䓊䥘ଯ 쉹憟ងꆉﹽ饎饏熿ᖛ䫳鴾⍡額穛仜쉹憟ងꆉﹽ饎饏熿ᖛ䫳鴾⍡額穛仜䒢墰匦魯굛恷㐔ᇈൡ젛遟秮猷ε㷫귛趗﻽璮厦ᓙ枲ԑ衖ꎙ᠉䣣懧㯔扒ؿ跸⚈稜甮ኜ䆈㢒妁灱㡦䮥娴䶚惃锛䙋汍㍥臂⇹楜밑쇘놩兀蟂랖낲뚏藪崽ꐓ㑡ჼ梞촊銒䫈┄Ȳ墍뒽葲ㅗ镄谆쾋ʁ瘊䡉匎ꤠ捠ᶝⳊ㹝릎퍳࣊῿⺬痏鿀ຮ⋆脹獺ꗸ烒燊戩臌㣐贈♦樰녬筡봆辗巬Ψ퐲ዻ뾫Ặ違霊ᅑ౪ㆍ鸏꼞觞ᅓ␴교唿曕覼脄魠镴歒麓䍏⛀찓귪밃荥筹뎳谶漰ዜ撣砽肩௧⠝롓轜謪瀐⡺补ブ毧緬荲륃륍珚ꢴ뎴ꝁ㍹ｌㆳµ᢬缪鲨ꅯ쉹憟ងꆉﹽ饎饏熿咰箧ǋ喐箧ǋﮱࠀ鈀 啒啕糚ǋ嘐箧ǋɮ卋䵓Ā血篺ǋ 랟췍꾁ᮙ됡㩩晔㭓᱋慏蕮᭩퉏셤ṳ랟췍꾁ᮙ됡㩩晔㭓᱋慏蕮᭩퉏셤ṳ㣦躿靧锦⍆꽏䔒鐜犂䏓墺▣냚꺩䡛糪徬爲᪾퀬췢⟀镘ɣ▂謫ᨇŦ曭㥁긩⏿䠇鼧퇺੿펙⿽㔽ꓖ☯詴勤댵吝郊ᰚ陎΅䞴৺鐭☇ꄐ苑튻壏ᘈ䈕笰帏띊寳刉擓琎엃䰽쉾ᓲ푶（陣萸졬뎣ᢳ籠閤릣捻洫종秙ᳳ蛑誐˩䋼揣䥼༻ⷹ;뎥燈꼔훵꽑煘᰷볈사榲⾡泘撅ༀ鹜燳Ჱ벫癦ㆨﭪ춐䩼挋ժ䬤揘龎绳苭씬鴣贃ꡯ쫂᎙⟱ऴ裁伖⠯暲뇽ᴫ破थ堏穡㕌䟁믶퇋熸䘢ꃮ⦤駒箙짉鏸優鳑浃㶠躺ꫲꉫ叺韩텖澆㤼刽倛ᗨ晴诮༩㱩ꅱ青쥩䚟㖂芬㶻椧랟췍꾁ᮙ됡㩩晔㭓坐箧ǋ堰箧ǋ 㼇㨀㨀㾀ﮛऀ鈀 啒啕蹐糚ǋ墰箧ǋɮ卋䵓Ā돐簔ǋȿ囂톐匘担㉩릓 쉹憟ងꆉﹽ饎饏熿ᖛ䫳鴾⍡額穛仜쉹憟ងꆉﹽ饎饏熿ᖛ䫳鴾⍡額穛仜䒢墰匦魯굛恷㐔ᇈൡ젛遟秮猷ε㷫귛趗﻽璮厦ᓙ枲ԑ衖ꎙ᠉䣣懧㯔扒ؿ跸⚈稜甮ኜ䆈㢒妁灱㡦䮥娴䶚惃锛䙋汍㍥臂⇹楜밑쇘놩兀蟂랖낲뚏藪崽ꐓ㑡ჼ梞촊銒䫈┄Ȳ墍뒽葲ㅗ镄谆쾋ʁ瘊䡉匎ꤠ捠ᶝⳊ㹝릎퍳࣊῿⺬痏鿀ຮ⋆脹獺ꗸ烒燊戩臌㣐贈♦樰녬筡봆辗巬Ψ퐲ዻ뾫Ặ違霊ᅑ౪ㆍ鸏꼞觞ᅓ␴교唿曕覼脄魠镴歒麓䍏⛀찓귪밃荥筹뎳谶漰ዜ撣砽肩௧⠝롓轜謪瀐⡺补ブ毧緬荲륃륍珚ꢴ뎴ꝁ㍹ｌㆳµ᢬缪鲨ꅯ쉹憟ងꆉﹽ饎饏熿姰箧ǋ嫐箧ǋ㺻 㼇כֿ਀鈀 啒啕䭠糛ǋ子箧ǋɮ卋䵓Ā绠篺ǋ䕡禰䋬骜뮉瑉蒂韰 쉹憟ងꆉﹽ饎饏熿ᖛ䫳鴾⍡額穛仜쉹憟ងꆉﹽ饎饏熿ᖛ䫳鴾⍡額穛仜䒢墰匦魯굛恷㐔ᇈൡ젛遟秮猷ε㷫귛趗﻽璮厦ᓙ枲ԑ衖ꎙ᠉䣣懧㯔扒ؿ跸⚈稜甮ኜ䆈㢒妁灱㡦䮥娴䶚惃锛䙋汍㍥臂⇹楜밑쇘놩兀蟂랖낲뚏藪崽ꐓ㑡ჼ梞촊銒䫈┄Ȳ墍뒽葲ㅗ镄谆쾋ʁ瘊䡉匎ꤠ捠ᶝⳊ㹝릎퍳࣊῿⺬痏鿀ຮ⋆脹獺ꗸ烒燊戩臌㣐贈♦樰녬筡봆辗巬Ψ퐲ዻ뾫Ặ違霊ᅑ౪ㆍ鸏꼞觞ᅓ␴교唿曕覼脄魠镴歒麓䍏⛀찓귪밃荥筹뎳谶漰ዜ撣砽肩௧" userName="" userProvider="AD"/>
        <Anchor>
          <Comment id="{9BC98DD7-BB54-4B08-9E9A-81630BC2EAA4}"/>
        </Anchor>
        <SetTitle title="@GREENE-CRAMER, Blanche Johanna , Please see proposed changes, let me know your thoughts?"/>
      </Event>
    </History>
  </Task>
</Task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9396E11-39F3-4AC8-82D4-2484D86ABBC2}">
    <nsvFilter filterId="{F26ECC45-CB93-4AE6-A807-752AC378D0B5}" ref="A1:AR618" tableId="2">
      <columnFilter colId="24" id="{2A983FAB-7E89-41CF-B62F-1832D14DCA06}">
        <filter colId="24">
          <x:filters>
            <x:filter val="yes"/>
          </x:filters>
        </filter>
      </columnFilter>
      <columnFilter colId="25" id="{8AFBC69B-DF3D-324B-A1A3-870C317C724F}">
        <filter colId="25">
          <x:filters>
            <x:filter val="EIS anouncement"/>
          </x:filters>
        </filter>
      </columnFilter>
      <sortRules>
        <sortRule colId="33" id="{07211029-377D-4C07-A806-B9D2E31FB346}">
          <sortCondition ref="AH1:AH618"/>
        </sortRule>
      </sortRules>
    </nsvFilter>
  </namedSheetView>
</namedSheetViews>
</file>

<file path=xl/persons/person.xml><?xml version="1.0" encoding="utf-8"?>
<personList xmlns="http://schemas.microsoft.com/office/spreadsheetml/2018/threadedcomments" xmlns:x="http://schemas.openxmlformats.org/spreadsheetml/2006/main">
  <person displayName="GREENE-CRAMER, Blanche Johanna" id="{CAF3E30E-A85A-4B92-B3F8-0EA383E9DAFA}" userId="greenecramerb@who.int" providerId="PeoplePicker"/>
  <person displayName="SELENIC MINET, Dubravka" id="{3B48A75A-484C-436C-8BCD-21638145413C}" userId="S::selenicminetd@who.int::61df0fb2-4f1b-4442-9e45-f795767c5a1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74BBB3-EABD-420D-A094-3B633725E55E}" name="Table2" displayName="Table2" ref="A1:AR618" totalsRowShown="0" headerRowDxfId="95" dataDxfId="93" totalsRowDxfId="91" headerRowBorderDxfId="94" tableBorderDxfId="92">
  <autoFilter ref="A1:AR618" xr:uid="{F26ECC45-CB93-4AE6-A807-752AC378D0B5}"/>
  <sortState xmlns:xlrd2="http://schemas.microsoft.com/office/spreadsheetml/2017/richdata2" ref="A2:AR618">
    <sortCondition ref="A1:A618"/>
  </sortState>
  <tableColumns count="44">
    <tableColumn id="27" xr3:uid="{797DA67F-0C0D-42B8-A336-64C76C5AACFF}" name="Date of entry" dataDxfId="90" totalsRowDxfId="89"/>
    <tableColumn id="11" xr3:uid="{CD56F09A-54BA-4AFC-BE26-ABE3E3401042}" name="Status" dataDxfId="88" totalsRowDxfId="87"/>
    <tableColumn id="3" xr3:uid="{95699A7B-E28E-BB49-A04F-47BE8FE683DE}" name="Product" dataDxfId="86">
      <calculatedColumnFormula array="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calculatedColumnFormula>
    </tableColumn>
    <tableColumn id="10" xr3:uid="{B6974B40-DABE-4DB8-AC5F-B4B3E9E5BF2E}" name="FP name" dataDxfId="85" totalsRowDxfId="84"/>
    <tableColumn id="1" xr3:uid="{0BA59A3C-E27E-459B-A101-44EEEC49F2D5}" name="disease_condition" dataDxfId="83" totalsRowDxfId="82"/>
    <tableColumn id="2" xr3:uid="{5BA64F78-CFB6-4794-A6F1-8AB25257E9E9}" name="country" dataDxfId="81" totalsRowDxfId="80"/>
    <tableColumn id="32" xr3:uid="{8684AA21-3981-1D43-BD6B-677E036E0C87}" name="Countries (if multiple) or Region" dataDxfId="79" totalsRowDxfId="78"/>
    <tableColumn id="4" xr3:uid="{05362D4A-0AC2-4080-A775-45577F3A3C16}" name="daily signal tracker" dataDxfId="77" totalsRowDxfId="76"/>
    <tableColumn id="33" xr3:uid="{E52BAA8B-2604-E04C-AB4E-3572FBF1D6EF}" name="Daily signal tracker update entry" dataDxfId="75" totalsRowDxfId="74"/>
    <tableColumn id="6" xr3:uid="{2C26D877-6174-4860-933F-99745199C1C3}" name="EMS entry" dataDxfId="73" totalsRowDxfId="72"/>
    <tableColumn id="23" xr3:uid="{9E94AB55-2FFF-4D0A-B8A6-E64A6A8F962A}" name="EMS event ID" dataDxfId="71" totalsRowDxfId="70"/>
    <tableColumn id="34" xr3:uid="{2A138139-1DFF-1F4F-92DE-5C948C231095}" name="EMS comments" dataDxfId="69" totalsRowDxfId="68" dataCellStyle="Hyperlink" totalsRowCellStyle="Hyperlink"/>
    <tableColumn id="45" xr3:uid="{FBCCD28E-8631-404F-B9FA-108574912B10}" name="Pending_question" dataDxfId="67" totalsRowDxfId="66"/>
    <tableColumn id="44" xr3:uid="{659B0425-D99A-D646-B1B6-9FD98030E3D3}" name="Pending question status" dataDxfId="65" totalsRowDxfId="64"/>
    <tableColumn id="43" xr3:uid="{CF7D6140-2B71-604F-8C69-745E130DC00B}" name="PQ_closure_date" dataDxfId="63" totalsRowDxfId="62"/>
    <tableColumn id="14" xr3:uid="{C4354EC1-9D10-42CA-83CB-4A19F0C28426}" name="Need_RRA" dataDxfId="61" totalsRowDxfId="60"/>
    <tableColumn id="35" xr3:uid="{9E1DAEF5-ADE4-3045-928E-F0C40F2EA704}" name="Version" dataDxfId="59" totalsRowDxfId="58"/>
    <tableColumn id="7" xr3:uid="{3C949C59-6AAE-4F17-8A99-FCD62FD835EE}" name="RRA status" dataDxfId="57" totalsRowDxfId="56"/>
    <tableColumn id="24" xr3:uid="{07EDEE05-04BA-4B91-8F8B-AF826AB6FF45}" name="RRA_Decision_date" dataDxfId="55" totalsRowDxfId="54"/>
    <tableColumn id="47" xr3:uid="{91794815-8717-0D4D-8244-7605A059A0C4}" name="RRA_start_date" dataDxfId="53" totalsRowDxfId="52"/>
    <tableColumn id="17" xr3:uid="{0932CAAA-E8C3-46CB-B27F-790668B1A78B}" name="RRA_pub_date" dataDxfId="51" totalsRowDxfId="50"/>
    <tableColumn id="22" xr3:uid="{958131AD-009E-4FE5-B04B-EB419BC18329}" name="RRA National risk level" dataDxfId="49" totalsRowDxfId="48"/>
    <tableColumn id="21" xr3:uid="{01EC20B7-4FF6-4C2E-8872-BB0891843CFF}" name="RRA Regional risk level" dataDxfId="47" totalsRowDxfId="46"/>
    <tableColumn id="20" xr3:uid="{F95AD8C8-CBCB-4AAA-A77B-42B489422DDA}" name="RRA Global risk level" dataDxfId="45" totalsRowDxfId="44"/>
    <tableColumn id="15" xr3:uid="{2A983FAB-7E89-41CF-B62F-1832D14DCA06}" name="Need_EIS" dataDxfId="43" totalsRowDxfId="42"/>
    <tableColumn id="40" xr3:uid="{8AFBC69B-DF3D-324B-A1A3-870C317C724F}" name="Type" dataDxfId="41" totalsRowDxfId="40"/>
    <tableColumn id="49" xr3:uid="{9B9B1628-AA68-2F4E-9BBD-C60D651C8403}" name="EIS_first_draft_by" dataDxfId="39" totalsRowDxfId="38"/>
    <tableColumn id="8" xr3:uid="{9BB451D9-6695-437A-8EDF-3529CD061F2E}" name="EIS status" dataDxfId="37" totalsRowDxfId="36"/>
    <tableColumn id="39" xr3:uid="{971A9455-E2D5-9F42-B819-D19C3B161F62}" name="EIS_decision_date" dataDxfId="35" totalsRowDxfId="34"/>
    <tableColumn id="48" xr3:uid="{351DC24A-A2E5-2343-970F-F618FD846CF4}" name="EIS_start_HQ_receive_date" dataDxfId="33" totalsRowDxfId="32"/>
    <tableColumn id="38" xr3:uid="{CB29DF64-F21F-554D-AF1D-86D2A22435F2}" name="EIS sent to _x000a_Regional office" dataDxfId="31" totalsRowDxfId="30"/>
    <tableColumn id="37" xr3:uid="{168C24BE-6EC6-3146-82D2-FADFF7738B09}" name="EIS sent to NFP" dataDxfId="29" totalsRowDxfId="28"/>
    <tableColumn id="36" xr3:uid="{E8398DFF-BD76-3242-A96C-CF37721DBA50}" name="Feedback NFP" dataDxfId="27" totalsRowDxfId="26"/>
    <tableColumn id="18" xr3:uid="{07211029-377D-4C07-A806-B9D2E31FB346}" name="EIS_pub_date" dataDxfId="25" totalsRowDxfId="24"/>
    <tableColumn id="16" xr3:uid="{9ADA50CA-7598-4755-8F1E-E72CE9450329}" name="Need_DON" dataDxfId="23" totalsRowDxfId="22"/>
    <tableColumn id="50" xr3:uid="{B2956074-26C1-C14F-8B05-4E5F8179D2B6}" name="DON_start_date" dataDxfId="21" totalsRowDxfId="20"/>
    <tableColumn id="19" xr3:uid="{E1B28ED1-89E5-4E15-A255-1A7A0409C39E}" name="DON_pub_date" dataDxfId="19" totalsRowDxfId="18"/>
    <tableColumn id="12" xr3:uid="{79612D57-EBBF-4D65-81F9-3841954B5762}" name="Comments" dataDxfId="17" totalsRowDxfId="16"/>
    <tableColumn id="26" xr3:uid="{F7D21D32-677C-4361-93C5-EEE134763E48}" name="countrycode" dataDxfId="15" totalsRowDxfId="14">
      <calculatedColumnFormula>VLOOKUP(Table2[[#This Row],[country]],Countrycode!A:B,2,FALSE)</calculatedColumnFormula>
    </tableColumn>
    <tableColumn id="25" xr3:uid="{00D0A280-66AC-7748-A8D7-492BEFEC42CC}" name="RRA_indic" dataDxfId="13" totalsRowDxfId="12">
      <calculatedColumnFormula>IF(ISBLANK(Table2[[#This Row],[Need_RRA]]), 2,(IF(Table2[[#This Row],[Need_RRA]]="No", 0, (IF(AND(Table2[[#This Row],[Need_RRA]]="Yes",  Table2[[#This Row],[RRA_pub_date]]=""),1, 0)))))</calculatedColumnFormula>
    </tableColumn>
    <tableColumn id="13" xr3:uid="{396AB801-5FCA-0F43-B452-035B7A37D18F}" name="EIS_indic" dataDxfId="11" totalsRowDxfId="10">
      <calculatedColumnFormula>IF(ISBLANK(Table2[[#This Row],[Need_EIS]]), 2,(IF(Table2[[#This Row],[Need_EIS]]="No", 0, (IF(AND(Table2[[#This Row],[Need_EIS]]="Yes",  Table2[[#This Row],[EIS_pub_date]]=""),1, 0)))))</calculatedColumnFormula>
    </tableColumn>
    <tableColumn id="9" xr3:uid="{684F3C38-6719-214E-9769-4C47A57D685F}" name="DON_indic" dataDxfId="9" totalsRowDxfId="8">
      <calculatedColumnFormula>IF(ISBLANK(Table2[[#This Row],[Need_DON]]), 2,(IF(Table2[[#This Row],[Need_DON]]="No", 0, (IF(AND(Table2[[#This Row],[Need_DON]]="Yes",  Table2[[#This Row],[DON_pub_date]]=""),1, 0)))))</calculatedColumnFormula>
    </tableColumn>
    <tableColumn id="46" xr3:uid="{E31FE16C-454A-B14B-B3D0-39B6851C18AA}" name="PQ_indic" dataDxfId="7" totalsRowDxfId="6">
      <calculatedColumnFormula>IF(ISBLANK(Table2[[#This Row],[Pending_question]]), 2,(IF(Table2[[#This Row],[Pending_question]]="Yes", 1, 0)))</calculatedColumnFormula>
    </tableColumn>
    <tableColumn id="5" xr3:uid="{728549AF-65D2-4A42-A785-C00B4647811F}" name="daily_list" dataDxfId="5" totalsRow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9E5162-1145-4763-B62D-79F2DF2B56C8}" name="Table1" displayName="Table1" ref="A1:G57" totalsRowShown="0" dataDxfId="3" tableBorderDxfId="2">
  <autoFilter ref="A1:G57" xr:uid="{35429262-29AA-49F1-8A51-9B02B1DDAAA4}"/>
  <sortState xmlns:xlrd2="http://schemas.microsoft.com/office/spreadsheetml/2017/richdata2" ref="A2:G57">
    <sortCondition ref="A1:A57"/>
  </sortState>
  <tableColumns count="7">
    <tableColumn id="1" xr3:uid="{6512C284-0310-4FB6-A1AB-9DABD0D18FF2}" name="Disease/hazard"/>
    <tableColumn id="7" xr3:uid="{99AE774F-CE60-4934-8BA8-D656A377AC59}" name="PHI priority level (1 - high, 2-moderate, 3- low)" dataDxfId="1"/>
    <tableColumn id="5" xr3:uid="{F103807B-71B5-4374-B2B3-3AF68D41B738}" name="Monitoring workload level (1-heavy, 2-moderate, 3-low)" dataDxfId="0"/>
    <tableColumn id="6" xr3:uid="{7561FB1D-BE54-4B88-B752-5F5C96C3AD52}" name="*GLEWS+"/>
    <tableColumn id="2" xr3:uid="{9815B4E8-BC27-4139-9A34-708E49FAB2A7}" name="**PHI FP Team"/>
    <tableColumn id="4" xr3:uid="{68976E44-AD7E-4DC0-9EA5-237DDF0580D3}" name="Support FP from other Unit"/>
    <tableColumn id="3" xr3:uid="{5BAA6488-2629-4B32-A752-F7FE4353BD93}" name="***HQ Technical Team"/>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0AC30E-FE09-4138-9E70-67DAD50E8D7C}" name="Table3" displayName="Table3" ref="A1:J45" totalsRowShown="0">
  <autoFilter ref="A1:J45" xr:uid="{817EDDC5-F359-460E-AB5E-A871314EAA84}">
    <filterColumn colId="3">
      <filters blank="1">
        <filter val="open"/>
      </filters>
    </filterColumn>
  </autoFilter>
  <tableColumns count="10">
    <tableColumn id="1" xr3:uid="{811A36A6-A282-4E22-9303-7E0E91EFBF31}" name="FP name"/>
    <tableColumn id="2" xr3:uid="{E05DD3EE-7425-4F5D-A69D-5667DE3CD4DC}" name="project description"/>
    <tableColumn id="4" xr3:uid="{3823624C-2086-42C8-8DC3-A647A1EBD739}" name="collaboration"/>
    <tableColumn id="3" xr3:uid="{C3836005-94B9-405C-95A0-D68789152B87}" name="project status"/>
    <tableColumn id="5" xr3:uid="{9A81E20B-BB19-4A80-B711-719BFCCFCE61}" name="Start date"/>
    <tableColumn id="6" xr3:uid="{081B2E43-82F2-41AE-8EE7-B234C646EE5B}" name="Completion date aim"/>
    <tableColumn id="7" xr3:uid="{F12CBD53-3586-4595-B129-4DB3E713848A}" name="Column1"/>
    <tableColumn id="8" xr3:uid="{ABF20F94-E9F1-437A-AD39-C2145DA45647}" name="Priority level"/>
    <tableColumn id="9" xr3:uid="{2F7B4C6B-8E84-4427-B80C-5779B4CBD286}" name="Column2"/>
    <tableColumn id="10" xr3:uid="{59131887-1DE9-4A67-8063-909828A0A178}" name="Column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2-09-14T10:02:37.21" personId="{3B48A75A-484C-436C-8BCD-21638145413C}" id="{9BC98DD7-BB54-4B08-9E9A-81630BC2EAA4}">
    <text>@GREENE-CRAMER, Blanche Johanna , Please see proposed changes, let me know your thoughts?</text>
    <mentions>
      <mention mentionpersonId="{CAF3E30E-A85A-4B92-B3F8-0EA383E9DAFA}" mentionId="{B036793E-9E1F-4DEE-8638-0FA58E6E4994}" startIndex="0" length="31"/>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ems.who.int/Event/eventSummary.aspx?eid=2022-E000370" TargetMode="External"/><Relationship Id="rId299" Type="http://schemas.openxmlformats.org/officeDocument/2006/relationships/hyperlink" Target="https://ems.who.int/Event/EventCurrentCoreDetail.aspx?eid=2024-E000168" TargetMode="External"/><Relationship Id="rId21" Type="http://schemas.openxmlformats.org/officeDocument/2006/relationships/hyperlink" Target="https://ems.who.int/Event/eventSummary.aspx?eid=2018-E000340" TargetMode="External"/><Relationship Id="rId63" Type="http://schemas.openxmlformats.org/officeDocument/2006/relationships/hyperlink" Target="https://ems.who.int/Event/eventSummary.aspx?eid=2022-E000097" TargetMode="External"/><Relationship Id="rId159" Type="http://schemas.openxmlformats.org/officeDocument/2006/relationships/hyperlink" Target="https://ems.who.int/Event/eventSummary.aspx?eid=2023-E000065" TargetMode="External"/><Relationship Id="rId324" Type="http://schemas.openxmlformats.org/officeDocument/2006/relationships/hyperlink" Target="https://ems.who.int/Event/eventSummary.aspx?eid=2024-E000427" TargetMode="External"/><Relationship Id="rId366" Type="http://schemas.openxmlformats.org/officeDocument/2006/relationships/hyperlink" Target="https://ems.who.int/Event/eventSummary.aspx?eid=2022-E000368" TargetMode="External"/><Relationship Id="rId170" Type="http://schemas.openxmlformats.org/officeDocument/2006/relationships/hyperlink" Target="https://extranet.who.int/ihr/eventinformation/event/2023-e000057" TargetMode="External"/><Relationship Id="rId226" Type="http://schemas.openxmlformats.org/officeDocument/2006/relationships/hyperlink" Target="https://ems.who.int/Event/EventCurrentCoreDetail.aspx?eid=2023-E000364" TargetMode="External"/><Relationship Id="rId268" Type="http://schemas.openxmlformats.org/officeDocument/2006/relationships/hyperlink" Target="https://ems.who.int/Event/eventSummary.aspx?eid=2024-E000105" TargetMode="External"/><Relationship Id="rId32" Type="http://schemas.openxmlformats.org/officeDocument/2006/relationships/hyperlink" Target="https://ems.who.int/Event/eventSummary.aspx?eid=2017-E000441" TargetMode="External"/><Relationship Id="rId74" Type="http://schemas.openxmlformats.org/officeDocument/2006/relationships/hyperlink" Target="https://ems.who.int/Event/EventCurrentCoreDetail.aspx?eid=2022-E000194" TargetMode="External"/><Relationship Id="rId128" Type="http://schemas.openxmlformats.org/officeDocument/2006/relationships/hyperlink" Target="https://ems.who.int/Event/eventSummary.aspx?eid=2022-E000437" TargetMode="External"/><Relationship Id="rId335" Type="http://schemas.openxmlformats.org/officeDocument/2006/relationships/hyperlink" Target="https://ems.who.int/Event/eventSummary.aspx?eid=2024-E000496" TargetMode="External"/><Relationship Id="rId377" Type="http://schemas.openxmlformats.org/officeDocument/2006/relationships/hyperlink" Target="https://ems.who.int/Event/eventSummary.aspx?eid=2025-E000182" TargetMode="External"/><Relationship Id="rId5" Type="http://schemas.openxmlformats.org/officeDocument/2006/relationships/hyperlink" Target="https://ems.who.int/Event/eventSummary.aspx?eid=2021-E000381" TargetMode="External"/><Relationship Id="rId181" Type="http://schemas.openxmlformats.org/officeDocument/2006/relationships/hyperlink" Target="https://ems.who.int/Event/eventSummary.aspx?eid=2023-E000137" TargetMode="External"/><Relationship Id="rId237" Type="http://schemas.openxmlformats.org/officeDocument/2006/relationships/hyperlink" Target="https://ems.who.int/Event/eventSummary.aspx?eid=2023-E000481" TargetMode="External"/><Relationship Id="rId402" Type="http://schemas.openxmlformats.org/officeDocument/2006/relationships/hyperlink" Target="https://ems.who.int/Event/EventOutputIHR.aspx?eid=2024-E000226" TargetMode="External"/><Relationship Id="rId279" Type="http://schemas.openxmlformats.org/officeDocument/2006/relationships/hyperlink" Target="https://ems.who.int/Event/eventSummary.aspx?eid=2024-E000212" TargetMode="External"/><Relationship Id="rId43" Type="http://schemas.openxmlformats.org/officeDocument/2006/relationships/hyperlink" Target="https://ems.who.int/Event/eventSummary.aspx?eid=2021-E000338" TargetMode="External"/><Relationship Id="rId139" Type="http://schemas.openxmlformats.org/officeDocument/2006/relationships/hyperlink" Target="https://ems.who.int/Event/eventSummary.aspx?eid=2022-E000439" TargetMode="External"/><Relationship Id="rId290" Type="http://schemas.openxmlformats.org/officeDocument/2006/relationships/hyperlink" Target="https://ems.who.int/Event/eventSummary.aspx?eid=2024-E000285" TargetMode="External"/><Relationship Id="rId304" Type="http://schemas.openxmlformats.org/officeDocument/2006/relationships/hyperlink" Target="https://ems.who.int/Event/eventSummary.aspx?eid=2024-E000303" TargetMode="External"/><Relationship Id="rId346" Type="http://schemas.openxmlformats.org/officeDocument/2006/relationships/hyperlink" Target="https://ems.who.int/Event/eventSummary.aspx?eid=2025-E000066" TargetMode="External"/><Relationship Id="rId388" Type="http://schemas.openxmlformats.org/officeDocument/2006/relationships/hyperlink" Target="https://ems.who.int/Event/eventSummary.aspx?eid=2022-E000142" TargetMode="External"/><Relationship Id="rId85" Type="http://schemas.openxmlformats.org/officeDocument/2006/relationships/hyperlink" Target="https://ems.who.int/Event/eventSummary.aspx?eid=2022-E000316" TargetMode="External"/><Relationship Id="rId150" Type="http://schemas.openxmlformats.org/officeDocument/2006/relationships/hyperlink" Target="https://ems.who.int/Event/eventSummary.aspx?eid=2022-E000483" TargetMode="External"/><Relationship Id="rId192" Type="http://schemas.openxmlformats.org/officeDocument/2006/relationships/hyperlink" Target="https://ems.who.int/Event/EventCurrentCoreDetail.aspx?eid=2023-E000220" TargetMode="External"/><Relationship Id="rId206" Type="http://schemas.openxmlformats.org/officeDocument/2006/relationships/hyperlink" Target="https://ems.who.int/Event/eventSummary.aspx?eid=2023-E000305" TargetMode="External"/><Relationship Id="rId413" Type="http://schemas.openxmlformats.org/officeDocument/2006/relationships/hyperlink" Target="https://ems.who.int/Event/eventSummary.aspx?eid=2025-E000278" TargetMode="External"/><Relationship Id="rId248" Type="http://schemas.openxmlformats.org/officeDocument/2006/relationships/hyperlink" Target="https://ems.who.int/Event/eventSummary.aspx?eid=2012-E000288" TargetMode="External"/><Relationship Id="rId12" Type="http://schemas.openxmlformats.org/officeDocument/2006/relationships/hyperlink" Target="https://ems.who.int/Update/UpdateReview.aspx?eid=2021-E000142&amp;updateID=2021-U0023211&amp;UrlReferrer=http%3a%2f%2fems.who.int%2fEvent%2fEventUpdateList.aspx%3feid%3d2021-E000142" TargetMode="External"/><Relationship Id="rId108" Type="http://schemas.openxmlformats.org/officeDocument/2006/relationships/hyperlink" Target="https://ems.who.int/Event/eventSummary.aspx?eid=2022-E000328" TargetMode="External"/><Relationship Id="rId315" Type="http://schemas.openxmlformats.org/officeDocument/2006/relationships/hyperlink" Target="https://ems.who.int/Event/eventSummary.aspx?eid=2024-E000168" TargetMode="External"/><Relationship Id="rId357" Type="http://schemas.openxmlformats.org/officeDocument/2006/relationships/hyperlink" Target="https://ems.who.int/Event/eventSummary.aspx?eid=2025-E000073" TargetMode="External"/><Relationship Id="rId54" Type="http://schemas.openxmlformats.org/officeDocument/2006/relationships/hyperlink" Target="https://ems.who.int/Event/eventSummary.aspx?eid=2022-E000081" TargetMode="External"/><Relationship Id="rId96" Type="http://schemas.openxmlformats.org/officeDocument/2006/relationships/hyperlink" Target="https://ems.who.int/Event/eventSummary.aspx?eid=2022-E000342" TargetMode="External"/><Relationship Id="rId161" Type="http://schemas.openxmlformats.org/officeDocument/2006/relationships/hyperlink" Target="https://ems.who.int/Event/eventSummary.aspx?eid=2023-E000061" TargetMode="External"/><Relationship Id="rId217" Type="http://schemas.openxmlformats.org/officeDocument/2006/relationships/hyperlink" Target="https://ems.who.int/Event/eventSummary.aspx?eid=2018-E000340" TargetMode="External"/><Relationship Id="rId399" Type="http://schemas.openxmlformats.org/officeDocument/2006/relationships/hyperlink" Target="https://ems.who.int/Event/eventSummary.aspx?eid=2022-E000368" TargetMode="External"/><Relationship Id="rId259" Type="http://schemas.openxmlformats.org/officeDocument/2006/relationships/hyperlink" Target="https://ems.who.int/Event/eventSummary.aspx?eid=2024-E000054" TargetMode="External"/><Relationship Id="rId424" Type="http://schemas.openxmlformats.org/officeDocument/2006/relationships/hyperlink" Target="https://ems.who.int/Event/eventSummary.aspx?eid=2025-E000375" TargetMode="External"/><Relationship Id="rId23" Type="http://schemas.openxmlformats.org/officeDocument/2006/relationships/hyperlink" Target="https://ems.who.int/Event/eventSummary.aspx?eid=2022-E000031" TargetMode="External"/><Relationship Id="rId119" Type="http://schemas.openxmlformats.org/officeDocument/2006/relationships/hyperlink" Target="https://ems.who.int/Event/eventSummary.aspx?eid=2022-E000406" TargetMode="External"/><Relationship Id="rId270" Type="http://schemas.openxmlformats.org/officeDocument/2006/relationships/hyperlink" Target="https://ems.who.int/Event/eventSummary.aspx?eid=2022-E000413" TargetMode="External"/><Relationship Id="rId326" Type="http://schemas.openxmlformats.org/officeDocument/2006/relationships/hyperlink" Target="https://ems.who.int/Event/eventSummary.aspx?eid=2024-E000456" TargetMode="External"/><Relationship Id="rId65" Type="http://schemas.openxmlformats.org/officeDocument/2006/relationships/hyperlink" Target="https://ems.who.int/Event/eventSummary.aspx?eid=2022-E000137" TargetMode="External"/><Relationship Id="rId130" Type="http://schemas.openxmlformats.org/officeDocument/2006/relationships/hyperlink" Target="https://ems.who.int/Event/eventSummary.aspx?eid=2021-E000381" TargetMode="External"/><Relationship Id="rId368" Type="http://schemas.openxmlformats.org/officeDocument/2006/relationships/hyperlink" Target="https://ems.who.int/Event/eventSummary.aspx?eid=2025-E000148" TargetMode="External"/><Relationship Id="rId172" Type="http://schemas.openxmlformats.org/officeDocument/2006/relationships/hyperlink" Target="https://ems.who.int/Event/eventSummary.aspx?eid=2022-E000447" TargetMode="External"/><Relationship Id="rId228" Type="http://schemas.openxmlformats.org/officeDocument/2006/relationships/hyperlink" Target="https://ems.who.int/Event/eventSummary.aspx?eid=2023-E000433" TargetMode="External"/><Relationship Id="rId281" Type="http://schemas.openxmlformats.org/officeDocument/2006/relationships/hyperlink" Target="https://ems.who.int/Event/eventSummary.aspx?eid=2022-E000231" TargetMode="External"/><Relationship Id="rId337" Type="http://schemas.openxmlformats.org/officeDocument/2006/relationships/hyperlink" Target="https://ems.who.int/Event/eventSummary.aspx?eid=2024-E000168" TargetMode="External"/><Relationship Id="rId34" Type="http://schemas.openxmlformats.org/officeDocument/2006/relationships/hyperlink" Target="https://ems.who.int/Event/eventSummary.aspx?eid=2018-E000340" TargetMode="External"/><Relationship Id="rId76" Type="http://schemas.openxmlformats.org/officeDocument/2006/relationships/hyperlink" Target="https://ems.who.int/Event/eventSummary.aspx?eid=2018-E000340" TargetMode="External"/><Relationship Id="rId141" Type="http://schemas.openxmlformats.org/officeDocument/2006/relationships/hyperlink" Target="https://ems.who.int/Event/eventSummary.aspx?eid=2022-E000053" TargetMode="External"/><Relationship Id="rId379" Type="http://schemas.openxmlformats.org/officeDocument/2006/relationships/hyperlink" Target="https://ems.who.int/Event/eventSummary.aspx?eid=2025-E000179" TargetMode="External"/><Relationship Id="rId7" Type="http://schemas.openxmlformats.org/officeDocument/2006/relationships/hyperlink" Target="https://ems.who.int/Event/eventSummary.aspx?eid=2018-E000340" TargetMode="External"/><Relationship Id="rId183" Type="http://schemas.openxmlformats.org/officeDocument/2006/relationships/hyperlink" Target="https://ems.who.int/Event/eventSummary.aspx?eid=2023-E000152" TargetMode="External"/><Relationship Id="rId239" Type="http://schemas.openxmlformats.org/officeDocument/2006/relationships/hyperlink" Target="https://ems.who.int/Event/eventSummary.aspx?eid=2018-E000340" TargetMode="External"/><Relationship Id="rId390" Type="http://schemas.openxmlformats.org/officeDocument/2006/relationships/hyperlink" Target="https://ems.who.int/Event/eventSummary.aspx?eid=2022-E000368" TargetMode="External"/><Relationship Id="rId404" Type="http://schemas.openxmlformats.org/officeDocument/2006/relationships/hyperlink" Target="https://ems.who.int/Event/eventSummary.aspx?eid=2025-E000215" TargetMode="External"/><Relationship Id="rId250" Type="http://schemas.openxmlformats.org/officeDocument/2006/relationships/hyperlink" Target="https://ems.who.int/Event/eventSummary.aspx?eid=2024-E000037" TargetMode="External"/><Relationship Id="rId292" Type="http://schemas.openxmlformats.org/officeDocument/2006/relationships/hyperlink" Target="https://ems.who.int/Event/EventCurrentCoreDetail.aspx?eid=2024-E000168" TargetMode="External"/><Relationship Id="rId306" Type="http://schemas.openxmlformats.org/officeDocument/2006/relationships/hyperlink" Target="https://ems.who.int/Event/eventSummary.aspx?eid=2024-E000342" TargetMode="External"/><Relationship Id="rId45" Type="http://schemas.openxmlformats.org/officeDocument/2006/relationships/hyperlink" Target="https://ems.who.int/Event/eventSummary.aspx?eid=2022-E000082" TargetMode="External"/><Relationship Id="rId87" Type="http://schemas.openxmlformats.org/officeDocument/2006/relationships/hyperlink" Target="https://ems.who.int/Event/eventSummary.aspx?eid=2017-E000441" TargetMode="External"/><Relationship Id="rId110" Type="http://schemas.openxmlformats.org/officeDocument/2006/relationships/hyperlink" Target="https://ems.who.int/Event/eventSummary.aspx?eid=2022-E000376" TargetMode="External"/><Relationship Id="rId348" Type="http://schemas.openxmlformats.org/officeDocument/2006/relationships/hyperlink" Target="https://ems.who.int/Event/eventSummary.aspx?eid=2025-E000075" TargetMode="External"/><Relationship Id="rId152" Type="http://schemas.openxmlformats.org/officeDocument/2006/relationships/hyperlink" Target="https://ems.who.int/Event/eventSummary.aspx?eid=2023-E000022" TargetMode="External"/><Relationship Id="rId194" Type="http://schemas.openxmlformats.org/officeDocument/2006/relationships/hyperlink" Target="https://ems.who.int/Event/eventSummary.aspx?eid=2023-E000239" TargetMode="External"/><Relationship Id="rId208" Type="http://schemas.openxmlformats.org/officeDocument/2006/relationships/hyperlink" Target="https://ems.who.int/Event/eventSummary.aspx?eid=2023-E000324" TargetMode="External"/><Relationship Id="rId415" Type="http://schemas.openxmlformats.org/officeDocument/2006/relationships/hyperlink" Target="https://ems.who.int/Event/eventSummary.aspx?eid=2022-E000231" TargetMode="External"/><Relationship Id="rId261" Type="http://schemas.openxmlformats.org/officeDocument/2006/relationships/hyperlink" Target="https://ems.who.int/Event/eventSummary.aspx?eid=2024-E000101" TargetMode="External"/><Relationship Id="rId14" Type="http://schemas.openxmlformats.org/officeDocument/2006/relationships/hyperlink" Target="https://ems.who.int/Event/eventSummary.aspx?eid=2018-E000340" TargetMode="External"/><Relationship Id="rId56" Type="http://schemas.openxmlformats.org/officeDocument/2006/relationships/hyperlink" Target="https://ems.who.int/Event/eventSummary.aspx?eid=2022-E000108" TargetMode="External"/><Relationship Id="rId317" Type="http://schemas.openxmlformats.org/officeDocument/2006/relationships/hyperlink" Target="https://ems.who.int/Event/eventSummary.aspx?eid=2024-E000389" TargetMode="External"/><Relationship Id="rId359" Type="http://schemas.openxmlformats.org/officeDocument/2006/relationships/hyperlink" Target="https://ems.who.int/Event/eventSummary.aspx?eid=2025-E000053" TargetMode="External"/><Relationship Id="rId98" Type="http://schemas.openxmlformats.org/officeDocument/2006/relationships/hyperlink" Target="https://ems.who.int/Event/eventSummary.aspx?eid=2022-E000279" TargetMode="External"/><Relationship Id="rId121" Type="http://schemas.openxmlformats.org/officeDocument/2006/relationships/hyperlink" Target="https://ems.who.int/Event/eventSummary.aspx?eid=2022-E000410" TargetMode="External"/><Relationship Id="rId163" Type="http://schemas.openxmlformats.org/officeDocument/2006/relationships/hyperlink" Target="https://ems.who.int/Event/eventSummary.aspx?eid=2023-E000065" TargetMode="External"/><Relationship Id="rId219" Type="http://schemas.openxmlformats.org/officeDocument/2006/relationships/hyperlink" Target="https://ems.who.int/Event/eventSummary.aspx?eid=2023-E000040" TargetMode="External"/><Relationship Id="rId370" Type="http://schemas.openxmlformats.org/officeDocument/2006/relationships/hyperlink" Target="https://ems.who.int/Event/eventSummary.aspx?eid=2025-E000157" TargetMode="External"/><Relationship Id="rId426" Type="http://schemas.openxmlformats.org/officeDocument/2006/relationships/hyperlink" Target="https://ems.who.int/Event/eventSummary.aspx?eid=2025-E000386" TargetMode="External"/><Relationship Id="rId230" Type="http://schemas.openxmlformats.org/officeDocument/2006/relationships/hyperlink" Target="https://ems.who.int/Event/eventSummary.aspx?eid=2023-E000065" TargetMode="External"/><Relationship Id="rId25" Type="http://schemas.openxmlformats.org/officeDocument/2006/relationships/hyperlink" Target="https://ems.who.int/Event/eventSummary.aspx?eid=2022-E000026" TargetMode="External"/><Relationship Id="rId67" Type="http://schemas.openxmlformats.org/officeDocument/2006/relationships/hyperlink" Target="https://ems.who.int/Event/eventSummary.aspx?eid=2018-E000340" TargetMode="External"/><Relationship Id="rId272" Type="http://schemas.openxmlformats.org/officeDocument/2006/relationships/hyperlink" Target="https://ems.who.int/Event/eventSummary.aspx?eid=2024-E000170" TargetMode="External"/><Relationship Id="rId328" Type="http://schemas.openxmlformats.org/officeDocument/2006/relationships/hyperlink" Target="https://ems.who.int/Event/eventSummary.aspx?eid=2024-E000466" TargetMode="External"/><Relationship Id="rId132" Type="http://schemas.openxmlformats.org/officeDocument/2006/relationships/hyperlink" Target="https://ems.who.int/Event/eventSummary.aspx?eid=2022-E000391" TargetMode="External"/><Relationship Id="rId174" Type="http://schemas.openxmlformats.org/officeDocument/2006/relationships/hyperlink" Target="https://ems.who.int/Event/eventSummary.aspx?eid=2023-E000081" TargetMode="External"/><Relationship Id="rId381" Type="http://schemas.openxmlformats.org/officeDocument/2006/relationships/hyperlink" Target="http://ems.who.int/Event/eventSummary.aspx?eid=2025-E000185" TargetMode="External"/><Relationship Id="rId241" Type="http://schemas.openxmlformats.org/officeDocument/2006/relationships/hyperlink" Target="https://ems.who.int/Event/eventSummary.aspx?eid=2024-E000009" TargetMode="External"/><Relationship Id="rId36" Type="http://schemas.openxmlformats.org/officeDocument/2006/relationships/hyperlink" Target="https://ems.who.int/Event/eventSummary.aspx?eid=2022-E000048" TargetMode="External"/><Relationship Id="rId283" Type="http://schemas.openxmlformats.org/officeDocument/2006/relationships/hyperlink" Target="https://ems.who.int/Event/eventSummary.aspx?eid=2024-E000232" TargetMode="External"/><Relationship Id="rId339" Type="http://schemas.openxmlformats.org/officeDocument/2006/relationships/hyperlink" Target="https://ems.who.int/Event/eventSummary.aspx?eid=2024-E000510" TargetMode="External"/><Relationship Id="rId78" Type="http://schemas.openxmlformats.org/officeDocument/2006/relationships/hyperlink" Target="https://ems.who.int/Event/eventSummary.aspx?eid=2017-E000441" TargetMode="External"/><Relationship Id="rId101" Type="http://schemas.openxmlformats.org/officeDocument/2006/relationships/hyperlink" Target="https://ems.who.int/Event/eventSummary.aspx?eid=2022-E000352" TargetMode="External"/><Relationship Id="rId143" Type="http://schemas.openxmlformats.org/officeDocument/2006/relationships/hyperlink" Target="https://ems.who.int/Event/eventSummary.aspx?eid=2023-E000007" TargetMode="External"/><Relationship Id="rId185" Type="http://schemas.openxmlformats.org/officeDocument/2006/relationships/hyperlink" Target="https://ems.who.int/Event/eventSummary.aspx?eid=2023-E000174" TargetMode="External"/><Relationship Id="rId350" Type="http://schemas.openxmlformats.org/officeDocument/2006/relationships/hyperlink" Target="https://ems.who.int/Event/eventSummary.aspx?eid=2025-E000076" TargetMode="External"/><Relationship Id="rId406" Type="http://schemas.openxmlformats.org/officeDocument/2006/relationships/hyperlink" Target="https://ems.who.int/Event/eventSummary.aspx?eid=2025-E000230" TargetMode="External"/><Relationship Id="rId9" Type="http://schemas.openxmlformats.org/officeDocument/2006/relationships/hyperlink" Target="https://ems.who.int/Event/eventSummary.aspx?eid=2021-E000420" TargetMode="External"/><Relationship Id="rId210" Type="http://schemas.openxmlformats.org/officeDocument/2006/relationships/hyperlink" Target="https://ems.who.int/Event/eventSummary.aspx?eid=2023-E000303" TargetMode="External"/><Relationship Id="rId392" Type="http://schemas.openxmlformats.org/officeDocument/2006/relationships/hyperlink" Target="https://ems.who.int/Event/eventSummary.aspx?eid=2022-E000137" TargetMode="External"/><Relationship Id="rId252" Type="http://schemas.openxmlformats.org/officeDocument/2006/relationships/hyperlink" Target="https://ems.who.int/Event/eventSummary.aspx?eid=2024-E000036" TargetMode="External"/><Relationship Id="rId294" Type="http://schemas.openxmlformats.org/officeDocument/2006/relationships/hyperlink" Target="https://ems.who.int/Event/eventSummary.aspx?eid=2024-E000303" TargetMode="External"/><Relationship Id="rId308" Type="http://schemas.openxmlformats.org/officeDocument/2006/relationships/hyperlink" Target="https://ems.who.int/Event/eventSummary.aspx?eid=2024-E000349" TargetMode="External"/><Relationship Id="rId47" Type="http://schemas.openxmlformats.org/officeDocument/2006/relationships/hyperlink" Target="https://ems.who.int/Event/eventSummary.aspx?eid=2022-E000053" TargetMode="External"/><Relationship Id="rId89" Type="http://schemas.openxmlformats.org/officeDocument/2006/relationships/hyperlink" Target="https://ems.who.int/Event/eventSummary.aspx?eid=2022-E000328" TargetMode="External"/><Relationship Id="rId112" Type="http://schemas.openxmlformats.org/officeDocument/2006/relationships/hyperlink" Target="https://ems.who.int/Event/eventSummary.aspx?eid=2022-E000391" TargetMode="External"/><Relationship Id="rId154" Type="http://schemas.openxmlformats.org/officeDocument/2006/relationships/hyperlink" Target="https://ems.who.int/Event/eventSummary.aspx?eid=2023-E000043" TargetMode="External"/><Relationship Id="rId361" Type="http://schemas.openxmlformats.org/officeDocument/2006/relationships/hyperlink" Target="https://ems.who.int/Event/eventSummary.aspx?eid=2025-E000089" TargetMode="External"/><Relationship Id="rId196" Type="http://schemas.openxmlformats.org/officeDocument/2006/relationships/hyperlink" Target="https://ems.who.int/Event/eventSummary.aspx?eid=2023-E000040" TargetMode="External"/><Relationship Id="rId417" Type="http://schemas.openxmlformats.org/officeDocument/2006/relationships/hyperlink" Target="https://ems.who.int/Event/eventSummary.aspx?eid=2022-E000137" TargetMode="External"/><Relationship Id="rId16" Type="http://schemas.openxmlformats.org/officeDocument/2006/relationships/hyperlink" Target="https://ems.who.int/Event/eventSummary.aspx?eid=2022-E000010" TargetMode="External"/><Relationship Id="rId221" Type="http://schemas.openxmlformats.org/officeDocument/2006/relationships/hyperlink" Target="https://ems.who.int/Event/eventSummary.aspx?eid=2023-E000360" TargetMode="External"/><Relationship Id="rId263" Type="http://schemas.openxmlformats.org/officeDocument/2006/relationships/hyperlink" Target="https://ems.who.int/Event/eventSummary.aspx?eid=2024-E000081" TargetMode="External"/><Relationship Id="rId319" Type="http://schemas.openxmlformats.org/officeDocument/2006/relationships/hyperlink" Target="http://ems.who.int/Event/eventSummary.aspx?eid=2024-E000402%20%20%20%20%20" TargetMode="External"/><Relationship Id="rId58" Type="http://schemas.openxmlformats.org/officeDocument/2006/relationships/hyperlink" Target="https://ems.who.int/Event/eventSummary.aspx?eid=2022-E000012" TargetMode="External"/><Relationship Id="rId123" Type="http://schemas.openxmlformats.org/officeDocument/2006/relationships/hyperlink" Target="https://ems.who.int/Event/eventSummary.aspx?eid=2022-E000391" TargetMode="External"/><Relationship Id="rId330" Type="http://schemas.openxmlformats.org/officeDocument/2006/relationships/hyperlink" Target="https://ems.who.int/Event/eventSummary.aspx?eid=2024-E000416" TargetMode="External"/><Relationship Id="rId165" Type="http://schemas.openxmlformats.org/officeDocument/2006/relationships/hyperlink" Target="https://ems.who.int/Event/EventCurrentCoreDetail.aspx?eid=2023-E000066" TargetMode="External"/><Relationship Id="rId372" Type="http://schemas.openxmlformats.org/officeDocument/2006/relationships/hyperlink" Target="https://ems.who.int/Event/eventSummary.aspx?eid=2025-E000154" TargetMode="External"/><Relationship Id="rId428" Type="http://schemas.openxmlformats.org/officeDocument/2006/relationships/table" Target="../tables/table1.xml"/><Relationship Id="rId232" Type="http://schemas.openxmlformats.org/officeDocument/2006/relationships/hyperlink" Target="https://ems.who.int/Event/eventSummary.aspx?eid=2023-E000460" TargetMode="External"/><Relationship Id="rId274" Type="http://schemas.openxmlformats.org/officeDocument/2006/relationships/hyperlink" Target="https://ems.who.int/Event/eventSummary.aspx?eid=2024-E000178" TargetMode="External"/><Relationship Id="rId27" Type="http://schemas.openxmlformats.org/officeDocument/2006/relationships/hyperlink" Target="https://ems.who.int/Event/eventSummary.aspx?eid=2022-E000037" TargetMode="External"/><Relationship Id="rId69" Type="http://schemas.openxmlformats.org/officeDocument/2006/relationships/hyperlink" Target="https://ems.who.int/Event/eventSummary.aspx?eid=2017-E000441" TargetMode="External"/><Relationship Id="rId134" Type="http://schemas.openxmlformats.org/officeDocument/2006/relationships/hyperlink" Target="https://ems.who.int/Event/eventSummary.aspx?eid=2022-E000386" TargetMode="External"/><Relationship Id="rId80" Type="http://schemas.openxmlformats.org/officeDocument/2006/relationships/hyperlink" Target="https://ems.who.int/Event/eventSummary.aspx?eid=2022-E000268" TargetMode="External"/><Relationship Id="rId176" Type="http://schemas.openxmlformats.org/officeDocument/2006/relationships/hyperlink" Target="https://ems.who.int/Event/eventSummary.aspx?eid=2022-E000486" TargetMode="External"/><Relationship Id="rId341" Type="http://schemas.openxmlformats.org/officeDocument/2006/relationships/hyperlink" Target="https://ems.who.int/Event/eventSummary.aspx?eid=2025-E000007" TargetMode="External"/><Relationship Id="rId383" Type="http://schemas.openxmlformats.org/officeDocument/2006/relationships/hyperlink" Target="https://ems.who.int/Event/eventSummary.aspx?eid=2025-E000177" TargetMode="External"/><Relationship Id="rId201" Type="http://schemas.openxmlformats.org/officeDocument/2006/relationships/hyperlink" Target="https://ems.who.int/Event/eventSummary.aspx?eid=2023-E000186" TargetMode="External"/><Relationship Id="rId243" Type="http://schemas.openxmlformats.org/officeDocument/2006/relationships/hyperlink" Target="https://ems.who.int/Event/eventSummary.aspx?eid=2024-E000028" TargetMode="External"/><Relationship Id="rId285" Type="http://schemas.openxmlformats.org/officeDocument/2006/relationships/hyperlink" Target="https://ems.who.int/Event/eventSummary.aspx?eid=2024-E000255" TargetMode="External"/><Relationship Id="rId38" Type="http://schemas.openxmlformats.org/officeDocument/2006/relationships/hyperlink" Target="https://ems.who.int/Event/eventSummary.aspx?eid=2022-E000040" TargetMode="External"/><Relationship Id="rId103" Type="http://schemas.openxmlformats.org/officeDocument/2006/relationships/hyperlink" Target="https://ems.who.int/Event/eventSummary.aspx?eid=2022-E000372" TargetMode="External"/><Relationship Id="rId310" Type="http://schemas.openxmlformats.org/officeDocument/2006/relationships/hyperlink" Target="https://ems.who.int/Event/eventSummary.aspx?eid=2024-E000356" TargetMode="External"/><Relationship Id="rId91" Type="http://schemas.openxmlformats.org/officeDocument/2006/relationships/hyperlink" Target="https://ems.who.int/Event/eventSummary.aspx?eid=2022-E000031" TargetMode="External"/><Relationship Id="rId145" Type="http://schemas.openxmlformats.org/officeDocument/2006/relationships/hyperlink" Target="https://ems.who.int/Event/eventSummary.aspx?eid=2022-E000513" TargetMode="External"/><Relationship Id="rId187" Type="http://schemas.openxmlformats.org/officeDocument/2006/relationships/hyperlink" Target="https://ems.who.int/Event/eventSummary.aspx?eid=2022-E000444" TargetMode="External"/><Relationship Id="rId352" Type="http://schemas.openxmlformats.org/officeDocument/2006/relationships/hyperlink" Target="https://ems.who.int/Event/eventSummary.aspx?eid=2024-E000168" TargetMode="External"/><Relationship Id="rId394" Type="http://schemas.openxmlformats.org/officeDocument/2006/relationships/hyperlink" Target="https://ems.who.int/Event/eventSummary.aspx?eid=2025-E000208" TargetMode="External"/><Relationship Id="rId408" Type="http://schemas.openxmlformats.org/officeDocument/2006/relationships/hyperlink" Target="https://ems.who.int/Event/eventSummary.aspx?eid=2025-E000144" TargetMode="External"/><Relationship Id="rId1" Type="http://schemas.openxmlformats.org/officeDocument/2006/relationships/hyperlink" Target="https://ems.who.int/Event/eventSummary.aspx?eid=2017-E000279" TargetMode="External"/><Relationship Id="rId212" Type="http://schemas.openxmlformats.org/officeDocument/2006/relationships/hyperlink" Target="https://ems.who.int/Event/eventSummary.aspx?eid=2023-E000338" TargetMode="External"/><Relationship Id="rId233" Type="http://schemas.openxmlformats.org/officeDocument/2006/relationships/hyperlink" Target="https://ems.who.int/Event/eventSummary.aspx?eid=2023-E000469" TargetMode="External"/><Relationship Id="rId254" Type="http://schemas.openxmlformats.org/officeDocument/2006/relationships/hyperlink" Target="https://ems.who.int/Event/eventSummary.aspx?eid=2024-E000081" TargetMode="External"/><Relationship Id="rId28" Type="http://schemas.openxmlformats.org/officeDocument/2006/relationships/hyperlink" Target="https://ems.who.int/Event/eventSummary.aspx?eid=2022-E000039" TargetMode="External"/><Relationship Id="rId49" Type="http://schemas.openxmlformats.org/officeDocument/2006/relationships/hyperlink" Target="https://ems.who.int/Event/EventCurrentCoreDetail.aspx?eid=2022-E000081" TargetMode="External"/><Relationship Id="rId114" Type="http://schemas.openxmlformats.org/officeDocument/2006/relationships/hyperlink" Target="https://ems.who.int/Event/eventSummary.aspx?eid=2018-E000340" TargetMode="External"/><Relationship Id="rId275" Type="http://schemas.openxmlformats.org/officeDocument/2006/relationships/hyperlink" Target="https://ems.who.int/Event/eventSummary.aspx?eid=2024-E000184" TargetMode="External"/><Relationship Id="rId296" Type="http://schemas.openxmlformats.org/officeDocument/2006/relationships/hyperlink" Target="https://ems.who.int/Event/eventSummary.aspx?eid=2024-E000292" TargetMode="External"/><Relationship Id="rId300" Type="http://schemas.openxmlformats.org/officeDocument/2006/relationships/hyperlink" Target="https://ems.who.int/Event/eventSummary.aspx?eid=2024-E000168" TargetMode="External"/><Relationship Id="rId60" Type="http://schemas.openxmlformats.org/officeDocument/2006/relationships/hyperlink" Target="https://ems.who.int/Event/eventSummary.aspx?eid=2022-E000111" TargetMode="External"/><Relationship Id="rId81" Type="http://schemas.openxmlformats.org/officeDocument/2006/relationships/hyperlink" Target="https://ems.who.int/Event/EventCurrentCoreDetail.aspx?eid=2022-E000137" TargetMode="External"/><Relationship Id="rId135" Type="http://schemas.openxmlformats.org/officeDocument/2006/relationships/hyperlink" Target="https://ems.who.int/Event/eventSummary.aspx?eid=2022-E000482" TargetMode="External"/><Relationship Id="rId156" Type="http://schemas.openxmlformats.org/officeDocument/2006/relationships/hyperlink" Target="https://ems.who.int/Event/eventSummary.aspx?eid=2023-E000041" TargetMode="External"/><Relationship Id="rId177" Type="http://schemas.openxmlformats.org/officeDocument/2006/relationships/hyperlink" Target="https://ems.who.int/Event/eventSummary.aspx?eid=https://ems.who.int/Event/eventSummary.aspx?eid=2023-E000123" TargetMode="External"/><Relationship Id="rId198" Type="http://schemas.openxmlformats.org/officeDocument/2006/relationships/hyperlink" Target="https://ems.who.int/Event/eventSummary.aspx?eid=2023-E000268" TargetMode="External"/><Relationship Id="rId321" Type="http://schemas.openxmlformats.org/officeDocument/2006/relationships/hyperlink" Target="https://ems.who.int/Event/eventSummary.aspx?eid=2024-E000411" TargetMode="External"/><Relationship Id="rId342" Type="http://schemas.openxmlformats.org/officeDocument/2006/relationships/hyperlink" Target="https://ems.who.int/Event/eventSummary.aspx?eid=2024-E000168" TargetMode="External"/><Relationship Id="rId363" Type="http://schemas.openxmlformats.org/officeDocument/2006/relationships/hyperlink" Target="https://ems.who.int/Event/eventSummary.aspx?eid=2025-E000125" TargetMode="External"/><Relationship Id="rId384" Type="http://schemas.openxmlformats.org/officeDocument/2006/relationships/hyperlink" Target="https://ems.who.int/Event/eventSummary.aspx?eid=2025-E000150" TargetMode="External"/><Relationship Id="rId419" Type="http://schemas.openxmlformats.org/officeDocument/2006/relationships/hyperlink" Target="https://ems.who.int/Event/EventCurrentCoreDetail.aspx?eid=2025-E000340" TargetMode="External"/><Relationship Id="rId202" Type="http://schemas.openxmlformats.org/officeDocument/2006/relationships/hyperlink" Target="https://ems.who.int/Event/eventSummary.aspx?eid=2023-E000186" TargetMode="External"/><Relationship Id="rId223" Type="http://schemas.openxmlformats.org/officeDocument/2006/relationships/hyperlink" Target="https://ems.who.int/Event/eventSummary.aspx?eid=2022-E000231" TargetMode="External"/><Relationship Id="rId244" Type="http://schemas.openxmlformats.org/officeDocument/2006/relationships/hyperlink" Target="https://ems.who.int/Event/eventSummary.aspx?eid=2024-E000039" TargetMode="External"/><Relationship Id="rId18" Type="http://schemas.openxmlformats.org/officeDocument/2006/relationships/hyperlink" Target="https://ems.who.int/Event/eventSummary.aspx?eid=2015-E000078" TargetMode="External"/><Relationship Id="rId39" Type="http://schemas.openxmlformats.org/officeDocument/2006/relationships/hyperlink" Target="https://ems.who.int/Event/eventSummary.aspx?eid=2022-E000062" TargetMode="External"/><Relationship Id="rId265" Type="http://schemas.openxmlformats.org/officeDocument/2006/relationships/hyperlink" Target="https://ems.who.int/Event/eventSummary.aspx?eid=2022-E000413" TargetMode="External"/><Relationship Id="rId286" Type="http://schemas.openxmlformats.org/officeDocument/2006/relationships/hyperlink" Target="https://ems.who.int/Event/eventSummary.aspx?eid=2024-E000254" TargetMode="External"/><Relationship Id="rId50" Type="http://schemas.openxmlformats.org/officeDocument/2006/relationships/hyperlink" Target="https://ems.who.int/Event/eventSummary.aspx?eid=2021-E000280" TargetMode="External"/><Relationship Id="rId104" Type="http://schemas.openxmlformats.org/officeDocument/2006/relationships/hyperlink" Target="https://ems.who.int/Event/eventSummary.aspx?eid=2022-E000363" TargetMode="External"/><Relationship Id="rId125" Type="http://schemas.openxmlformats.org/officeDocument/2006/relationships/hyperlink" Target="https://ems.who.int/Event/eventSummary.aspx?eid=2022-E000422" TargetMode="External"/><Relationship Id="rId146" Type="http://schemas.openxmlformats.org/officeDocument/2006/relationships/hyperlink" Target="https://ems.who.int/Event/eventSummary.aspx?eid=2023-E000015" TargetMode="External"/><Relationship Id="rId167" Type="http://schemas.openxmlformats.org/officeDocument/2006/relationships/hyperlink" Target="https://ems.who.int/Event/eventSummary.aspx?eid=2023-E000040" TargetMode="External"/><Relationship Id="rId188" Type="http://schemas.openxmlformats.org/officeDocument/2006/relationships/hyperlink" Target="https://ems.who.int/Event/eventSummary.aspx?eid=2023-E000057" TargetMode="External"/><Relationship Id="rId311" Type="http://schemas.openxmlformats.org/officeDocument/2006/relationships/hyperlink" Target="https://ems.who.int/Event/eventSummary.aspx?eid=2024-E000354" TargetMode="External"/><Relationship Id="rId332" Type="http://schemas.openxmlformats.org/officeDocument/2006/relationships/hyperlink" Target="https://ems.who.int/Event/eventSummary.aspx?eid=2024-E000168" TargetMode="External"/><Relationship Id="rId353" Type="http://schemas.openxmlformats.org/officeDocument/2006/relationships/hyperlink" Target="https://ems.who.int/Event/eventSummary.aspx?eid=2012-E000288" TargetMode="External"/><Relationship Id="rId374" Type="http://schemas.openxmlformats.org/officeDocument/2006/relationships/hyperlink" Target="https://ems.who.int/Event/eventSummary.aspx?eid=2025-E000164" TargetMode="External"/><Relationship Id="rId395" Type="http://schemas.openxmlformats.org/officeDocument/2006/relationships/hyperlink" Target="https://ems.who.int/Event/eventSummary.aspx?eid=2025-E000177" TargetMode="External"/><Relationship Id="rId409" Type="http://schemas.openxmlformats.org/officeDocument/2006/relationships/hyperlink" Target="https://ems.who.int/Event/eventSummary.aspx?eid=2025-E000248" TargetMode="External"/><Relationship Id="rId71" Type="http://schemas.openxmlformats.org/officeDocument/2006/relationships/hyperlink" Target="https://ems.who.int/Event/eventSummary.aspx?eid=2022-E000129" TargetMode="External"/><Relationship Id="rId92" Type="http://schemas.openxmlformats.org/officeDocument/2006/relationships/hyperlink" Target="https://ems.who.int/Event/eventSummary.aspx?eid=2022-E000320" TargetMode="External"/><Relationship Id="rId213" Type="http://schemas.openxmlformats.org/officeDocument/2006/relationships/hyperlink" Target="https://ems.who.int/Event/eventSummary.aspx?eid=2023-E000336" TargetMode="External"/><Relationship Id="rId234" Type="http://schemas.openxmlformats.org/officeDocument/2006/relationships/hyperlink" Target="https://ems.who.int/Event/eventSummary.aspx?eid=2023-E000040" TargetMode="External"/><Relationship Id="rId420" Type="http://schemas.openxmlformats.org/officeDocument/2006/relationships/hyperlink" Target="https://ems.who.int/Event/eventSummary.aspx?eid=2025-E000344" TargetMode="External"/><Relationship Id="rId2" Type="http://schemas.openxmlformats.org/officeDocument/2006/relationships/hyperlink" Target="https://ems.who.int/Event/eventSummary.aspx?eid=2021-E000381" TargetMode="External"/><Relationship Id="rId29" Type="http://schemas.openxmlformats.org/officeDocument/2006/relationships/hyperlink" Target="https://ems.who.int/Event/eventSummary.aspx?eid=2022-E000042" TargetMode="External"/><Relationship Id="rId255" Type="http://schemas.openxmlformats.org/officeDocument/2006/relationships/hyperlink" Target="https://ems.who.int/Event/eventSummary.aspx?eid=2024-E000075" TargetMode="External"/><Relationship Id="rId276" Type="http://schemas.openxmlformats.org/officeDocument/2006/relationships/hyperlink" Target="https://ems.who.int/Event/eventSummary.aspx?eid=2012-E000288" TargetMode="External"/><Relationship Id="rId297" Type="http://schemas.openxmlformats.org/officeDocument/2006/relationships/hyperlink" Target="https://ems.who.int/Event/eventSummary.aspx?eid=2023-E000398" TargetMode="External"/><Relationship Id="rId40" Type="http://schemas.openxmlformats.org/officeDocument/2006/relationships/hyperlink" Target="https://ems.who.int/Event/eventSummary.aspx?eid=2022-E000062" TargetMode="External"/><Relationship Id="rId115" Type="http://schemas.openxmlformats.org/officeDocument/2006/relationships/hyperlink" Target="https://ems.who.int/Event/eventSummary.aspx?eid=2022-E000398" TargetMode="External"/><Relationship Id="rId136" Type="http://schemas.openxmlformats.org/officeDocument/2006/relationships/hyperlink" Target="https://ems.who.int/Event/eventSummary.aspx?eid=2017-E000441" TargetMode="External"/><Relationship Id="rId157" Type="http://schemas.openxmlformats.org/officeDocument/2006/relationships/hyperlink" Target="https://ems.who.int/Event/eventSummary.aspx?eid=2023-E000052" TargetMode="External"/><Relationship Id="rId178" Type="http://schemas.openxmlformats.org/officeDocument/2006/relationships/hyperlink" Target="https://ems.who.int/Event/eventSummary.aspx?eid=2018-E000214" TargetMode="External"/><Relationship Id="rId301" Type="http://schemas.openxmlformats.org/officeDocument/2006/relationships/hyperlink" Target="https://ems.who.int/Event/eventSummary.aspx?eid=2024-E000303" TargetMode="External"/><Relationship Id="rId322" Type="http://schemas.openxmlformats.org/officeDocument/2006/relationships/hyperlink" Target="https://ems.who.int/Event/eventSummary.aspx?eid=2024-E000168" TargetMode="External"/><Relationship Id="rId343" Type="http://schemas.openxmlformats.org/officeDocument/2006/relationships/hyperlink" Target="https://ems.who.int/Event/eventSummary.aspx?eid=2025-E000010" TargetMode="External"/><Relationship Id="rId364" Type="http://schemas.openxmlformats.org/officeDocument/2006/relationships/hyperlink" Target="https://ems.who.int/Event/eventSummary.aspx?eid=2024-E000456" TargetMode="External"/><Relationship Id="rId61" Type="http://schemas.openxmlformats.org/officeDocument/2006/relationships/hyperlink" Target="https://ems.who.int/Event/eventSummary.aspx?eid=2022-E000091" TargetMode="External"/><Relationship Id="rId82" Type="http://schemas.openxmlformats.org/officeDocument/2006/relationships/hyperlink" Target="https://ems.who.int/Event/eventSummary.aspx?eid=2022-E000267" TargetMode="External"/><Relationship Id="rId199" Type="http://schemas.openxmlformats.org/officeDocument/2006/relationships/hyperlink" Target="https://ems.who.int/Event/eventSummary.aspx?eid=2023-E000052" TargetMode="External"/><Relationship Id="rId203" Type="http://schemas.openxmlformats.org/officeDocument/2006/relationships/hyperlink" Target="https://ems.who.int/Event/eventSummary.aspx?eid=2023-E000279" TargetMode="External"/><Relationship Id="rId385" Type="http://schemas.openxmlformats.org/officeDocument/2006/relationships/hyperlink" Target="https://ems.who.int/Event/eventSummary.aspx?eid=2022-E000137" TargetMode="External"/><Relationship Id="rId19" Type="http://schemas.openxmlformats.org/officeDocument/2006/relationships/hyperlink" Target="https://ems.who.int/Event/eventSummary.aspx?eid=2022-E000022" TargetMode="External"/><Relationship Id="rId224" Type="http://schemas.openxmlformats.org/officeDocument/2006/relationships/hyperlink" Target="https://ems.who.int/Event/eventSummary.aspx?eid=2023-E000053" TargetMode="External"/><Relationship Id="rId245" Type="http://schemas.openxmlformats.org/officeDocument/2006/relationships/hyperlink" Target="https://ems.who.int/Event/eventSummary.aspx?eid=2023-E000471" TargetMode="External"/><Relationship Id="rId266" Type="http://schemas.openxmlformats.org/officeDocument/2006/relationships/hyperlink" Target="https://ems.who.int/Event/eventSummary.aspx?eid=2024-E000137" TargetMode="External"/><Relationship Id="rId287" Type="http://schemas.openxmlformats.org/officeDocument/2006/relationships/hyperlink" Target="https://ems.who.int/Event/eventSummary.aspx?eid=2024-E000259" TargetMode="External"/><Relationship Id="rId410" Type="http://schemas.openxmlformats.org/officeDocument/2006/relationships/hyperlink" Target="https://ems.who.int/Event/eventSummary.aspx?eid=2025-E000179" TargetMode="External"/><Relationship Id="rId30" Type="http://schemas.openxmlformats.org/officeDocument/2006/relationships/hyperlink" Target="https://ems.who.int/Event/eventSummary.aspx?eid=2022-E000043" TargetMode="External"/><Relationship Id="rId105" Type="http://schemas.openxmlformats.org/officeDocument/2006/relationships/hyperlink" Target="https://ems.who.int/Event/eventSummary.aspx?eid=2022-E000313" TargetMode="External"/><Relationship Id="rId126" Type="http://schemas.openxmlformats.org/officeDocument/2006/relationships/hyperlink" Target="https://ems.who.int/Event/eventSummary.aspx?eid=2022-E000405" TargetMode="External"/><Relationship Id="rId147" Type="http://schemas.openxmlformats.org/officeDocument/2006/relationships/hyperlink" Target="https://ems.who.int/Event/eventSummary.aspx?eid=2023-E000015" TargetMode="External"/><Relationship Id="rId168" Type="http://schemas.openxmlformats.org/officeDocument/2006/relationships/hyperlink" Target="https://extranet.who.int/ihr/eventinformation/event/2023-e000057" TargetMode="External"/><Relationship Id="rId312" Type="http://schemas.openxmlformats.org/officeDocument/2006/relationships/hyperlink" Target="https://ems.who.int/Event/eventSummary.aspx?eid=2024-E000343" TargetMode="External"/><Relationship Id="rId333" Type="http://schemas.openxmlformats.org/officeDocument/2006/relationships/hyperlink" Target="https://ems.who.int/Event/eventSummary.aspx?eid=2024-E000488" TargetMode="External"/><Relationship Id="rId354" Type="http://schemas.openxmlformats.org/officeDocument/2006/relationships/hyperlink" Target="https://ems.who.int/Event/eventSummary.aspx?eid=2023-E000450" TargetMode="External"/><Relationship Id="rId51" Type="http://schemas.openxmlformats.org/officeDocument/2006/relationships/hyperlink" Target="https://ems.who.int/Event/eventSummary.aspx?eid=2018-E000340" TargetMode="External"/><Relationship Id="rId72" Type="http://schemas.openxmlformats.org/officeDocument/2006/relationships/hyperlink" Target="https://ems.who.int/Event/eventSummary.aspx?eid=2022-E000189" TargetMode="External"/><Relationship Id="rId93" Type="http://schemas.openxmlformats.org/officeDocument/2006/relationships/hyperlink" Target="https://ems.who.int/summary/summaryCountry.aspx?countryID=79" TargetMode="External"/><Relationship Id="rId189" Type="http://schemas.openxmlformats.org/officeDocument/2006/relationships/hyperlink" Target="https://ems.who.int/Event/eventSummary.aspx?eid=2023-E000185" TargetMode="External"/><Relationship Id="rId375" Type="http://schemas.openxmlformats.org/officeDocument/2006/relationships/hyperlink" Target="https://ems.who.int/Event/eventSummary.aspx?eid=2025-E000162" TargetMode="External"/><Relationship Id="rId396" Type="http://schemas.openxmlformats.org/officeDocument/2006/relationships/hyperlink" Target="https://ems.who.int/Event/EventOutputIHR.aspx?eid=2025-E000004" TargetMode="External"/><Relationship Id="rId3" Type="http://schemas.openxmlformats.org/officeDocument/2006/relationships/hyperlink" Target="https://ems.who.int/Event/EventCurrentCoreDetail.aspx?eid=2021-E000384" TargetMode="External"/><Relationship Id="rId214" Type="http://schemas.openxmlformats.org/officeDocument/2006/relationships/hyperlink" Target="https://ems.who.int/Event/eventSummary.aspx?eid=2023-E000336" TargetMode="External"/><Relationship Id="rId235" Type="http://schemas.openxmlformats.org/officeDocument/2006/relationships/hyperlink" Target="https://ems.who.int/Event/eventSummary.aspx?eid=2018-E000340" TargetMode="External"/><Relationship Id="rId256" Type="http://schemas.openxmlformats.org/officeDocument/2006/relationships/hyperlink" Target="https://ems.who.int/Event/eventSummary.aspx?eid=2024-E000007" TargetMode="External"/><Relationship Id="rId277" Type="http://schemas.openxmlformats.org/officeDocument/2006/relationships/hyperlink" Target="https://ems.who.int/Event/eventSummary.aspx?eid=2024-E000191" TargetMode="External"/><Relationship Id="rId298" Type="http://schemas.openxmlformats.org/officeDocument/2006/relationships/hyperlink" Target="https://ems.who.int/Event/eventSummary.aspx?eid=2024-E000168" TargetMode="External"/><Relationship Id="rId400" Type="http://schemas.openxmlformats.org/officeDocument/2006/relationships/hyperlink" Target="https://ems.who.int/Event/EventCurrentCoreDetail.aspx?eid=2022-E000288" TargetMode="External"/><Relationship Id="rId421" Type="http://schemas.openxmlformats.org/officeDocument/2006/relationships/hyperlink" Target="https://ems.who.int/Event/eventSummary.aspx?eid=2025-E000371" TargetMode="External"/><Relationship Id="rId116" Type="http://schemas.openxmlformats.org/officeDocument/2006/relationships/hyperlink" Target="https://ems.who.int/Event/eventSummary.aspx?eid=2022-E000399" TargetMode="External"/><Relationship Id="rId137" Type="http://schemas.openxmlformats.org/officeDocument/2006/relationships/hyperlink" Target="https://ems.who.int/Event/eventSummary.aspx?eid=2018-E000340" TargetMode="External"/><Relationship Id="rId158" Type="http://schemas.openxmlformats.org/officeDocument/2006/relationships/hyperlink" Target="https://ems.who.int/Event/eventSummary.aspx?eid=2023-E000057" TargetMode="External"/><Relationship Id="rId302" Type="http://schemas.openxmlformats.org/officeDocument/2006/relationships/hyperlink" Target="https://ems.who.int/Event/eventSummary.aspx?eid=2024-E000315" TargetMode="External"/><Relationship Id="rId323" Type="http://schemas.openxmlformats.org/officeDocument/2006/relationships/hyperlink" Target="https://ems.who.int/Event/eventSummary.aspx?eid=2024-E000416" TargetMode="External"/><Relationship Id="rId344" Type="http://schemas.openxmlformats.org/officeDocument/2006/relationships/hyperlink" Target="https://ems.who.int/Event/EventCurrentCoreDetail.aspx?eid=2024-E000487" TargetMode="External"/><Relationship Id="rId20" Type="http://schemas.openxmlformats.org/officeDocument/2006/relationships/hyperlink" Target="https://ems.who.int/Event/eventSummary.aspx?eid=2022-E000025" TargetMode="External"/><Relationship Id="rId41" Type="http://schemas.openxmlformats.org/officeDocument/2006/relationships/hyperlink" Target="https://ems.who.int/Event/eventSummary.aspx?eid=2022-E000063" TargetMode="External"/><Relationship Id="rId62" Type="http://schemas.openxmlformats.org/officeDocument/2006/relationships/hyperlink" Target="https://ems.who.int/Event/eventSummary.aspx?eid=2022-E000121" TargetMode="External"/><Relationship Id="rId83" Type="http://schemas.openxmlformats.org/officeDocument/2006/relationships/hyperlink" Target="https://ems.who.int/Event/eventSummary.aspx?eid=2021-E000343" TargetMode="External"/><Relationship Id="rId179" Type="http://schemas.openxmlformats.org/officeDocument/2006/relationships/hyperlink" Target="https://ems.who.int/Event/eventSummary.aspx?eid=2023-E000130" TargetMode="External"/><Relationship Id="rId365" Type="http://schemas.openxmlformats.org/officeDocument/2006/relationships/hyperlink" Target="https://ems.who.int/Event/eventSummary.aspx?eid=2025-E000145" TargetMode="External"/><Relationship Id="rId386" Type="http://schemas.openxmlformats.org/officeDocument/2006/relationships/hyperlink" Target="https://ems.who.int/Event/eventSummary.aspx?eid=2022-E000137" TargetMode="External"/><Relationship Id="rId190" Type="http://schemas.openxmlformats.org/officeDocument/2006/relationships/hyperlink" Target="https://ems.who.int/Event/eventSummary.aspx?eid=2023-E000190" TargetMode="External"/><Relationship Id="rId204" Type="http://schemas.openxmlformats.org/officeDocument/2006/relationships/hyperlink" Target="https://ems.who.int/Event/eventSummary.aspx?eid=2023-E000297" TargetMode="External"/><Relationship Id="rId225" Type="http://schemas.openxmlformats.org/officeDocument/2006/relationships/hyperlink" Target="https://ems.who.int/Event/eventSummary.aspx?eid=2023-E000040" TargetMode="External"/><Relationship Id="rId246" Type="http://schemas.openxmlformats.org/officeDocument/2006/relationships/hyperlink" Target="https://ems.who.int/summary/summaryCountry.aspx?countryID=106" TargetMode="External"/><Relationship Id="rId267" Type="http://schemas.openxmlformats.org/officeDocument/2006/relationships/hyperlink" Target="https://ems.who.int/Event/eventSummary.aspx?eid=2024-E000147" TargetMode="External"/><Relationship Id="rId288" Type="http://schemas.openxmlformats.org/officeDocument/2006/relationships/hyperlink" Target="https://ems.who.int/Event/EventOutputIHR.aspx?eid=2024-E000263" TargetMode="External"/><Relationship Id="rId411" Type="http://schemas.openxmlformats.org/officeDocument/2006/relationships/hyperlink" Target="https://ems.who.int/Event/eventSummary.aspx?eid=2025-E000259" TargetMode="External"/><Relationship Id="rId106" Type="http://schemas.openxmlformats.org/officeDocument/2006/relationships/hyperlink" Target="https://ems.who.int/Event/eventSummary.aspx?eid=2022-E000358" TargetMode="External"/><Relationship Id="rId127" Type="http://schemas.openxmlformats.org/officeDocument/2006/relationships/hyperlink" Target="https://ems.who.int/Event/eventSummary.aspx?eid=2022-E000372" TargetMode="External"/><Relationship Id="rId313" Type="http://schemas.openxmlformats.org/officeDocument/2006/relationships/hyperlink" Target="https://ems.who.int/Event/eventSummary.aspx?eid=2024-E000339" TargetMode="External"/><Relationship Id="rId10" Type="http://schemas.openxmlformats.org/officeDocument/2006/relationships/hyperlink" Target="https://ems.who.int/Event/eventSummary.aspx?eid=2018-E000340" TargetMode="External"/><Relationship Id="rId31" Type="http://schemas.openxmlformats.org/officeDocument/2006/relationships/hyperlink" Target="https://ems.who.int/Event/eventSummary.aspx?eid=2022-E000028" TargetMode="External"/><Relationship Id="rId52" Type="http://schemas.openxmlformats.org/officeDocument/2006/relationships/hyperlink" Target="https://ems.who.int/Event/eventSummary.aspx?eid=2022-E000098" TargetMode="External"/><Relationship Id="rId73" Type="http://schemas.openxmlformats.org/officeDocument/2006/relationships/hyperlink" Target="https://ems.who.int/Event/eventSummary.aspx?eid=2022-E000129" TargetMode="External"/><Relationship Id="rId94" Type="http://schemas.openxmlformats.org/officeDocument/2006/relationships/hyperlink" Target="https://ems.who.int/Event/eventSummary.aspx?eid=2020-E000475" TargetMode="External"/><Relationship Id="rId148" Type="http://schemas.openxmlformats.org/officeDocument/2006/relationships/hyperlink" Target="https://ems.who.int/Event/EventHistoryList.aspx?eid=2022-E000228" TargetMode="External"/><Relationship Id="rId169" Type="http://schemas.openxmlformats.org/officeDocument/2006/relationships/hyperlink" Target="https://ems.who.int/Event/eventSummary.aspx?eid=2023-E000082" TargetMode="External"/><Relationship Id="rId334" Type="http://schemas.openxmlformats.org/officeDocument/2006/relationships/hyperlink" Target="https://ems.who.int/Event/eventSummary.aspx?eid=2024-E000502" TargetMode="External"/><Relationship Id="rId355" Type="http://schemas.openxmlformats.org/officeDocument/2006/relationships/hyperlink" Target="https://ems.who.int/Event/eventSummary.aspx?eid=2025-E000092" TargetMode="External"/><Relationship Id="rId376" Type="http://schemas.openxmlformats.org/officeDocument/2006/relationships/hyperlink" Target="https://ems.who.int/Event/eventSummary.aspx?eid=2025-E000183" TargetMode="External"/><Relationship Id="rId397" Type="http://schemas.openxmlformats.org/officeDocument/2006/relationships/hyperlink" Target="https://ems.who.int/Event/EventOutputIHR.aspx?eid=2025-E000003" TargetMode="External"/><Relationship Id="rId4" Type="http://schemas.openxmlformats.org/officeDocument/2006/relationships/hyperlink" Target="https://ems.who.int/Event/eventSummary.aspx?eid=2017-E000279" TargetMode="External"/><Relationship Id="rId180" Type="http://schemas.openxmlformats.org/officeDocument/2006/relationships/hyperlink" Target="https://ems.who.int/Event/eventSummary.aspx?eid=2023-E000137" TargetMode="External"/><Relationship Id="rId215" Type="http://schemas.openxmlformats.org/officeDocument/2006/relationships/hyperlink" Target="https://ems.who.int/Event/eventSummary.aspx?eid=2023-E000344" TargetMode="External"/><Relationship Id="rId236" Type="http://schemas.openxmlformats.org/officeDocument/2006/relationships/hyperlink" Target="https://ems.who.int/Event/eventSummary.aspx?eid=2023-E000470" TargetMode="External"/><Relationship Id="rId257" Type="http://schemas.openxmlformats.org/officeDocument/2006/relationships/hyperlink" Target="https://ems.who.int/Event/eventSummary.aspx?eid=2024-E000007" TargetMode="External"/><Relationship Id="rId278" Type="http://schemas.openxmlformats.org/officeDocument/2006/relationships/hyperlink" Target="https://ems.who.int/Event/eventSummary.aspx?eid=2024-E000207" TargetMode="External"/><Relationship Id="rId401" Type="http://schemas.openxmlformats.org/officeDocument/2006/relationships/hyperlink" Target="https://ems.who.int/Event/EventOutputIHR.aspx?eid=2022-E000160" TargetMode="External"/><Relationship Id="rId422" Type="http://schemas.openxmlformats.org/officeDocument/2006/relationships/hyperlink" Target="https://ems.who.int/Event/eventSummary.aspx?eid=2025-E000370" TargetMode="External"/><Relationship Id="rId303" Type="http://schemas.openxmlformats.org/officeDocument/2006/relationships/hyperlink" Target="https://ems.who.int/Event/eventSummary.aspx?eid=2024-E000305" TargetMode="External"/><Relationship Id="rId42" Type="http://schemas.openxmlformats.org/officeDocument/2006/relationships/hyperlink" Target="https://ems.who.int/Event/eventSummary.aspx?eid=2018-E000340" TargetMode="External"/><Relationship Id="rId84" Type="http://schemas.openxmlformats.org/officeDocument/2006/relationships/hyperlink" Target="https://ems.who.int/Event/eventSummary.aspx?eid=2022-E000316" TargetMode="External"/><Relationship Id="rId138" Type="http://schemas.openxmlformats.org/officeDocument/2006/relationships/hyperlink" Target="https://ems.who.int/Event/eventSummary.aspx?eid=2022-E000053" TargetMode="External"/><Relationship Id="rId345" Type="http://schemas.openxmlformats.org/officeDocument/2006/relationships/hyperlink" Target="https://ems.who.int/Event/EventCurrentCoreDetail.aspx?eid=2025-E000053" TargetMode="External"/><Relationship Id="rId387" Type="http://schemas.openxmlformats.org/officeDocument/2006/relationships/hyperlink" Target="https://ems.who.int/Event/EventCurrentCoreDetail.aspx?eid=2025-E000033" TargetMode="External"/><Relationship Id="rId191" Type="http://schemas.openxmlformats.org/officeDocument/2006/relationships/hyperlink" Target="https://ems.who.int/Event/eventSummary.aspx?eid=2023-E000040" TargetMode="External"/><Relationship Id="rId205" Type="http://schemas.openxmlformats.org/officeDocument/2006/relationships/hyperlink" Target="https://ems.who.int/Event/eventSummary.aspx?eid=2023-E000137" TargetMode="External"/><Relationship Id="rId247" Type="http://schemas.openxmlformats.org/officeDocument/2006/relationships/hyperlink" Target="https://ems.who.int/Event/EventCurrentCoreDetail.aspx?eid=2023-E000119" TargetMode="External"/><Relationship Id="rId412" Type="http://schemas.openxmlformats.org/officeDocument/2006/relationships/hyperlink" Target="https://ems.who.int/Event/eventSummary.aspx?eid=2025-E000275" TargetMode="External"/><Relationship Id="rId107" Type="http://schemas.openxmlformats.org/officeDocument/2006/relationships/hyperlink" Target="https://ems.who.int/Event/eventSummary.aspx?eid=2022-E000053" TargetMode="External"/><Relationship Id="rId289" Type="http://schemas.openxmlformats.org/officeDocument/2006/relationships/hyperlink" Target="https://ems.who.int/Event/eventSummary.aspx?eid=2024-E000286" TargetMode="External"/><Relationship Id="rId11" Type="http://schemas.openxmlformats.org/officeDocument/2006/relationships/hyperlink" Target="https://ems.who.int/Event/eventSummary.aspx?eid=2017-E000441" TargetMode="External"/><Relationship Id="rId53" Type="http://schemas.openxmlformats.org/officeDocument/2006/relationships/hyperlink" Target="https://ems.who.int/Event/eventSummary.aspx?eid=2022-E000102" TargetMode="External"/><Relationship Id="rId149" Type="http://schemas.openxmlformats.org/officeDocument/2006/relationships/hyperlink" Target="https://ems.who.int/Event/EventCurrentCoreDetail.aspx?eid=2023-E000008" TargetMode="External"/><Relationship Id="rId314" Type="http://schemas.openxmlformats.org/officeDocument/2006/relationships/hyperlink" Target="https://ems.who.int/Event/eventSummary.aspx?eid=2024-E000384" TargetMode="External"/><Relationship Id="rId356" Type="http://schemas.openxmlformats.org/officeDocument/2006/relationships/hyperlink" Target="https://ems.who.int/Event/eventSummary.aspx?eid=2025-E000096" TargetMode="External"/><Relationship Id="rId398" Type="http://schemas.openxmlformats.org/officeDocument/2006/relationships/hyperlink" Target="https://ems.who.int/Event/eventSummary.aspx?eid=2022-E000368" TargetMode="External"/><Relationship Id="rId95" Type="http://schemas.openxmlformats.org/officeDocument/2006/relationships/hyperlink" Target="https://ems.who.int/Event/eventSummary.aspx?eid=2021-E000192" TargetMode="External"/><Relationship Id="rId160" Type="http://schemas.openxmlformats.org/officeDocument/2006/relationships/hyperlink" Target="https://ems.who.int/Event/eventSummary.aspx?eid=2023-E000068" TargetMode="External"/><Relationship Id="rId216" Type="http://schemas.openxmlformats.org/officeDocument/2006/relationships/hyperlink" Target="https://ems.who.int/Event/eventSummary.aspx?eid=2023-E000344" TargetMode="External"/><Relationship Id="rId423" Type="http://schemas.openxmlformats.org/officeDocument/2006/relationships/hyperlink" Target="https://ems.who.int/Event/eventSummary.aspx?eid=2025-E000349" TargetMode="External"/><Relationship Id="rId258" Type="http://schemas.openxmlformats.org/officeDocument/2006/relationships/hyperlink" Target="https://ems.who.int/Event/eventSummary.aspx?eid=2023-E000486" TargetMode="External"/><Relationship Id="rId22" Type="http://schemas.openxmlformats.org/officeDocument/2006/relationships/hyperlink" Target="https://ems.who.int/Event/eventSummary.aspx?eid=2018-E000340" TargetMode="External"/><Relationship Id="rId64" Type="http://schemas.openxmlformats.org/officeDocument/2006/relationships/hyperlink" Target="https://ems.who.int/Event/eventSummary.aspx?eid=2022-E000124" TargetMode="External"/><Relationship Id="rId118" Type="http://schemas.openxmlformats.org/officeDocument/2006/relationships/hyperlink" Target="https://ems.who.int/Event/eventSummary.aspx?eid=2012-E000288" TargetMode="External"/><Relationship Id="rId325" Type="http://schemas.openxmlformats.org/officeDocument/2006/relationships/hyperlink" Target="https://ems.who.int/Event/eventSummary.aspx?eid=2024-E000453" TargetMode="External"/><Relationship Id="rId367" Type="http://schemas.openxmlformats.org/officeDocument/2006/relationships/hyperlink" Target="https://ems.who.int/Event/eventSummary.aspx?eid=2025-E000138" TargetMode="External"/><Relationship Id="rId171" Type="http://schemas.openxmlformats.org/officeDocument/2006/relationships/hyperlink" Target="https://ems.who.int/Event/EventCurrentCoreDetail.aspx?eid=2023-E000109" TargetMode="External"/><Relationship Id="rId227" Type="http://schemas.openxmlformats.org/officeDocument/2006/relationships/hyperlink" Target="https://ems.who.int/Event/EventCurrentCoreDetail.aspx?eid=2023-E000365" TargetMode="External"/><Relationship Id="rId269" Type="http://schemas.openxmlformats.org/officeDocument/2006/relationships/hyperlink" Target="https://ems.who.int/Event/eventSummary.aspx?eid=2022-E000413" TargetMode="External"/><Relationship Id="rId33" Type="http://schemas.openxmlformats.org/officeDocument/2006/relationships/hyperlink" Target="https://ems.who.int/Event/eventSummary.aspx?eid=2017-E000441" TargetMode="External"/><Relationship Id="rId129" Type="http://schemas.openxmlformats.org/officeDocument/2006/relationships/hyperlink" Target="https://ems.who.int/summary/summaryCountry.aspx?countryID=18" TargetMode="External"/><Relationship Id="rId280" Type="http://schemas.openxmlformats.org/officeDocument/2006/relationships/hyperlink" Target="https://ems.who.int/Event/eventSummary.aspx?eid=2024-E000235" TargetMode="External"/><Relationship Id="rId336" Type="http://schemas.openxmlformats.org/officeDocument/2006/relationships/hyperlink" Target="https://ems.who.int/Event/eventSummary.aspx?eid=2024-E000513" TargetMode="External"/><Relationship Id="rId75" Type="http://schemas.openxmlformats.org/officeDocument/2006/relationships/hyperlink" Target="https://ems.who.int/Event/eventSummary.aspx?eid=2022-E000137" TargetMode="External"/><Relationship Id="rId140" Type="http://schemas.openxmlformats.org/officeDocument/2006/relationships/hyperlink" Target="https://ems.who.int/Event/eventSummary.aspx?eid=2022-E000061" TargetMode="External"/><Relationship Id="rId182" Type="http://schemas.openxmlformats.org/officeDocument/2006/relationships/hyperlink" Target="https://ems.who.int/Event/eventSummary.aspx?eid=https://ems.who.int/Event/eventSummary.aspx?eid=2023-E000123" TargetMode="External"/><Relationship Id="rId378" Type="http://schemas.openxmlformats.org/officeDocument/2006/relationships/hyperlink" Target="https://ems.who.int/Event/eventSummary.aspx?eid=2025-E000181" TargetMode="External"/><Relationship Id="rId403" Type="http://schemas.openxmlformats.org/officeDocument/2006/relationships/hyperlink" Target="https://ems.who.int/Event/eventSummary.aspx?eid=2025-E000214" TargetMode="External"/><Relationship Id="rId6" Type="http://schemas.openxmlformats.org/officeDocument/2006/relationships/hyperlink" Target="https://ems.who.int/Event/eventSummary.aspx?eid=2021-E000387" TargetMode="External"/><Relationship Id="rId238" Type="http://schemas.openxmlformats.org/officeDocument/2006/relationships/hyperlink" Target="https://ems.who.int/Event/eventSummary.aspx?eid=2022-E000447" TargetMode="External"/><Relationship Id="rId291" Type="http://schemas.openxmlformats.org/officeDocument/2006/relationships/hyperlink" Target="https://ems.who.int/Event/eventSummary.aspx?eid=2024-E000291" TargetMode="External"/><Relationship Id="rId305" Type="http://schemas.openxmlformats.org/officeDocument/2006/relationships/hyperlink" Target="https://ems.who.int/Event/eventSummary.aspx?eid=2024-E000172" TargetMode="External"/><Relationship Id="rId347" Type="http://schemas.openxmlformats.org/officeDocument/2006/relationships/hyperlink" Target="https://ems.who.int/Event/eventSummary.aspx?eid=2024-E000168" TargetMode="External"/><Relationship Id="rId44" Type="http://schemas.openxmlformats.org/officeDocument/2006/relationships/hyperlink" Target="https://ems.who.int/Event/eventSummary.aspx?eid=2018-E000340" TargetMode="External"/><Relationship Id="rId86" Type="http://schemas.openxmlformats.org/officeDocument/2006/relationships/hyperlink" Target="https://ems.who.int/Event/eventSummary.aspx?eid=2017-E000441" TargetMode="External"/><Relationship Id="rId151" Type="http://schemas.openxmlformats.org/officeDocument/2006/relationships/hyperlink" Target="https://ems.who.int/Event/eventSummary.aspx?eid=2023-E000027" TargetMode="External"/><Relationship Id="rId389" Type="http://schemas.openxmlformats.org/officeDocument/2006/relationships/hyperlink" Target="https://ems.who.int/Event/eventSummary.aspx?eid=2025-E000188" TargetMode="External"/><Relationship Id="rId193" Type="http://schemas.openxmlformats.org/officeDocument/2006/relationships/hyperlink" Target="https://ems.who.int/Event/eventSummary.aspx?eid=2023-E000217" TargetMode="External"/><Relationship Id="rId207" Type="http://schemas.openxmlformats.org/officeDocument/2006/relationships/hyperlink" Target="https://ems.who.int/Event/eventSummary.aspx?eid=2023-E000305" TargetMode="External"/><Relationship Id="rId249" Type="http://schemas.openxmlformats.org/officeDocument/2006/relationships/hyperlink" Target="https://ems.who.int/Event/eventSummary.aspx?eid=2024-E000007" TargetMode="External"/><Relationship Id="rId414" Type="http://schemas.openxmlformats.org/officeDocument/2006/relationships/hyperlink" Target="https://ems.who.int/Event/eventSummary.aspx?eid=2025-E000276" TargetMode="External"/><Relationship Id="rId13" Type="http://schemas.openxmlformats.org/officeDocument/2006/relationships/hyperlink" Target="https://ems.who.int/Event/eventSummary.aspx?eid=2021-E000402" TargetMode="External"/><Relationship Id="rId109" Type="http://schemas.openxmlformats.org/officeDocument/2006/relationships/hyperlink" Target="https://ems.who.int/Event/eventSummary.aspx?eid=2022-E000389" TargetMode="External"/><Relationship Id="rId260" Type="http://schemas.openxmlformats.org/officeDocument/2006/relationships/hyperlink" Target="https://ems.who.int/Event/eventSummary.aspx?eid=2023-E000269" TargetMode="External"/><Relationship Id="rId316" Type="http://schemas.openxmlformats.org/officeDocument/2006/relationships/hyperlink" Target="https://ems.who.int/Event/eventSummary.aspx?eid=2024-E000386" TargetMode="External"/><Relationship Id="rId55" Type="http://schemas.openxmlformats.org/officeDocument/2006/relationships/hyperlink" Target="https://ems.who.int/Event/eventSummary.aspx?eid=2022-E000106" TargetMode="External"/><Relationship Id="rId97" Type="http://schemas.openxmlformats.org/officeDocument/2006/relationships/hyperlink" Target="https://ems.who.int/Event/eventSummary.aspx?eid=2022-E000091" TargetMode="External"/><Relationship Id="rId120" Type="http://schemas.openxmlformats.org/officeDocument/2006/relationships/hyperlink" Target="https://ems.who.int/Event/eventSummary.aspx?eid=2017-E000441" TargetMode="External"/><Relationship Id="rId358" Type="http://schemas.openxmlformats.org/officeDocument/2006/relationships/hyperlink" Target="https://ems.who.int/Event/eventSummary.aspx?eid=2024-E000172" TargetMode="External"/><Relationship Id="rId162" Type="http://schemas.openxmlformats.org/officeDocument/2006/relationships/hyperlink" Target="https://ems.who.int/Event/eventSummary.aspx?eid=2023-E000018" TargetMode="External"/><Relationship Id="rId218" Type="http://schemas.openxmlformats.org/officeDocument/2006/relationships/hyperlink" Target="https://ems.who.int/Event/eventSummary.aspx?eid=2023-E000040" TargetMode="External"/><Relationship Id="rId425" Type="http://schemas.openxmlformats.org/officeDocument/2006/relationships/hyperlink" Target="https://ems.who.int/Event/eventSummary.aspx?eid=2025-E000122" TargetMode="External"/><Relationship Id="rId271" Type="http://schemas.openxmlformats.org/officeDocument/2006/relationships/hyperlink" Target="https://ems.who.int/Event/eventSummary.aspx?eid=2024-E000168" TargetMode="External"/><Relationship Id="rId24" Type="http://schemas.openxmlformats.org/officeDocument/2006/relationships/hyperlink" Target="https://ems.who.int/Event/eventSummary.aspx?eid=2022-E000029" TargetMode="External"/><Relationship Id="rId66" Type="http://schemas.openxmlformats.org/officeDocument/2006/relationships/hyperlink" Target="https://ems.who.int/Event/eventSummary.aspx?eid=2022-E000114" TargetMode="External"/><Relationship Id="rId131" Type="http://schemas.openxmlformats.org/officeDocument/2006/relationships/hyperlink" Target="https://ems.who.int/Event/eventSummary.aspx?eid=2022-E000447" TargetMode="External"/><Relationship Id="rId327" Type="http://schemas.openxmlformats.org/officeDocument/2006/relationships/hyperlink" Target="https://ems.who.int/Event/eventSummary.aspx?eid=2024-E000463" TargetMode="External"/><Relationship Id="rId369" Type="http://schemas.openxmlformats.org/officeDocument/2006/relationships/hyperlink" Target="https://ems.who.int/Event/eventSummary.aspx?eid=2025-E000150" TargetMode="External"/><Relationship Id="rId173" Type="http://schemas.openxmlformats.org/officeDocument/2006/relationships/hyperlink" Target="https://ems.who.int/Event/eventSummary.aspx?eid=2022-E000102" TargetMode="External"/><Relationship Id="rId229" Type="http://schemas.openxmlformats.org/officeDocument/2006/relationships/hyperlink" Target="https://ems.who.int/Event/eventSummary.aspx?eid=2023-E000439" TargetMode="External"/><Relationship Id="rId380" Type="http://schemas.openxmlformats.org/officeDocument/2006/relationships/hyperlink" Target="https://ems.who.int/Event/eventSummary.aspx?eid=2025-E000173" TargetMode="External"/><Relationship Id="rId240" Type="http://schemas.openxmlformats.org/officeDocument/2006/relationships/hyperlink" Target="https://ems.who.int/Event/eventSummary.aspx?eid=2023-E000395" TargetMode="External"/><Relationship Id="rId35" Type="http://schemas.openxmlformats.org/officeDocument/2006/relationships/hyperlink" Target="https://ems.who.int/Event/eventSummary.aspx?eid=2022-E000048" TargetMode="External"/><Relationship Id="rId77" Type="http://schemas.openxmlformats.org/officeDocument/2006/relationships/hyperlink" Target="https://ems.who.int/Event/eventSummary.aspx?eid=2022-E000129" TargetMode="External"/><Relationship Id="rId100" Type="http://schemas.openxmlformats.org/officeDocument/2006/relationships/hyperlink" Target="https://ems.who.int/Event/eventSummary.aspx?eid=2022-E000254" TargetMode="External"/><Relationship Id="rId282" Type="http://schemas.openxmlformats.org/officeDocument/2006/relationships/hyperlink" Target="https://ems.who.int/Event/eventSummary.aspx?eid=2024-E000237" TargetMode="External"/><Relationship Id="rId338" Type="http://schemas.openxmlformats.org/officeDocument/2006/relationships/hyperlink" Target="https://ems.who.int/Event/eventSummary.aspx?eid=2025-E000008" TargetMode="External"/><Relationship Id="rId8" Type="http://schemas.openxmlformats.org/officeDocument/2006/relationships/hyperlink" Target="https://ems.who.int/Event/eventSummary.aspx?eid=2017-E000441" TargetMode="External"/><Relationship Id="rId142" Type="http://schemas.openxmlformats.org/officeDocument/2006/relationships/hyperlink" Target="https://ems.who.int/Event/eventSummary.aspx?eid=2023-E000005" TargetMode="External"/><Relationship Id="rId184" Type="http://schemas.openxmlformats.org/officeDocument/2006/relationships/hyperlink" Target="https://ems.who.int/Event/eventSummary.aspx?eid=2023-E000162" TargetMode="External"/><Relationship Id="rId391" Type="http://schemas.openxmlformats.org/officeDocument/2006/relationships/hyperlink" Target="https://ems.who.int/Event/EventCurrentCoreDetail.aspx?eid=2024-E000469" TargetMode="External"/><Relationship Id="rId405" Type="http://schemas.openxmlformats.org/officeDocument/2006/relationships/hyperlink" Target="https://ems.who.int/Event/eventSummary.aspx?eid=2025-E000222" TargetMode="External"/><Relationship Id="rId251" Type="http://schemas.openxmlformats.org/officeDocument/2006/relationships/hyperlink" Target="https://ems.who.int/Event/eventSummary.aspx?eid=2024-E000038" TargetMode="External"/><Relationship Id="rId46" Type="http://schemas.openxmlformats.org/officeDocument/2006/relationships/hyperlink" Target="https://ems.who.int/Event/eventSummary.aspx?eid=2022-E000076" TargetMode="External"/><Relationship Id="rId293" Type="http://schemas.openxmlformats.org/officeDocument/2006/relationships/hyperlink" Target="https://ems.who.int/Event/eventSummary.aspx?eid=2024-E000302" TargetMode="External"/><Relationship Id="rId307" Type="http://schemas.openxmlformats.org/officeDocument/2006/relationships/hyperlink" Target="https://ems.who.int/Event/eventSummary.aspx?eid=2024-E000338" TargetMode="External"/><Relationship Id="rId349" Type="http://schemas.openxmlformats.org/officeDocument/2006/relationships/hyperlink" Target="https://ems.who.int/Event/eventSummary.aspx?eid=2025-E000077" TargetMode="External"/><Relationship Id="rId88" Type="http://schemas.openxmlformats.org/officeDocument/2006/relationships/hyperlink" Target="https://ems.who.int/Event/eventSummary.aspx?eid=2022-E000207" TargetMode="External"/><Relationship Id="rId111" Type="http://schemas.openxmlformats.org/officeDocument/2006/relationships/hyperlink" Target="https://ems.who.int/Event/eventSummary.aspx?eid=2022-E000384" TargetMode="External"/><Relationship Id="rId153" Type="http://schemas.openxmlformats.org/officeDocument/2006/relationships/hyperlink" Target="https://ems.who.int/Event/eventSummary.aspx?eid=2019-E000076" TargetMode="External"/><Relationship Id="rId195" Type="http://schemas.openxmlformats.org/officeDocument/2006/relationships/hyperlink" Target="https://ems.who.int/Event/eventSummary.aspx?eid=2023-E000211" TargetMode="External"/><Relationship Id="rId209" Type="http://schemas.openxmlformats.org/officeDocument/2006/relationships/hyperlink" Target="https://ems.who.int/Event/eventSummary.aspx?eid=2018-E000340" TargetMode="External"/><Relationship Id="rId360" Type="http://schemas.openxmlformats.org/officeDocument/2006/relationships/hyperlink" Target="https://ems.who.int/Event/eventSummary.aspx?eid=2025-E000091" TargetMode="External"/><Relationship Id="rId416" Type="http://schemas.openxmlformats.org/officeDocument/2006/relationships/hyperlink" Target="https://ems.who.int/Event/eventSummary.aspx?eid=2025-E000272" TargetMode="External"/><Relationship Id="rId220" Type="http://schemas.openxmlformats.org/officeDocument/2006/relationships/hyperlink" Target="https://ems.who.int/Event/eventSummary.aspx?eid=2023-E000362" TargetMode="External"/><Relationship Id="rId15" Type="http://schemas.openxmlformats.org/officeDocument/2006/relationships/hyperlink" Target="https://ems.who.int/Event/eventSummary.aspx?eid=2022-E000009" TargetMode="External"/><Relationship Id="rId57" Type="http://schemas.openxmlformats.org/officeDocument/2006/relationships/hyperlink" Target="https://ems.who.int/Event/eventSummary.aspx?eid=2022-E000061" TargetMode="External"/><Relationship Id="rId262" Type="http://schemas.openxmlformats.org/officeDocument/2006/relationships/hyperlink" Target="https://ems.who.int/Event/eventSummary.aspx?eid=2023-E000095" TargetMode="External"/><Relationship Id="rId318" Type="http://schemas.openxmlformats.org/officeDocument/2006/relationships/hyperlink" Target="https://ems.who.int/Event/eventSummary.aspx?eid=2024-E000281" TargetMode="External"/><Relationship Id="rId99" Type="http://schemas.openxmlformats.org/officeDocument/2006/relationships/hyperlink" Target="https://ems.who.int/Event/eventSummary.aspx?eid=2022-E000254" TargetMode="External"/><Relationship Id="rId122" Type="http://schemas.openxmlformats.org/officeDocument/2006/relationships/hyperlink" Target="https://ems.who.int/Event/eventSummary.aspx?eid=2022-E000345" TargetMode="External"/><Relationship Id="rId164" Type="http://schemas.openxmlformats.org/officeDocument/2006/relationships/hyperlink" Target="https://ems.who.int/Event/eventSummary.aspx?eid=2021-E000366" TargetMode="External"/><Relationship Id="rId371" Type="http://schemas.openxmlformats.org/officeDocument/2006/relationships/hyperlink" Target="https://ems.who.int/Event/eventSummary.aspx?eid=2012-E000288" TargetMode="External"/><Relationship Id="rId427" Type="http://schemas.openxmlformats.org/officeDocument/2006/relationships/printerSettings" Target="../printerSettings/printerSettings2.bin"/><Relationship Id="rId26" Type="http://schemas.openxmlformats.org/officeDocument/2006/relationships/hyperlink" Target="https://ems.who.int/Event/EventUpdateList.aspx?eid=2012-E000288" TargetMode="External"/><Relationship Id="rId231" Type="http://schemas.openxmlformats.org/officeDocument/2006/relationships/hyperlink" Target="https://ems.who.int/Event/eventSummary.aspx?eid=2023-E000065" TargetMode="External"/><Relationship Id="rId273" Type="http://schemas.openxmlformats.org/officeDocument/2006/relationships/hyperlink" Target="https://ems.who.int/Event/eventSummary.aspx?eid=2024-E000144" TargetMode="External"/><Relationship Id="rId329" Type="http://schemas.openxmlformats.org/officeDocument/2006/relationships/hyperlink" Target="https://ems.who.int/Event/eventSummary.aspx?eid=2024-E000468" TargetMode="External"/><Relationship Id="rId68" Type="http://schemas.openxmlformats.org/officeDocument/2006/relationships/hyperlink" Target="https://ems.who.int/Event/eventSummary.aspx?eid=2022-E000129" TargetMode="External"/><Relationship Id="rId133" Type="http://schemas.openxmlformats.org/officeDocument/2006/relationships/hyperlink" Target="https://ems.who.int/Event/eventSummary.aspx?eid=2022-E000386" TargetMode="External"/><Relationship Id="rId175" Type="http://schemas.openxmlformats.org/officeDocument/2006/relationships/hyperlink" Target="https://ems.who.int/Event/eventSummary.aspx?eid=2021-E000236" TargetMode="External"/><Relationship Id="rId340" Type="http://schemas.openxmlformats.org/officeDocument/2006/relationships/hyperlink" Target="https://ems.who.int/Event/eventSummary.aspx?eid=2025-E000012" TargetMode="External"/><Relationship Id="rId200" Type="http://schemas.openxmlformats.org/officeDocument/2006/relationships/hyperlink" Target="https://ems.who.int/Event/eventSummary.aspx?eid=2023-E000052" TargetMode="External"/><Relationship Id="rId382" Type="http://schemas.openxmlformats.org/officeDocument/2006/relationships/hyperlink" Target="https://ems.who.int/Event/EventCurrentCoreDetail.aspx?eid=2024-E000526" TargetMode="External"/><Relationship Id="rId242" Type="http://schemas.openxmlformats.org/officeDocument/2006/relationships/hyperlink" Target="https://ems.who.int/Event/eventSummary.aspx?eid=2024-E000019" TargetMode="External"/><Relationship Id="rId284" Type="http://schemas.openxmlformats.org/officeDocument/2006/relationships/hyperlink" Target="https://ems.who.int/Event/eventSummary.aspx?eid=2024-E000168" TargetMode="External"/><Relationship Id="rId37" Type="http://schemas.openxmlformats.org/officeDocument/2006/relationships/hyperlink" Target="https://ems.who.int/Event/eventSummary.aspx?eid=2022-E000046" TargetMode="External"/><Relationship Id="rId79" Type="http://schemas.openxmlformats.org/officeDocument/2006/relationships/hyperlink" Target="https://ems.who.int/Event/eventSummary.aspx?eid=2022-E000205" TargetMode="External"/><Relationship Id="rId102" Type="http://schemas.openxmlformats.org/officeDocument/2006/relationships/hyperlink" Target="https://ems.who.int/Event/eventSummary.aspx?eid=2022-E000312" TargetMode="External"/><Relationship Id="rId144" Type="http://schemas.openxmlformats.org/officeDocument/2006/relationships/hyperlink" Target="https://ems.who.int/Event/eventSummary.aspx?eid=2022-E000372" TargetMode="External"/><Relationship Id="rId90" Type="http://schemas.openxmlformats.org/officeDocument/2006/relationships/hyperlink" Target="https://ems.who.int/summary/summaryCountry.aspx?countryID=215" TargetMode="External"/><Relationship Id="rId186" Type="http://schemas.openxmlformats.org/officeDocument/2006/relationships/hyperlink" Target="https://ems.who.int/Event/EventCurrentCoreDetail.aspx?eid=2023-E000109" TargetMode="External"/><Relationship Id="rId351" Type="http://schemas.openxmlformats.org/officeDocument/2006/relationships/hyperlink" Target="https://ems.who.int/Event/eventSummary.aspx?eid=2024-E000168" TargetMode="External"/><Relationship Id="rId393" Type="http://schemas.openxmlformats.org/officeDocument/2006/relationships/hyperlink" Target="https://ems.who.int/Event/eventSummary.aspx?eid=2024-E000524" TargetMode="External"/><Relationship Id="rId407" Type="http://schemas.openxmlformats.org/officeDocument/2006/relationships/hyperlink" Target="https://ems.who.int/Event/eventSummary.aspx?eid=2025-E000235" TargetMode="External"/><Relationship Id="rId211" Type="http://schemas.openxmlformats.org/officeDocument/2006/relationships/hyperlink" Target="https://ems.who.int/Event/eventSummary.aspx?eid=2023-E000312" TargetMode="External"/><Relationship Id="rId253" Type="http://schemas.openxmlformats.org/officeDocument/2006/relationships/hyperlink" Target="https://ems.who.int/Event/eventSummary.aspx?eid=2024-E000072" TargetMode="External"/><Relationship Id="rId295" Type="http://schemas.openxmlformats.org/officeDocument/2006/relationships/hyperlink" Target="https://ems.who.int/Event/eventSummary.aspx?eid=2024-E000299" TargetMode="External"/><Relationship Id="rId309" Type="http://schemas.openxmlformats.org/officeDocument/2006/relationships/hyperlink" Target="https://ems.who.int/Event/eventSummary.aspx?eid=2024-E000355" TargetMode="External"/><Relationship Id="rId48" Type="http://schemas.openxmlformats.org/officeDocument/2006/relationships/hyperlink" Target="https://ems.who.int/Event/eventSummary.aspx?eid=2022-E000068" TargetMode="External"/><Relationship Id="rId113" Type="http://schemas.openxmlformats.org/officeDocument/2006/relationships/hyperlink" Target="https://ems.who.int/Event/eventSummary.aspx?eid=2022-E000377" TargetMode="External"/><Relationship Id="rId320" Type="http://schemas.openxmlformats.org/officeDocument/2006/relationships/hyperlink" Target="https://ems.who.int/Event/eventSummary.aspx?eid=2024-E000416" TargetMode="External"/><Relationship Id="rId155" Type="http://schemas.openxmlformats.org/officeDocument/2006/relationships/hyperlink" Target="https://ems.who.int/Event/eventSummary.aspx?eid=2023-E000040" TargetMode="External"/><Relationship Id="rId197" Type="http://schemas.openxmlformats.org/officeDocument/2006/relationships/hyperlink" Target="https://ems.who.int/Event/eventSummary.aspx?eid=2018-E000340" TargetMode="External"/><Relationship Id="rId362" Type="http://schemas.openxmlformats.org/officeDocument/2006/relationships/hyperlink" Target="https://ems.who.int/Event/eventSummary.aspx?eid=2025-E000112" TargetMode="External"/><Relationship Id="rId418" Type="http://schemas.openxmlformats.org/officeDocument/2006/relationships/hyperlink" Target="https://ems.who.int/Event/eventSummary.aspx?eid=2025-E000322" TargetMode="External"/><Relationship Id="rId222" Type="http://schemas.openxmlformats.org/officeDocument/2006/relationships/hyperlink" Target="https://ems.who.int/Event/eventSummary.aspx?eid=2023-E000370" TargetMode="External"/><Relationship Id="rId264" Type="http://schemas.openxmlformats.org/officeDocument/2006/relationships/hyperlink" Target="https://ems.who.int/Event/eventSummary.aspx?eid=2022-E000447" TargetMode="External"/><Relationship Id="rId17" Type="http://schemas.openxmlformats.org/officeDocument/2006/relationships/hyperlink" Target="https://ems.who.int/Event/eventSummary.aspx?eid=2018-E000340" TargetMode="External"/><Relationship Id="rId59" Type="http://schemas.openxmlformats.org/officeDocument/2006/relationships/hyperlink" Target="https://ems.who.int/Event/eventSummary.aspx?eid=2022-E000079" TargetMode="External"/><Relationship Id="rId124" Type="http://schemas.openxmlformats.org/officeDocument/2006/relationships/hyperlink" Target="https://ems.who.int/Event/eventSummary.aspx?eid=2022-E000391" TargetMode="External"/><Relationship Id="rId70" Type="http://schemas.openxmlformats.org/officeDocument/2006/relationships/hyperlink" Target="https://ems.who.int/Event/eventSummary.aspx?eid=2017-E000441" TargetMode="External"/><Relationship Id="rId166" Type="http://schemas.openxmlformats.org/officeDocument/2006/relationships/hyperlink" Target="https://ems.who.int/Event/eventSummary.aspx?eid=2020-E000475" TargetMode="External"/><Relationship Id="rId331" Type="http://schemas.openxmlformats.org/officeDocument/2006/relationships/hyperlink" Target="https://ems.who.int/Event/eventSummary.aspx?eid=2024-E000480" TargetMode="External"/><Relationship Id="rId373" Type="http://schemas.openxmlformats.org/officeDocument/2006/relationships/hyperlink" Target="https://ems.who.int/Event/eventSummary.aspx?eid=2025-E000053" TargetMode="External"/><Relationship Id="rId429"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5A8A9-78C1-3140-9DCF-BE058D84ADF8}">
  <sheetPr>
    <tabColor rgb="FF7030A0"/>
  </sheetPr>
  <dimension ref="A1:O253"/>
  <sheetViews>
    <sheetView topLeftCell="A75" workbookViewId="0">
      <selection activeCell="C92" sqref="C92"/>
    </sheetView>
  </sheetViews>
  <sheetFormatPr defaultColWidth="11.25" defaultRowHeight="17"/>
  <cols>
    <col min="2" max="2" width="47" customWidth="1"/>
    <col min="3" max="3" width="37.25" customWidth="1"/>
    <col min="4" max="5" width="56" customWidth="1"/>
    <col min="6" max="11" width="29.75" customWidth="1"/>
    <col min="12" max="12" width="42" customWidth="1"/>
    <col min="13" max="13" width="67.25" customWidth="1"/>
    <col min="14" max="14" width="41.1640625" customWidth="1"/>
    <col min="15" max="15" width="64" customWidth="1"/>
  </cols>
  <sheetData>
    <row r="1" spans="1:15">
      <c r="A1" s="19" t="s">
        <v>0</v>
      </c>
      <c r="B1" s="9" t="s">
        <v>1</v>
      </c>
      <c r="C1" s="10" t="s">
        <v>2</v>
      </c>
      <c r="D1" s="11" t="s">
        <v>3</v>
      </c>
      <c r="E1" s="11" t="s">
        <v>4</v>
      </c>
      <c r="F1" s="9" t="s">
        <v>5</v>
      </c>
      <c r="G1" s="9" t="s">
        <v>6</v>
      </c>
      <c r="H1" s="9" t="s">
        <v>7</v>
      </c>
      <c r="I1" s="9" t="s">
        <v>8</v>
      </c>
      <c r="J1" s="9" t="s">
        <v>9</v>
      </c>
      <c r="K1" s="9" t="s">
        <v>10</v>
      </c>
      <c r="L1" s="11" t="s">
        <v>11</v>
      </c>
      <c r="M1" s="11" t="s">
        <v>12</v>
      </c>
      <c r="N1" s="11" t="s">
        <v>13</v>
      </c>
      <c r="O1" s="11" t="s">
        <v>14</v>
      </c>
    </row>
    <row r="2" spans="1:15">
      <c r="A2" s="18" t="s">
        <v>15</v>
      </c>
      <c r="B2" s="12" t="s">
        <v>16</v>
      </c>
      <c r="C2" s="12" t="s">
        <v>17</v>
      </c>
      <c r="D2" s="134" t="s">
        <v>18</v>
      </c>
      <c r="E2" s="12" t="s">
        <v>19</v>
      </c>
      <c r="F2" s="12" t="s">
        <v>19</v>
      </c>
      <c r="G2" s="12" t="s">
        <v>20</v>
      </c>
      <c r="H2" s="12" t="s">
        <v>19</v>
      </c>
      <c r="I2" s="12" t="s">
        <v>21</v>
      </c>
      <c r="J2" s="12" t="s">
        <v>22</v>
      </c>
      <c r="K2" s="12" t="s">
        <v>19</v>
      </c>
      <c r="L2" s="13" t="s">
        <v>23</v>
      </c>
      <c r="M2" s="18" t="s">
        <v>24</v>
      </c>
      <c r="N2" s="176"/>
      <c r="O2" s="13" t="s">
        <v>25</v>
      </c>
    </row>
    <row r="3" spans="1:15">
      <c r="A3" s="18" t="s">
        <v>26</v>
      </c>
      <c r="B3" s="12" t="s">
        <v>27</v>
      </c>
      <c r="C3" s="12" t="s">
        <v>28</v>
      </c>
      <c r="D3" s="12" t="s">
        <v>29</v>
      </c>
      <c r="E3" s="247" t="s">
        <v>30</v>
      </c>
      <c r="F3" s="12" t="s">
        <v>31</v>
      </c>
      <c r="G3" s="12" t="s">
        <v>32</v>
      </c>
      <c r="H3" s="12" t="s">
        <v>31</v>
      </c>
      <c r="I3" s="12" t="s">
        <v>33</v>
      </c>
      <c r="J3" s="12" t="s">
        <v>34</v>
      </c>
      <c r="K3" s="12" t="s">
        <v>31</v>
      </c>
      <c r="L3" s="13" t="s">
        <v>35</v>
      </c>
      <c r="M3" s="13" t="s">
        <v>36</v>
      </c>
      <c r="N3" s="14"/>
      <c r="O3" s="18" t="s">
        <v>37</v>
      </c>
    </row>
    <row r="4" spans="1:15" ht="51">
      <c r="A4" s="18" t="s">
        <v>38</v>
      </c>
      <c r="B4" s="12" t="s">
        <v>39</v>
      </c>
      <c r="C4" s="12" t="s">
        <v>34</v>
      </c>
      <c r="D4" s="123" t="s">
        <v>40</v>
      </c>
      <c r="F4" s="12" t="s">
        <v>30</v>
      </c>
      <c r="G4" s="12" t="s">
        <v>41</v>
      </c>
      <c r="H4" s="12" t="s">
        <v>30</v>
      </c>
      <c r="I4" s="12" t="s">
        <v>42</v>
      </c>
      <c r="J4" s="12" t="s">
        <v>43</v>
      </c>
      <c r="K4" s="12" t="s">
        <v>30</v>
      </c>
      <c r="L4" s="13" t="s">
        <v>44</v>
      </c>
      <c r="M4" s="13" t="s">
        <v>45</v>
      </c>
      <c r="N4" s="248" t="s">
        <v>46</v>
      </c>
      <c r="O4" s="13" t="s">
        <v>47</v>
      </c>
    </row>
    <row r="5" spans="1:15">
      <c r="B5" s="12" t="s">
        <v>48</v>
      </c>
      <c r="C5" s="12" t="s">
        <v>49</v>
      </c>
      <c r="D5" s="241" t="s">
        <v>50</v>
      </c>
      <c r="E5" s="15"/>
      <c r="F5" s="15"/>
      <c r="G5" s="12" t="s">
        <v>51</v>
      </c>
      <c r="H5" s="16"/>
      <c r="I5" s="17" t="s">
        <v>34</v>
      </c>
      <c r="J5" s="134"/>
      <c r="K5" s="16"/>
      <c r="L5" s="13" t="s">
        <v>52</v>
      </c>
      <c r="M5" s="18" t="s">
        <v>53</v>
      </c>
      <c r="N5" s="14"/>
      <c r="O5" s="13" t="s">
        <v>54</v>
      </c>
    </row>
    <row r="6" spans="1:15" ht="16" customHeight="1">
      <c r="B6" s="12" t="s">
        <v>55</v>
      </c>
      <c r="C6" s="12" t="s">
        <v>56</v>
      </c>
      <c r="D6" s="235" t="s">
        <v>57</v>
      </c>
      <c r="E6" s="16"/>
      <c r="F6" s="15"/>
      <c r="G6" s="17" t="s">
        <v>34</v>
      </c>
      <c r="H6" s="16"/>
      <c r="I6" s="16"/>
      <c r="J6" s="16"/>
      <c r="K6" s="16"/>
      <c r="L6" s="13" t="s">
        <v>58</v>
      </c>
      <c r="M6" s="13" t="s">
        <v>59</v>
      </c>
      <c r="N6" s="14"/>
      <c r="O6" s="13" t="s">
        <v>60</v>
      </c>
    </row>
    <row r="7" spans="1:15">
      <c r="B7" s="12" t="s">
        <v>61</v>
      </c>
      <c r="C7" s="12" t="s">
        <v>62</v>
      </c>
      <c r="D7" s="236" t="s">
        <v>63</v>
      </c>
      <c r="E7" s="16"/>
      <c r="F7" s="16"/>
      <c r="G7" s="16"/>
      <c r="H7" s="16"/>
      <c r="I7" s="16"/>
      <c r="J7" s="16"/>
      <c r="K7" s="16"/>
      <c r="L7" s="13" t="s">
        <v>64</v>
      </c>
      <c r="M7" s="13" t="s">
        <v>65</v>
      </c>
      <c r="N7" s="14"/>
      <c r="O7" s="13" t="s">
        <v>54</v>
      </c>
    </row>
    <row r="8" spans="1:15">
      <c r="B8" s="12" t="s">
        <v>66</v>
      </c>
      <c r="C8" s="12" t="s">
        <v>67</v>
      </c>
      <c r="D8" s="12" t="s">
        <v>68</v>
      </c>
      <c r="E8" s="16"/>
      <c r="F8" s="16"/>
      <c r="G8" s="16"/>
      <c r="H8" s="16"/>
      <c r="I8" s="16"/>
      <c r="J8" s="16"/>
      <c r="K8" s="16"/>
      <c r="L8" s="13" t="s">
        <v>69</v>
      </c>
      <c r="M8" s="13" t="s">
        <v>70</v>
      </c>
      <c r="N8" s="14"/>
      <c r="O8" s="13" t="s">
        <v>71</v>
      </c>
    </row>
    <row r="9" spans="1:15" ht="34">
      <c r="B9" s="12" t="s">
        <v>72</v>
      </c>
      <c r="C9" s="12" t="s">
        <v>73</v>
      </c>
      <c r="D9" s="222" t="s">
        <v>74</v>
      </c>
      <c r="E9" s="16"/>
      <c r="F9" s="16"/>
      <c r="G9" s="16"/>
      <c r="H9" s="16"/>
      <c r="I9" s="16"/>
      <c r="J9" s="16"/>
      <c r="K9" s="16"/>
      <c r="L9" s="13" t="s">
        <v>75</v>
      </c>
      <c r="M9" s="13" t="s">
        <v>76</v>
      </c>
      <c r="N9" s="14"/>
      <c r="O9" s="13" t="s">
        <v>77</v>
      </c>
    </row>
    <row r="10" spans="1:15">
      <c r="B10" s="12" t="s">
        <v>78</v>
      </c>
      <c r="C10" s="12" t="s">
        <v>79</v>
      </c>
      <c r="D10" s="108" t="s">
        <v>80</v>
      </c>
      <c r="E10" s="16"/>
      <c r="F10" s="16"/>
      <c r="G10" s="16"/>
      <c r="H10" s="16"/>
      <c r="I10" s="16"/>
      <c r="J10" s="16"/>
      <c r="K10" s="16"/>
      <c r="L10" s="12" t="s">
        <v>81</v>
      </c>
      <c r="M10" s="13" t="s">
        <v>82</v>
      </c>
      <c r="N10" s="14"/>
      <c r="O10" s="13" t="s">
        <v>83</v>
      </c>
    </row>
    <row r="11" spans="1:15">
      <c r="B11" s="12" t="s">
        <v>84</v>
      </c>
      <c r="C11" s="12" t="s">
        <v>85</v>
      </c>
      <c r="D11" s="12" t="s">
        <v>86</v>
      </c>
      <c r="E11" s="16"/>
      <c r="F11" s="16"/>
      <c r="G11" s="16"/>
      <c r="H11" s="16"/>
      <c r="I11" s="16"/>
      <c r="J11" s="16"/>
      <c r="K11" s="16"/>
      <c r="L11" s="16"/>
      <c r="M11" s="13" t="s">
        <v>87</v>
      </c>
      <c r="N11" s="14"/>
      <c r="O11" s="18" t="s">
        <v>88</v>
      </c>
    </row>
    <row r="12" spans="1:15">
      <c r="B12" s="18" t="s">
        <v>89</v>
      </c>
      <c r="C12" s="244" t="s">
        <v>90</v>
      </c>
      <c r="D12" s="246" t="s">
        <v>91</v>
      </c>
      <c r="M12" s="244"/>
      <c r="O12" s="244"/>
    </row>
    <row r="13" spans="1:15">
      <c r="B13" s="12" t="s">
        <v>92</v>
      </c>
      <c r="C13" s="12" t="s">
        <v>93</v>
      </c>
      <c r="D13" s="127" t="s">
        <v>94</v>
      </c>
      <c r="E13" s="16"/>
      <c r="F13" s="16"/>
      <c r="G13" s="16"/>
      <c r="H13" s="16"/>
      <c r="I13" s="16"/>
      <c r="J13" s="16"/>
      <c r="K13" s="16"/>
      <c r="L13" s="16"/>
      <c r="M13" s="13" t="s">
        <v>95</v>
      </c>
      <c r="N13" s="16"/>
      <c r="O13" s="13" t="s">
        <v>96</v>
      </c>
    </row>
    <row r="14" spans="1:15">
      <c r="B14" s="12" t="s">
        <v>97</v>
      </c>
      <c r="C14" s="134" t="s">
        <v>98</v>
      </c>
      <c r="D14" s="12" t="s">
        <v>99</v>
      </c>
      <c r="E14" s="16"/>
      <c r="F14" s="16"/>
      <c r="G14" s="16"/>
      <c r="H14" s="16"/>
      <c r="I14" s="16"/>
      <c r="J14" s="16"/>
      <c r="K14" s="16"/>
      <c r="L14" s="16"/>
      <c r="M14" s="248" t="s">
        <v>100</v>
      </c>
      <c r="N14" s="16"/>
      <c r="O14" s="134" t="s">
        <v>101</v>
      </c>
    </row>
    <row r="15" spans="1:15">
      <c r="B15" s="12" t="s">
        <v>102</v>
      </c>
      <c r="C15" s="245" t="s">
        <v>103</v>
      </c>
      <c r="D15" s="12" t="s">
        <v>104</v>
      </c>
      <c r="E15" s="16"/>
      <c r="F15" s="16"/>
      <c r="G15" s="16"/>
      <c r="H15" s="16"/>
      <c r="I15" s="16"/>
      <c r="J15" s="16"/>
      <c r="K15" s="16"/>
      <c r="L15" s="16"/>
      <c r="M15" s="16"/>
      <c r="N15" s="16"/>
      <c r="O15" s="16"/>
    </row>
    <row r="16" spans="1:15">
      <c r="B16" s="12" t="s">
        <v>105</v>
      </c>
      <c r="C16" s="12" t="s">
        <v>106</v>
      </c>
      <c r="D16" s="127" t="s">
        <v>107</v>
      </c>
      <c r="E16" s="16"/>
      <c r="F16" s="16"/>
      <c r="G16" s="16"/>
      <c r="H16" s="16"/>
      <c r="I16" s="16"/>
      <c r="J16" s="16"/>
      <c r="K16" s="16"/>
      <c r="L16" s="16"/>
      <c r="M16" s="16"/>
      <c r="N16" s="16"/>
      <c r="O16" s="16"/>
    </row>
    <row r="17" spans="2:15">
      <c r="B17" s="12" t="s">
        <v>108</v>
      </c>
      <c r="C17" s="134" t="s">
        <v>109</v>
      </c>
      <c r="D17" s="12" t="s">
        <v>110</v>
      </c>
      <c r="E17" s="16"/>
      <c r="F17" s="16"/>
      <c r="G17" s="16"/>
      <c r="H17" s="16"/>
      <c r="I17" s="16"/>
      <c r="J17" s="16"/>
      <c r="K17" s="16"/>
      <c r="L17" s="16"/>
      <c r="M17" s="16"/>
      <c r="N17" s="16"/>
      <c r="O17" s="16"/>
    </row>
    <row r="18" spans="2:15">
      <c r="B18" s="12" t="s">
        <v>111</v>
      </c>
      <c r="C18" s="16"/>
      <c r="D18" s="12" t="s">
        <v>112</v>
      </c>
      <c r="E18" s="16"/>
      <c r="F18" s="16"/>
      <c r="G18" s="16"/>
      <c r="H18" s="16"/>
      <c r="I18" s="16"/>
      <c r="J18" s="16"/>
      <c r="K18" s="16"/>
      <c r="L18" s="16"/>
      <c r="M18" s="16"/>
      <c r="N18" s="16"/>
      <c r="O18" s="16"/>
    </row>
    <row r="19" spans="2:15">
      <c r="B19" s="12" t="s">
        <v>113</v>
      </c>
      <c r="C19" s="16"/>
      <c r="D19" s="123" t="s">
        <v>114</v>
      </c>
      <c r="E19" s="16"/>
      <c r="F19" s="16"/>
      <c r="G19" s="16"/>
      <c r="H19" s="16"/>
      <c r="I19" s="16"/>
      <c r="J19" s="16"/>
      <c r="K19" s="16"/>
      <c r="L19" s="16"/>
      <c r="M19" s="16"/>
      <c r="N19" s="16"/>
      <c r="O19" s="16"/>
    </row>
    <row r="20" spans="2:15">
      <c r="B20" s="12" t="s">
        <v>115</v>
      </c>
      <c r="C20" s="16"/>
      <c r="D20" s="123" t="s">
        <v>116</v>
      </c>
      <c r="E20" s="16"/>
      <c r="F20" s="16"/>
      <c r="G20" s="16"/>
      <c r="H20" s="16"/>
      <c r="I20" s="16"/>
      <c r="J20" s="16"/>
      <c r="K20" s="16"/>
      <c r="L20" s="16"/>
      <c r="M20" s="16"/>
      <c r="N20" s="16"/>
      <c r="O20" s="16"/>
    </row>
    <row r="21" spans="2:15">
      <c r="B21" s="12" t="s">
        <v>117</v>
      </c>
      <c r="C21" s="16"/>
      <c r="D21" s="242" t="s">
        <v>118</v>
      </c>
      <c r="E21" s="16"/>
      <c r="F21" s="16"/>
      <c r="G21" s="16"/>
      <c r="H21" s="16"/>
      <c r="I21" s="16"/>
      <c r="J21" s="16"/>
      <c r="K21" s="16"/>
      <c r="L21" s="16"/>
      <c r="M21" s="16"/>
      <c r="N21" s="16"/>
      <c r="O21" s="16"/>
    </row>
    <row r="22" spans="2:15">
      <c r="B22" s="12" t="s">
        <v>119</v>
      </c>
      <c r="C22" s="16"/>
      <c r="D22" s="244" t="s">
        <v>120</v>
      </c>
      <c r="E22" s="16"/>
      <c r="F22" s="16"/>
      <c r="G22" s="16"/>
      <c r="H22" s="16"/>
      <c r="I22" s="16"/>
      <c r="J22" s="16"/>
      <c r="K22" s="16"/>
      <c r="L22" s="16"/>
      <c r="M22" s="16"/>
      <c r="N22" s="16"/>
      <c r="O22" s="16"/>
    </row>
    <row r="23" spans="2:15" ht="17.25" customHeight="1">
      <c r="B23" s="12" t="s">
        <v>121</v>
      </c>
      <c r="C23" s="16"/>
      <c r="D23" s="123" t="s">
        <v>122</v>
      </c>
      <c r="E23" s="16"/>
      <c r="F23" s="16"/>
      <c r="G23" s="16"/>
      <c r="H23" s="16"/>
      <c r="I23" s="16"/>
      <c r="J23" s="16"/>
      <c r="K23" s="16"/>
      <c r="L23" s="16"/>
      <c r="M23" s="16"/>
      <c r="N23" s="16"/>
      <c r="O23" s="16"/>
    </row>
    <row r="24" spans="2:15">
      <c r="B24" s="12" t="s">
        <v>123</v>
      </c>
      <c r="C24" s="16"/>
      <c r="D24" s="236" t="s">
        <v>124</v>
      </c>
      <c r="E24" s="16"/>
      <c r="F24" s="16"/>
      <c r="G24" s="16"/>
      <c r="H24" s="16"/>
      <c r="I24" s="16"/>
      <c r="J24" s="16"/>
      <c r="K24" s="16"/>
      <c r="L24" s="16"/>
      <c r="M24" s="16"/>
      <c r="N24" s="16"/>
      <c r="O24" s="16"/>
    </row>
    <row r="25" spans="2:15">
      <c r="B25" s="12" t="s">
        <v>125</v>
      </c>
      <c r="C25" s="16"/>
      <c r="D25" s="236" t="s">
        <v>126</v>
      </c>
      <c r="E25" s="16"/>
      <c r="F25" s="16"/>
      <c r="G25" s="16"/>
      <c r="H25" s="16"/>
      <c r="I25" s="16"/>
      <c r="J25" s="16"/>
      <c r="K25" s="16"/>
      <c r="L25" s="16"/>
      <c r="M25" s="16"/>
      <c r="N25" s="16"/>
      <c r="O25" s="16"/>
    </row>
    <row r="26" spans="2:15">
      <c r="B26" s="12" t="s">
        <v>127</v>
      </c>
      <c r="C26" s="16"/>
      <c r="D26" s="108" t="s">
        <v>128</v>
      </c>
      <c r="E26" s="16"/>
      <c r="F26" s="16"/>
      <c r="G26" s="16"/>
      <c r="H26" s="16"/>
      <c r="I26" s="16"/>
      <c r="J26" s="16"/>
      <c r="K26" s="16"/>
      <c r="L26" s="16"/>
      <c r="M26" s="16"/>
      <c r="N26" s="16"/>
      <c r="O26" s="16"/>
    </row>
    <row r="27" spans="2:15">
      <c r="B27" s="12" t="s">
        <v>129</v>
      </c>
      <c r="C27" s="16"/>
      <c r="D27" s="444" t="s">
        <v>130</v>
      </c>
      <c r="E27" s="16"/>
      <c r="F27" s="16"/>
      <c r="G27" s="16"/>
      <c r="H27" s="16"/>
      <c r="I27" s="16"/>
      <c r="J27" s="16"/>
      <c r="K27" s="16"/>
      <c r="L27" s="16"/>
      <c r="M27" s="16"/>
      <c r="N27" s="16"/>
      <c r="O27" s="16"/>
    </row>
    <row r="28" spans="2:15">
      <c r="B28" s="12" t="s">
        <v>131</v>
      </c>
      <c r="C28" s="16"/>
      <c r="D28" s="12" t="s">
        <v>132</v>
      </c>
      <c r="E28" s="16"/>
      <c r="F28" s="16"/>
      <c r="G28" s="16"/>
      <c r="H28" s="16"/>
      <c r="I28" s="16"/>
      <c r="J28" s="16"/>
      <c r="K28" s="16"/>
      <c r="L28" s="16"/>
      <c r="M28" s="16"/>
      <c r="N28" s="16"/>
      <c r="O28" s="16"/>
    </row>
    <row r="29" spans="2:15">
      <c r="B29" s="12" t="s">
        <v>133</v>
      </c>
      <c r="C29" s="16"/>
      <c r="D29" s="107" t="s">
        <v>134</v>
      </c>
      <c r="E29" s="16"/>
      <c r="F29" s="16"/>
      <c r="G29" s="16"/>
      <c r="H29" s="16"/>
      <c r="I29" s="16"/>
      <c r="J29" s="16"/>
      <c r="K29" s="16"/>
      <c r="L29" s="16"/>
      <c r="M29" s="16"/>
      <c r="N29" s="16"/>
      <c r="O29" s="16"/>
    </row>
    <row r="30" spans="2:15">
      <c r="B30" s="12" t="s">
        <v>135</v>
      </c>
      <c r="C30" s="16"/>
      <c r="D30" s="12" t="s">
        <v>136</v>
      </c>
      <c r="E30" s="16"/>
      <c r="F30" s="16"/>
      <c r="G30" s="16"/>
      <c r="H30" s="16"/>
      <c r="I30" s="16"/>
      <c r="J30" s="16"/>
      <c r="K30" s="16"/>
      <c r="L30" s="16"/>
      <c r="M30" s="16"/>
      <c r="N30" s="16"/>
      <c r="O30" s="16"/>
    </row>
    <row r="31" spans="2:15">
      <c r="B31" s="12" t="s">
        <v>137</v>
      </c>
      <c r="C31" s="16"/>
      <c r="D31" s="265" t="s">
        <v>138</v>
      </c>
      <c r="E31" s="16"/>
      <c r="F31" s="16"/>
      <c r="G31" s="16"/>
      <c r="H31" s="16"/>
      <c r="I31" s="16"/>
      <c r="J31" s="16"/>
      <c r="K31" s="16"/>
      <c r="L31" s="16"/>
      <c r="M31" s="16"/>
      <c r="N31" s="16"/>
      <c r="O31" s="16"/>
    </row>
    <row r="32" spans="2:15">
      <c r="B32" s="12" t="s">
        <v>139</v>
      </c>
      <c r="C32" s="16"/>
      <c r="D32" s="108" t="s">
        <v>140</v>
      </c>
      <c r="E32" s="16"/>
      <c r="F32" s="16"/>
      <c r="G32" s="16"/>
      <c r="H32" s="16"/>
      <c r="I32" s="16"/>
      <c r="J32" s="16"/>
      <c r="K32" s="16"/>
      <c r="L32" s="16"/>
      <c r="M32" s="16"/>
      <c r="N32" s="16"/>
      <c r="O32" s="16"/>
    </row>
    <row r="33" spans="2:15">
      <c r="B33" s="12" t="s">
        <v>141</v>
      </c>
      <c r="C33" s="16"/>
      <c r="D33" s="12" t="s">
        <v>142</v>
      </c>
      <c r="E33" s="16"/>
      <c r="F33" s="16"/>
      <c r="G33" s="16"/>
      <c r="H33" s="16"/>
      <c r="I33" s="16"/>
      <c r="J33" s="16"/>
      <c r="K33" s="16"/>
      <c r="L33" s="16"/>
      <c r="M33" s="16"/>
      <c r="N33" s="16"/>
      <c r="O33" s="16"/>
    </row>
    <row r="34" spans="2:15">
      <c r="B34" s="12" t="s">
        <v>143</v>
      </c>
      <c r="C34" s="16"/>
      <c r="D34" s="235" t="s">
        <v>144</v>
      </c>
      <c r="E34" s="16"/>
      <c r="F34" s="16"/>
      <c r="G34" s="16"/>
      <c r="H34" s="16"/>
      <c r="I34" s="16"/>
      <c r="J34" s="16"/>
      <c r="K34" s="16"/>
      <c r="L34" s="16"/>
      <c r="M34" s="16"/>
      <c r="N34" s="16"/>
      <c r="O34" s="16"/>
    </row>
    <row r="35" spans="2:15">
      <c r="B35" s="12" t="s">
        <v>145</v>
      </c>
      <c r="C35" s="16"/>
      <c r="D35" s="346" t="s">
        <v>146</v>
      </c>
      <c r="E35" s="16"/>
      <c r="F35" s="16"/>
      <c r="G35" s="16"/>
      <c r="H35" s="16"/>
      <c r="I35" s="16"/>
      <c r="J35" s="16"/>
      <c r="K35" s="16"/>
      <c r="L35" s="16"/>
      <c r="M35" s="16"/>
      <c r="N35" s="16"/>
      <c r="O35" s="16"/>
    </row>
    <row r="36" spans="2:15">
      <c r="B36" s="12" t="s">
        <v>147</v>
      </c>
      <c r="C36" s="16"/>
      <c r="D36" s="108" t="s">
        <v>148</v>
      </c>
      <c r="E36" s="16"/>
      <c r="F36" s="16"/>
      <c r="G36" s="16"/>
      <c r="H36" s="16"/>
      <c r="I36" s="16"/>
      <c r="J36" s="16"/>
      <c r="K36" s="16"/>
      <c r="L36" s="16"/>
      <c r="M36" s="16"/>
      <c r="N36" s="16"/>
      <c r="O36" s="16"/>
    </row>
    <row r="37" spans="2:15">
      <c r="B37" s="12" t="s">
        <v>149</v>
      </c>
      <c r="C37" s="16"/>
      <c r="D37" s="128" t="s">
        <v>150</v>
      </c>
      <c r="E37" s="16"/>
      <c r="F37" s="16"/>
      <c r="G37" s="16"/>
      <c r="H37" s="16"/>
      <c r="I37" s="16"/>
      <c r="J37" s="16"/>
      <c r="K37" s="16"/>
      <c r="L37" s="16"/>
      <c r="M37" s="16"/>
      <c r="N37" s="16"/>
      <c r="O37" s="16"/>
    </row>
    <row r="38" spans="2:15">
      <c r="B38" s="12" t="s">
        <v>151</v>
      </c>
      <c r="C38" s="16"/>
      <c r="D38" s="108" t="s">
        <v>152</v>
      </c>
      <c r="E38" s="16"/>
      <c r="F38" s="16"/>
      <c r="G38" s="16"/>
      <c r="H38" s="16"/>
      <c r="I38" s="16"/>
      <c r="J38" s="16"/>
      <c r="K38" s="16"/>
      <c r="L38" s="16"/>
      <c r="M38" s="16"/>
      <c r="N38" s="16"/>
      <c r="O38" s="16"/>
    </row>
    <row r="39" spans="2:15">
      <c r="B39" s="12" t="s">
        <v>153</v>
      </c>
      <c r="C39" s="16"/>
      <c r="D39" s="17" t="s">
        <v>154</v>
      </c>
      <c r="E39" s="16"/>
      <c r="F39" s="16"/>
      <c r="G39" s="16"/>
      <c r="H39" s="16"/>
      <c r="I39" s="16"/>
      <c r="J39" s="16"/>
      <c r="K39" s="16"/>
      <c r="L39" s="16"/>
      <c r="M39" s="16"/>
      <c r="N39" s="16"/>
      <c r="O39" s="16"/>
    </row>
    <row r="40" spans="2:15">
      <c r="B40" s="12" t="s">
        <v>155</v>
      </c>
      <c r="C40" s="16"/>
      <c r="D40" s="12" t="s">
        <v>156</v>
      </c>
      <c r="E40" s="16"/>
      <c r="F40" s="16"/>
      <c r="G40" s="16"/>
      <c r="H40" s="16"/>
      <c r="I40" s="16"/>
      <c r="J40" s="16"/>
      <c r="K40" s="16"/>
      <c r="L40" s="16"/>
      <c r="M40" s="16"/>
      <c r="N40" s="16"/>
      <c r="O40" s="16"/>
    </row>
    <row r="41" spans="2:15">
      <c r="B41" s="12" t="s">
        <v>157</v>
      </c>
      <c r="C41" s="16"/>
      <c r="D41" s="12" t="s">
        <v>158</v>
      </c>
      <c r="E41" s="16"/>
      <c r="F41" s="16"/>
      <c r="G41" s="16"/>
      <c r="H41" s="16"/>
      <c r="I41" s="16"/>
      <c r="J41" s="16"/>
      <c r="K41" s="16"/>
      <c r="L41" s="16"/>
      <c r="M41" s="16"/>
      <c r="N41" s="16"/>
      <c r="O41" s="16"/>
    </row>
    <row r="42" spans="2:15">
      <c r="B42" s="12" t="s">
        <v>159</v>
      </c>
      <c r="C42" s="16"/>
      <c r="D42" s="235" t="s">
        <v>160</v>
      </c>
      <c r="E42" s="16"/>
      <c r="F42" s="16"/>
      <c r="G42" s="16"/>
      <c r="H42" s="16"/>
      <c r="I42" s="16"/>
      <c r="J42" s="16"/>
      <c r="K42" s="16"/>
      <c r="L42" s="16"/>
      <c r="M42" s="16"/>
      <c r="N42" s="16"/>
      <c r="O42" s="16"/>
    </row>
    <row r="43" spans="2:15">
      <c r="B43" s="12" t="s">
        <v>161</v>
      </c>
      <c r="C43" s="16"/>
      <c r="D43" s="235" t="s">
        <v>162</v>
      </c>
      <c r="E43" s="16"/>
      <c r="F43" s="16"/>
      <c r="G43" s="16"/>
      <c r="H43" s="16"/>
      <c r="I43" s="16"/>
      <c r="J43" s="16"/>
      <c r="K43" s="16"/>
      <c r="L43" s="16"/>
      <c r="M43" s="16"/>
      <c r="N43" s="16"/>
      <c r="O43" s="16"/>
    </row>
    <row r="44" spans="2:15">
      <c r="B44" s="12" t="s">
        <v>163</v>
      </c>
      <c r="C44" s="16"/>
      <c r="D44" s="107" t="s">
        <v>164</v>
      </c>
      <c r="E44" s="16"/>
      <c r="F44" s="16"/>
      <c r="G44" s="16"/>
      <c r="H44" s="16"/>
      <c r="I44" s="16"/>
      <c r="J44" s="16"/>
      <c r="K44" s="16"/>
      <c r="L44" s="16"/>
      <c r="M44" s="16"/>
      <c r="N44" s="16"/>
      <c r="O44" s="16"/>
    </row>
    <row r="45" spans="2:15">
      <c r="B45" s="12" t="s">
        <v>165</v>
      </c>
      <c r="C45" s="16"/>
      <c r="D45" s="12" t="s">
        <v>166</v>
      </c>
      <c r="E45" s="16"/>
      <c r="F45" s="16"/>
      <c r="G45" s="16"/>
      <c r="H45" s="16"/>
      <c r="I45" s="16"/>
      <c r="J45" s="16"/>
      <c r="K45" s="16"/>
      <c r="L45" s="16"/>
      <c r="M45" s="16"/>
      <c r="N45" s="16"/>
      <c r="O45" s="16"/>
    </row>
    <row r="46" spans="2:15">
      <c r="B46" s="12" t="s">
        <v>167</v>
      </c>
      <c r="C46" s="16"/>
      <c r="D46" s="12" t="s">
        <v>168</v>
      </c>
      <c r="E46" s="16"/>
      <c r="F46" s="16"/>
      <c r="G46" s="16"/>
      <c r="H46" s="16"/>
      <c r="I46" s="16"/>
      <c r="J46" s="16"/>
      <c r="K46" s="16"/>
      <c r="L46" s="16"/>
      <c r="M46" s="16"/>
      <c r="N46" s="16"/>
      <c r="O46" s="16"/>
    </row>
    <row r="47" spans="2:15">
      <c r="B47" s="12" t="s">
        <v>169</v>
      </c>
      <c r="C47" s="16"/>
      <c r="D47" s="237" t="s">
        <v>170</v>
      </c>
      <c r="E47" s="16"/>
      <c r="F47" s="16"/>
      <c r="G47" s="16"/>
      <c r="H47" s="16"/>
      <c r="I47" s="16"/>
      <c r="J47" s="16"/>
      <c r="K47" s="16"/>
      <c r="L47" s="16"/>
      <c r="M47" s="16"/>
      <c r="N47" s="16"/>
      <c r="O47" s="16"/>
    </row>
    <row r="48" spans="2:15">
      <c r="B48" s="12" t="s">
        <v>171</v>
      </c>
      <c r="C48" s="16"/>
      <c r="D48" s="23" t="s">
        <v>172</v>
      </c>
      <c r="E48" s="16"/>
      <c r="F48" s="16"/>
      <c r="G48" s="16"/>
      <c r="H48" s="16"/>
      <c r="I48" s="16"/>
      <c r="J48" s="16"/>
      <c r="K48" s="16"/>
      <c r="L48" s="16"/>
      <c r="M48" s="16"/>
      <c r="N48" s="16"/>
      <c r="O48" s="16"/>
    </row>
    <row r="49" spans="2:15">
      <c r="B49" s="12" t="s">
        <v>173</v>
      </c>
      <c r="C49" s="16"/>
      <c r="D49" s="108" t="s">
        <v>174</v>
      </c>
      <c r="E49" s="16"/>
      <c r="F49" s="16"/>
      <c r="G49" s="16"/>
      <c r="H49" s="16"/>
      <c r="I49" s="16"/>
      <c r="J49" s="16"/>
      <c r="K49" s="16"/>
      <c r="L49" s="16"/>
      <c r="M49" s="16"/>
      <c r="N49" s="16"/>
      <c r="O49" s="16"/>
    </row>
    <row r="50" spans="2:15">
      <c r="B50" s="12" t="s">
        <v>175</v>
      </c>
      <c r="C50" s="16"/>
      <c r="D50" s="12" t="s">
        <v>176</v>
      </c>
      <c r="E50" s="16"/>
      <c r="F50" s="16"/>
      <c r="G50" s="16"/>
      <c r="H50" s="16"/>
      <c r="I50" s="16"/>
      <c r="J50" s="16"/>
      <c r="K50" s="16"/>
      <c r="L50" s="16"/>
      <c r="M50" s="16"/>
      <c r="N50" s="16"/>
      <c r="O50" s="16"/>
    </row>
    <row r="51" spans="2:15">
      <c r="B51" s="18" t="s">
        <v>177</v>
      </c>
      <c r="D51" s="448" t="s">
        <v>178</v>
      </c>
    </row>
    <row r="52" spans="2:15">
      <c r="B52" s="18" t="s">
        <v>179</v>
      </c>
      <c r="D52" s="128" t="s">
        <v>180</v>
      </c>
    </row>
    <row r="53" spans="2:15">
      <c r="B53" s="18" t="s">
        <v>181</v>
      </c>
      <c r="D53" s="108" t="s">
        <v>182</v>
      </c>
    </row>
    <row r="54" spans="2:15">
      <c r="B54" s="18" t="s">
        <v>183</v>
      </c>
      <c r="D54" s="12" t="s">
        <v>184</v>
      </c>
    </row>
    <row r="55" spans="2:15">
      <c r="B55" s="18" t="s">
        <v>185</v>
      </c>
      <c r="D55" s="236" t="s">
        <v>186</v>
      </c>
    </row>
    <row r="56" spans="2:15">
      <c r="B56" s="18" t="s">
        <v>187</v>
      </c>
      <c r="D56" s="12" t="s">
        <v>188</v>
      </c>
    </row>
    <row r="57" spans="2:15">
      <c r="B57" s="18" t="s">
        <v>189</v>
      </c>
      <c r="D57" s="447" t="s">
        <v>190</v>
      </c>
    </row>
    <row r="58" spans="2:15">
      <c r="B58" s="18" t="s">
        <v>191</v>
      </c>
      <c r="D58" s="108" t="s">
        <v>192</v>
      </c>
    </row>
    <row r="59" spans="2:15">
      <c r="B59" s="18" t="s">
        <v>193</v>
      </c>
      <c r="D59" s="108" t="s">
        <v>194</v>
      </c>
    </row>
    <row r="60" spans="2:15">
      <c r="B60" s="18" t="s">
        <v>195</v>
      </c>
      <c r="D60" s="108" t="s">
        <v>196</v>
      </c>
    </row>
    <row r="61" spans="2:15">
      <c r="B61" s="18" t="s">
        <v>197</v>
      </c>
      <c r="D61" s="108" t="s">
        <v>198</v>
      </c>
    </row>
    <row r="62" spans="2:15">
      <c r="B62" s="18" t="s">
        <v>199</v>
      </c>
      <c r="D62" s="152" t="s">
        <v>198</v>
      </c>
    </row>
    <row r="63" spans="2:15">
      <c r="B63" s="18" t="s">
        <v>200</v>
      </c>
      <c r="D63" s="125" t="s">
        <v>201</v>
      </c>
    </row>
    <row r="64" spans="2:15">
      <c r="B64" s="18" t="s">
        <v>202</v>
      </c>
      <c r="D64" s="170" t="s">
        <v>203</v>
      </c>
    </row>
    <row r="65" spans="2:4">
      <c r="B65" s="18" t="s">
        <v>204</v>
      </c>
      <c r="D65" s="446" t="s">
        <v>205</v>
      </c>
    </row>
    <row r="66" spans="2:4">
      <c r="B66" s="18" t="s">
        <v>206</v>
      </c>
      <c r="D66" s="445" t="s">
        <v>207</v>
      </c>
    </row>
    <row r="67" spans="2:4">
      <c r="B67" s="18" t="s">
        <v>208</v>
      </c>
      <c r="D67" s="108" t="s">
        <v>209</v>
      </c>
    </row>
    <row r="68" spans="2:4">
      <c r="B68" s="18" t="s">
        <v>210</v>
      </c>
      <c r="D68" s="152" t="s">
        <v>211</v>
      </c>
    </row>
    <row r="69" spans="2:4">
      <c r="B69" s="18" t="s">
        <v>212</v>
      </c>
      <c r="D69" s="450" t="s">
        <v>213</v>
      </c>
    </row>
    <row r="70" spans="2:4">
      <c r="B70" s="18" t="s">
        <v>214</v>
      </c>
      <c r="D70" s="125" t="s">
        <v>215</v>
      </c>
    </row>
    <row r="71" spans="2:4" ht="51">
      <c r="B71" s="18" t="s">
        <v>216</v>
      </c>
      <c r="D71" s="449" t="s">
        <v>217</v>
      </c>
    </row>
    <row r="72" spans="2:4">
      <c r="B72" s="18" t="s">
        <v>218</v>
      </c>
      <c r="D72" s="170" t="s">
        <v>219</v>
      </c>
    </row>
    <row r="73" spans="2:4">
      <c r="B73" s="18" t="s">
        <v>220</v>
      </c>
      <c r="D73" s="125" t="s">
        <v>221</v>
      </c>
    </row>
    <row r="74" spans="2:4">
      <c r="B74" s="18" t="s">
        <v>222</v>
      </c>
      <c r="D74" s="237" t="s">
        <v>223</v>
      </c>
    </row>
    <row r="75" spans="2:4">
      <c r="B75" s="18" t="s">
        <v>224</v>
      </c>
      <c r="D75" s="152" t="s">
        <v>225</v>
      </c>
    </row>
    <row r="76" spans="2:4">
      <c r="B76" s="18" t="s">
        <v>226</v>
      </c>
      <c r="D76" s="445" t="s">
        <v>227</v>
      </c>
    </row>
    <row r="77" spans="2:4">
      <c r="B77" s="18" t="s">
        <v>228</v>
      </c>
      <c r="D77" s="222" t="s">
        <v>229</v>
      </c>
    </row>
    <row r="78" spans="2:4">
      <c r="B78" s="18" t="s">
        <v>230</v>
      </c>
      <c r="D78" s="108" t="s">
        <v>231</v>
      </c>
    </row>
    <row r="79" spans="2:4">
      <c r="B79" s="18" t="s">
        <v>232</v>
      </c>
      <c r="D79" s="108" t="s">
        <v>233</v>
      </c>
    </row>
    <row r="80" spans="2:4">
      <c r="B80" s="18" t="s">
        <v>234</v>
      </c>
      <c r="D80" s="128" t="s">
        <v>235</v>
      </c>
    </row>
    <row r="81" spans="2:4">
      <c r="B81" s="18" t="s">
        <v>236</v>
      </c>
      <c r="D81" s="12" t="s">
        <v>237</v>
      </c>
    </row>
    <row r="82" spans="2:4">
      <c r="B82" s="18" t="s">
        <v>238</v>
      </c>
      <c r="D82" s="12" t="s">
        <v>239</v>
      </c>
    </row>
    <row r="83" spans="2:4">
      <c r="B83" s="18" t="s">
        <v>240</v>
      </c>
      <c r="D83" s="12" t="s">
        <v>241</v>
      </c>
    </row>
    <row r="84" spans="2:4">
      <c r="B84" s="18" t="s">
        <v>242</v>
      </c>
      <c r="D84" s="12" t="s">
        <v>243</v>
      </c>
    </row>
    <row r="85" spans="2:4">
      <c r="B85" s="18" t="s">
        <v>244</v>
      </c>
      <c r="D85" s="12" t="s">
        <v>245</v>
      </c>
    </row>
    <row r="86" spans="2:4">
      <c r="B86" s="18" t="s">
        <v>246</v>
      </c>
      <c r="D86" s="12" t="s">
        <v>247</v>
      </c>
    </row>
    <row r="87" spans="2:4">
      <c r="B87" s="18" t="s">
        <v>93</v>
      </c>
      <c r="D87" s="235" t="s">
        <v>248</v>
      </c>
    </row>
    <row r="88" spans="2:4">
      <c r="B88" s="18" t="s">
        <v>249</v>
      </c>
      <c r="D88" s="235" t="s">
        <v>250</v>
      </c>
    </row>
    <row r="89" spans="2:4">
      <c r="B89" s="18" t="s">
        <v>251</v>
      </c>
      <c r="D89" s="12" t="s">
        <v>252</v>
      </c>
    </row>
    <row r="90" spans="2:4">
      <c r="B90" s="18" t="s">
        <v>253</v>
      </c>
      <c r="D90" s="134" t="s">
        <v>254</v>
      </c>
    </row>
    <row r="91" spans="2:4">
      <c r="B91" s="18" t="s">
        <v>255</v>
      </c>
      <c r="D91" s="236"/>
    </row>
    <row r="92" spans="2:4">
      <c r="B92" s="18" t="s">
        <v>256</v>
      </c>
      <c r="D92" s="236"/>
    </row>
    <row r="93" spans="2:4">
      <c r="B93" s="18" t="s">
        <v>257</v>
      </c>
      <c r="D93" s="236"/>
    </row>
    <row r="94" spans="2:4">
      <c r="B94" s="18" t="s">
        <v>258</v>
      </c>
    </row>
    <row r="95" spans="2:4">
      <c r="B95" s="18" t="s">
        <v>259</v>
      </c>
    </row>
    <row r="96" spans="2:4">
      <c r="B96" s="18" t="s">
        <v>260</v>
      </c>
    </row>
    <row r="97" spans="2:2">
      <c r="B97" s="18" t="s">
        <v>261</v>
      </c>
    </row>
    <row r="98" spans="2:2">
      <c r="B98" s="18" t="s">
        <v>262</v>
      </c>
    </row>
    <row r="99" spans="2:2">
      <c r="B99" s="18" t="s">
        <v>263</v>
      </c>
    </row>
    <row r="100" spans="2:2">
      <c r="B100" s="18" t="s">
        <v>264</v>
      </c>
    </row>
    <row r="101" spans="2:2">
      <c r="B101" s="18" t="s">
        <v>265</v>
      </c>
    </row>
    <row r="102" spans="2:2">
      <c r="B102" s="18" t="s">
        <v>266</v>
      </c>
    </row>
    <row r="103" spans="2:2">
      <c r="B103" s="18" t="s">
        <v>267</v>
      </c>
    </row>
    <row r="104" spans="2:2">
      <c r="B104" s="18" t="s">
        <v>268</v>
      </c>
    </row>
    <row r="105" spans="2:2">
      <c r="B105" s="18" t="s">
        <v>269</v>
      </c>
    </row>
    <row r="106" spans="2:2">
      <c r="B106" s="18" t="s">
        <v>270</v>
      </c>
    </row>
    <row r="107" spans="2:2">
      <c r="B107" s="18" t="s">
        <v>271</v>
      </c>
    </row>
    <row r="108" spans="2:2">
      <c r="B108" s="18" t="s">
        <v>272</v>
      </c>
    </row>
    <row r="109" spans="2:2">
      <c r="B109" s="18" t="s">
        <v>273</v>
      </c>
    </row>
    <row r="110" spans="2:2">
      <c r="B110" s="18" t="s">
        <v>274</v>
      </c>
    </row>
    <row r="111" spans="2:2">
      <c r="B111" s="18" t="s">
        <v>275</v>
      </c>
    </row>
    <row r="112" spans="2:2">
      <c r="B112" s="18" t="s">
        <v>276</v>
      </c>
    </row>
    <row r="113" spans="2:2">
      <c r="B113" s="18" t="s">
        <v>277</v>
      </c>
    </row>
    <row r="114" spans="2:2">
      <c r="B114" s="18" t="s">
        <v>278</v>
      </c>
    </row>
    <row r="115" spans="2:2">
      <c r="B115" s="18" t="s">
        <v>279</v>
      </c>
    </row>
    <row r="116" spans="2:2">
      <c r="B116" s="18" t="s">
        <v>280</v>
      </c>
    </row>
    <row r="117" spans="2:2">
      <c r="B117" s="18" t="s">
        <v>281</v>
      </c>
    </row>
    <row r="118" spans="2:2">
      <c r="B118" s="18" t="s">
        <v>282</v>
      </c>
    </row>
    <row r="119" spans="2:2">
      <c r="B119" s="18" t="s">
        <v>283</v>
      </c>
    </row>
    <row r="120" spans="2:2">
      <c r="B120" s="18" t="s">
        <v>284</v>
      </c>
    </row>
    <row r="121" spans="2:2">
      <c r="B121" s="18" t="s">
        <v>285</v>
      </c>
    </row>
    <row r="122" spans="2:2">
      <c r="B122" s="18" t="s">
        <v>286</v>
      </c>
    </row>
    <row r="123" spans="2:2">
      <c r="B123" s="18" t="s">
        <v>287</v>
      </c>
    </row>
    <row r="124" spans="2:2">
      <c r="B124" s="18" t="s">
        <v>288</v>
      </c>
    </row>
    <row r="125" spans="2:2">
      <c r="B125" s="18" t="s">
        <v>289</v>
      </c>
    </row>
    <row r="126" spans="2:2">
      <c r="B126" s="18" t="s">
        <v>290</v>
      </c>
    </row>
    <row r="127" spans="2:2">
      <c r="B127" s="18" t="s">
        <v>291</v>
      </c>
    </row>
    <row r="128" spans="2:2">
      <c r="B128" s="18" t="s">
        <v>292</v>
      </c>
    </row>
    <row r="129" spans="2:2">
      <c r="B129" s="18" t="s">
        <v>293</v>
      </c>
    </row>
    <row r="130" spans="2:2">
      <c r="B130" s="18" t="s">
        <v>294</v>
      </c>
    </row>
    <row r="131" spans="2:2">
      <c r="B131" s="18" t="s">
        <v>295</v>
      </c>
    </row>
    <row r="132" spans="2:2">
      <c r="B132" s="18" t="s">
        <v>296</v>
      </c>
    </row>
    <row r="133" spans="2:2">
      <c r="B133" s="18" t="s">
        <v>297</v>
      </c>
    </row>
    <row r="134" spans="2:2">
      <c r="B134" s="18" t="s">
        <v>298</v>
      </c>
    </row>
    <row r="135" spans="2:2">
      <c r="B135" s="18" t="s">
        <v>299</v>
      </c>
    </row>
    <row r="136" spans="2:2">
      <c r="B136" s="18" t="s">
        <v>300</v>
      </c>
    </row>
    <row r="137" spans="2:2">
      <c r="B137" s="18" t="s">
        <v>301</v>
      </c>
    </row>
    <row r="138" spans="2:2">
      <c r="B138" s="18" t="s">
        <v>302</v>
      </c>
    </row>
    <row r="139" spans="2:2">
      <c r="B139" s="18" t="s">
        <v>303</v>
      </c>
    </row>
    <row r="140" spans="2:2">
      <c r="B140" s="18" t="s">
        <v>304</v>
      </c>
    </row>
    <row r="141" spans="2:2">
      <c r="B141" s="18" t="s">
        <v>305</v>
      </c>
    </row>
    <row r="142" spans="2:2">
      <c r="B142" s="18" t="s">
        <v>306</v>
      </c>
    </row>
    <row r="143" spans="2:2">
      <c r="B143" s="18" t="s">
        <v>307</v>
      </c>
    </row>
    <row r="144" spans="2:2">
      <c r="B144" s="18" t="s">
        <v>308</v>
      </c>
    </row>
    <row r="145" spans="2:2">
      <c r="B145" s="18" t="s">
        <v>309</v>
      </c>
    </row>
    <row r="146" spans="2:2">
      <c r="B146" s="18" t="s">
        <v>310</v>
      </c>
    </row>
    <row r="147" spans="2:2">
      <c r="B147" s="18" t="s">
        <v>311</v>
      </c>
    </row>
    <row r="148" spans="2:2">
      <c r="B148" s="18" t="s">
        <v>312</v>
      </c>
    </row>
    <row r="149" spans="2:2">
      <c r="B149" s="18" t="s">
        <v>313</v>
      </c>
    </row>
    <row r="150" spans="2:2">
      <c r="B150" s="18" t="s">
        <v>314</v>
      </c>
    </row>
    <row r="151" spans="2:2">
      <c r="B151" s="18" t="s">
        <v>315</v>
      </c>
    </row>
    <row r="152" spans="2:2">
      <c r="B152" s="18" t="s">
        <v>316</v>
      </c>
    </row>
    <row r="153" spans="2:2">
      <c r="B153" s="18" t="s">
        <v>317</v>
      </c>
    </row>
    <row r="154" spans="2:2">
      <c r="B154" s="18" t="s">
        <v>318</v>
      </c>
    </row>
    <row r="155" spans="2:2">
      <c r="B155" s="18" t="s">
        <v>319</v>
      </c>
    </row>
    <row r="156" spans="2:2">
      <c r="B156" s="18" t="s">
        <v>320</v>
      </c>
    </row>
    <row r="157" spans="2:2">
      <c r="B157" s="18" t="s">
        <v>321</v>
      </c>
    </row>
    <row r="158" spans="2:2">
      <c r="B158" s="18" t="s">
        <v>322</v>
      </c>
    </row>
    <row r="159" spans="2:2">
      <c r="B159" s="18" t="s">
        <v>323</v>
      </c>
    </row>
    <row r="160" spans="2:2">
      <c r="B160" s="18" t="s">
        <v>324</v>
      </c>
    </row>
    <row r="161" spans="2:2">
      <c r="B161" s="18" t="s">
        <v>325</v>
      </c>
    </row>
    <row r="162" spans="2:2">
      <c r="B162" s="18" t="s">
        <v>326</v>
      </c>
    </row>
    <row r="163" spans="2:2">
      <c r="B163" s="18" t="s">
        <v>327</v>
      </c>
    </row>
    <row r="164" spans="2:2">
      <c r="B164" s="18" t="s">
        <v>328</v>
      </c>
    </row>
    <row r="165" spans="2:2">
      <c r="B165" s="18" t="s">
        <v>329</v>
      </c>
    </row>
    <row r="166" spans="2:2">
      <c r="B166" s="18" t="s">
        <v>330</v>
      </c>
    </row>
    <row r="167" spans="2:2">
      <c r="B167" s="18" t="s">
        <v>331</v>
      </c>
    </row>
    <row r="168" spans="2:2">
      <c r="B168" s="18" t="s">
        <v>332</v>
      </c>
    </row>
    <row r="169" spans="2:2">
      <c r="B169" s="18" t="s">
        <v>333</v>
      </c>
    </row>
    <row r="170" spans="2:2">
      <c r="B170" s="18" t="s">
        <v>334</v>
      </c>
    </row>
    <row r="171" spans="2:2">
      <c r="B171" s="18" t="s">
        <v>335</v>
      </c>
    </row>
    <row r="172" spans="2:2">
      <c r="B172" s="18" t="s">
        <v>336</v>
      </c>
    </row>
    <row r="173" spans="2:2">
      <c r="B173" s="18" t="s">
        <v>337</v>
      </c>
    </row>
    <row r="174" spans="2:2">
      <c r="B174" s="18" t="s">
        <v>338</v>
      </c>
    </row>
    <row r="175" spans="2:2">
      <c r="B175" s="18" t="s">
        <v>339</v>
      </c>
    </row>
    <row r="176" spans="2:2">
      <c r="B176" s="18" t="s">
        <v>340</v>
      </c>
    </row>
    <row r="177" spans="2:2">
      <c r="B177" s="18" t="s">
        <v>341</v>
      </c>
    </row>
    <row r="178" spans="2:2">
      <c r="B178" s="18" t="s">
        <v>342</v>
      </c>
    </row>
    <row r="179" spans="2:2">
      <c r="B179" s="18" t="s">
        <v>343</v>
      </c>
    </row>
    <row r="180" spans="2:2">
      <c r="B180" s="18" t="s">
        <v>344</v>
      </c>
    </row>
    <row r="181" spans="2:2">
      <c r="B181" s="18" t="s">
        <v>345</v>
      </c>
    </row>
    <row r="182" spans="2:2">
      <c r="B182" s="18" t="s">
        <v>346</v>
      </c>
    </row>
    <row r="183" spans="2:2">
      <c r="B183" s="18" t="s">
        <v>347</v>
      </c>
    </row>
    <row r="184" spans="2:2">
      <c r="B184" s="18" t="s">
        <v>348</v>
      </c>
    </row>
    <row r="185" spans="2:2">
      <c r="B185" s="18" t="s">
        <v>349</v>
      </c>
    </row>
    <row r="186" spans="2:2">
      <c r="B186" s="18" t="s">
        <v>350</v>
      </c>
    </row>
    <row r="187" spans="2:2">
      <c r="B187" s="18" t="s">
        <v>351</v>
      </c>
    </row>
    <row r="188" spans="2:2">
      <c r="B188" s="18" t="s">
        <v>352</v>
      </c>
    </row>
    <row r="189" spans="2:2">
      <c r="B189" s="18" t="s">
        <v>353</v>
      </c>
    </row>
    <row r="190" spans="2:2">
      <c r="B190" s="18" t="s">
        <v>354</v>
      </c>
    </row>
    <row r="191" spans="2:2">
      <c r="B191" s="18" t="s">
        <v>355</v>
      </c>
    </row>
    <row r="192" spans="2:2">
      <c r="B192" s="18" t="s">
        <v>356</v>
      </c>
    </row>
    <row r="193" spans="2:2">
      <c r="B193" s="18" t="s">
        <v>357</v>
      </c>
    </row>
    <row r="194" spans="2:2">
      <c r="B194" s="18" t="s">
        <v>358</v>
      </c>
    </row>
    <row r="195" spans="2:2">
      <c r="B195" s="18" t="s">
        <v>359</v>
      </c>
    </row>
    <row r="196" spans="2:2">
      <c r="B196" s="18" t="s">
        <v>360</v>
      </c>
    </row>
    <row r="197" spans="2:2">
      <c r="B197" s="18" t="s">
        <v>361</v>
      </c>
    </row>
    <row r="198" spans="2:2">
      <c r="B198" s="18" t="s">
        <v>362</v>
      </c>
    </row>
    <row r="199" spans="2:2">
      <c r="B199" s="18" t="s">
        <v>363</v>
      </c>
    </row>
    <row r="200" spans="2:2">
      <c r="B200" s="18" t="s">
        <v>364</v>
      </c>
    </row>
    <row r="201" spans="2:2">
      <c r="B201" s="18" t="s">
        <v>365</v>
      </c>
    </row>
    <row r="202" spans="2:2">
      <c r="B202" s="18" t="s">
        <v>366</v>
      </c>
    </row>
    <row r="203" spans="2:2">
      <c r="B203" s="18" t="s">
        <v>367</v>
      </c>
    </row>
    <row r="204" spans="2:2">
      <c r="B204" s="18" t="s">
        <v>368</v>
      </c>
    </row>
    <row r="205" spans="2:2">
      <c r="B205" s="18" t="s">
        <v>369</v>
      </c>
    </row>
    <row r="206" spans="2:2">
      <c r="B206" s="18" t="s">
        <v>370</v>
      </c>
    </row>
    <row r="207" spans="2:2">
      <c r="B207" s="18" t="s">
        <v>371</v>
      </c>
    </row>
    <row r="208" spans="2:2">
      <c r="B208" s="18" t="s">
        <v>372</v>
      </c>
    </row>
    <row r="209" spans="2:2">
      <c r="B209" s="18" t="s">
        <v>373</v>
      </c>
    </row>
    <row r="210" spans="2:2">
      <c r="B210" s="18" t="s">
        <v>374</v>
      </c>
    </row>
    <row r="211" spans="2:2">
      <c r="B211" s="18" t="s">
        <v>375</v>
      </c>
    </row>
    <row r="212" spans="2:2">
      <c r="B212" s="18" t="s">
        <v>376</v>
      </c>
    </row>
    <row r="213" spans="2:2">
      <c r="B213" s="18" t="s">
        <v>377</v>
      </c>
    </row>
    <row r="214" spans="2:2">
      <c r="B214" s="18" t="s">
        <v>378</v>
      </c>
    </row>
    <row r="215" spans="2:2">
      <c r="B215" s="18" t="s">
        <v>379</v>
      </c>
    </row>
    <row r="216" spans="2:2">
      <c r="B216" s="18" t="s">
        <v>380</v>
      </c>
    </row>
    <row r="217" spans="2:2">
      <c r="B217" s="18" t="s">
        <v>381</v>
      </c>
    </row>
    <row r="218" spans="2:2">
      <c r="B218" s="18" t="s">
        <v>382</v>
      </c>
    </row>
    <row r="219" spans="2:2">
      <c r="B219" s="18" t="s">
        <v>383</v>
      </c>
    </row>
    <row r="220" spans="2:2">
      <c r="B220" s="18" t="s">
        <v>384</v>
      </c>
    </row>
    <row r="221" spans="2:2">
      <c r="B221" s="18" t="s">
        <v>385</v>
      </c>
    </row>
    <row r="222" spans="2:2">
      <c r="B222" s="18" t="s">
        <v>386</v>
      </c>
    </row>
    <row r="223" spans="2:2">
      <c r="B223" s="18" t="s">
        <v>387</v>
      </c>
    </row>
    <row r="224" spans="2:2">
      <c r="B224" s="18" t="s">
        <v>388</v>
      </c>
    </row>
    <row r="225" spans="2:2">
      <c r="B225" s="18" t="s">
        <v>389</v>
      </c>
    </row>
    <row r="226" spans="2:2">
      <c r="B226" s="18" t="s">
        <v>390</v>
      </c>
    </row>
    <row r="227" spans="2:2">
      <c r="B227" s="18" t="s">
        <v>391</v>
      </c>
    </row>
    <row r="228" spans="2:2">
      <c r="B228" s="18" t="s">
        <v>392</v>
      </c>
    </row>
    <row r="229" spans="2:2">
      <c r="B229" s="18" t="s">
        <v>393</v>
      </c>
    </row>
    <row r="230" spans="2:2">
      <c r="B230" s="18" t="s">
        <v>394</v>
      </c>
    </row>
    <row r="231" spans="2:2">
      <c r="B231" s="18" t="s">
        <v>395</v>
      </c>
    </row>
    <row r="232" spans="2:2">
      <c r="B232" s="18" t="s">
        <v>396</v>
      </c>
    </row>
    <row r="233" spans="2:2">
      <c r="B233" s="18" t="s">
        <v>397</v>
      </c>
    </row>
    <row r="234" spans="2:2">
      <c r="B234" s="18" t="s">
        <v>398</v>
      </c>
    </row>
    <row r="235" spans="2:2">
      <c r="B235" s="18" t="s">
        <v>399</v>
      </c>
    </row>
    <row r="236" spans="2:2">
      <c r="B236" s="18" t="s">
        <v>400</v>
      </c>
    </row>
    <row r="237" spans="2:2">
      <c r="B237" s="18" t="s">
        <v>401</v>
      </c>
    </row>
    <row r="238" spans="2:2">
      <c r="B238" s="18" t="s">
        <v>402</v>
      </c>
    </row>
    <row r="239" spans="2:2">
      <c r="B239" s="18" t="s">
        <v>403</v>
      </c>
    </row>
    <row r="240" spans="2:2">
      <c r="B240" s="18" t="s">
        <v>404</v>
      </c>
    </row>
    <row r="241" spans="2:2">
      <c r="B241" s="18" t="s">
        <v>405</v>
      </c>
    </row>
    <row r="242" spans="2:2">
      <c r="B242" s="18" t="s">
        <v>406</v>
      </c>
    </row>
    <row r="243" spans="2:2">
      <c r="B243" s="18" t="s">
        <v>407</v>
      </c>
    </row>
    <row r="244" spans="2:2">
      <c r="B244" s="18" t="s">
        <v>408</v>
      </c>
    </row>
    <row r="245" spans="2:2">
      <c r="B245" s="18" t="s">
        <v>409</v>
      </c>
    </row>
    <row r="246" spans="2:2">
      <c r="B246" s="18" t="s">
        <v>410</v>
      </c>
    </row>
    <row r="247" spans="2:2">
      <c r="B247" s="18" t="s">
        <v>411</v>
      </c>
    </row>
    <row r="248" spans="2:2">
      <c r="B248" s="18" t="s">
        <v>412</v>
      </c>
    </row>
    <row r="249" spans="2:2">
      <c r="B249" s="18" t="s">
        <v>413</v>
      </c>
    </row>
    <row r="250" spans="2:2">
      <c r="B250" s="18" t="s">
        <v>414</v>
      </c>
    </row>
    <row r="251" spans="2:2">
      <c r="B251" s="18" t="s">
        <v>415</v>
      </c>
    </row>
    <row r="252" spans="2:2">
      <c r="B252" s="22" t="s">
        <v>362</v>
      </c>
    </row>
    <row r="253" spans="2:2">
      <c r="B253" s="22" t="s">
        <v>93</v>
      </c>
    </row>
  </sheetData>
  <sortState xmlns:xlrd2="http://schemas.microsoft.com/office/spreadsheetml/2017/richdata2" ref="D3:D90">
    <sortCondition ref="D3:D90"/>
  </sortState>
  <phoneticPr fontId="39"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383E8-D02F-4D32-AC58-E4B223896F6A}">
  <sheetPr>
    <tabColor rgb="FF0066FF"/>
  </sheetPr>
  <dimension ref="A1:AR618"/>
  <sheetViews>
    <sheetView tabSelected="1" topLeftCell="I582" zoomScale="85" zoomScaleNormal="85" workbookViewId="0">
      <selection activeCell="R612" sqref="R612"/>
    </sheetView>
  </sheetViews>
  <sheetFormatPr defaultColWidth="8.83203125" defaultRowHeight="15.75" customHeight="1"/>
  <cols>
    <col min="1" max="2" width="9.83203125" style="16" customWidth="1"/>
    <col min="3" max="3" width="25.58203125" style="16" customWidth="1"/>
    <col min="4" max="4" width="26.1640625" style="32" customWidth="1"/>
    <col min="5" max="5" width="22" style="16" customWidth="1"/>
    <col min="6" max="6" width="26.58203125" style="16" customWidth="1"/>
    <col min="7" max="7" width="14" style="16" customWidth="1"/>
    <col min="8" max="8" width="17.4140625" style="16" customWidth="1"/>
    <col min="9" max="9" width="18.4140625" style="16" customWidth="1"/>
    <col min="10" max="10" width="14.83203125" style="16" customWidth="1"/>
    <col min="11" max="11" width="13.83203125" style="16" customWidth="1"/>
    <col min="12" max="12" width="12.83203125" style="16" customWidth="1"/>
    <col min="13" max="13" width="16.58203125" style="106" customWidth="1"/>
    <col min="14" max="14" width="30.75" style="16" customWidth="1"/>
    <col min="15" max="15" width="14.25" style="16" customWidth="1"/>
    <col min="16" max="16" width="11.83203125" style="16" bestFit="1" customWidth="1"/>
    <col min="17" max="17" width="9.25" style="88" customWidth="1"/>
    <col min="18" max="18" width="24.1640625" style="16" customWidth="1"/>
    <col min="19" max="19" width="13.1640625" style="16" customWidth="1"/>
    <col min="20" max="20" width="14.25" style="63" customWidth="1"/>
    <col min="21" max="21" width="14.1640625" style="16" customWidth="1"/>
    <col min="22" max="22" width="15.58203125" style="16" customWidth="1"/>
    <col min="23" max="23" width="14.83203125" style="16" customWidth="1"/>
    <col min="24" max="24" width="13.75" style="32" customWidth="1"/>
    <col min="25" max="25" width="18.25" style="16" customWidth="1"/>
    <col min="26" max="26" width="11.25" style="16" customWidth="1"/>
    <col min="27" max="27" width="13.1640625" style="16" customWidth="1"/>
    <col min="28" max="28" width="16.25" style="16" customWidth="1"/>
    <col min="29" max="29" width="17.1640625" style="16" customWidth="1"/>
    <col min="30" max="30" width="21.75" style="63" customWidth="1"/>
    <col min="31" max="31" width="25.25" style="16" customWidth="1"/>
    <col min="32" max="33" width="15.58203125" style="16" customWidth="1"/>
    <col min="34" max="34" width="14.25" style="32" customWidth="1"/>
    <col min="35" max="35" width="17.58203125" style="16" customWidth="1"/>
    <col min="36" max="36" width="17.25" style="140" customWidth="1"/>
    <col min="37" max="37" width="17.83203125" style="32" customWidth="1"/>
    <col min="38" max="38" width="64.1640625" style="103" customWidth="1"/>
    <col min="39" max="39" width="13.25" style="16" customWidth="1"/>
    <col min="40" max="43" width="18.1640625" style="16" customWidth="1"/>
    <col min="44" max="44" width="22.1640625" style="44" customWidth="1"/>
    <col min="45" max="16384" width="8.83203125" style="16"/>
  </cols>
  <sheetData>
    <row r="1" spans="1:44" s="21" customFormat="1" ht="17.5" thickBot="1">
      <c r="A1" s="21" t="s">
        <v>416</v>
      </c>
      <c r="B1" s="35" t="s">
        <v>0</v>
      </c>
      <c r="C1" s="36" t="s">
        <v>417</v>
      </c>
      <c r="D1" s="37" t="s">
        <v>418</v>
      </c>
      <c r="E1" s="302" t="s">
        <v>419</v>
      </c>
      <c r="F1" s="68" t="s">
        <v>420</v>
      </c>
      <c r="G1" s="68" t="s">
        <v>2</v>
      </c>
      <c r="H1" s="68" t="s">
        <v>421</v>
      </c>
      <c r="I1" s="68" t="s">
        <v>422</v>
      </c>
      <c r="J1" s="68" t="s">
        <v>423</v>
      </c>
      <c r="K1" s="68" t="s">
        <v>424</v>
      </c>
      <c r="L1" s="69" t="s">
        <v>425</v>
      </c>
      <c r="M1" s="76" t="s">
        <v>426</v>
      </c>
      <c r="N1" s="77" t="s">
        <v>427</v>
      </c>
      <c r="O1" s="78" t="s">
        <v>428</v>
      </c>
      <c r="P1" s="89" t="s">
        <v>429</v>
      </c>
      <c r="Q1" s="90" t="s">
        <v>430</v>
      </c>
      <c r="R1" s="91" t="s">
        <v>431</v>
      </c>
      <c r="S1" s="91" t="s">
        <v>432</v>
      </c>
      <c r="T1" s="137" t="s">
        <v>433</v>
      </c>
      <c r="U1" s="91" t="s">
        <v>434</v>
      </c>
      <c r="V1" s="91" t="s">
        <v>435</v>
      </c>
      <c r="W1" s="91" t="s">
        <v>436</v>
      </c>
      <c r="X1" s="92" t="s">
        <v>437</v>
      </c>
      <c r="Y1" s="95" t="s">
        <v>438</v>
      </c>
      <c r="Z1" s="96" t="s">
        <v>8</v>
      </c>
      <c r="AA1" s="96" t="s">
        <v>9</v>
      </c>
      <c r="AB1" s="96" t="s">
        <v>439</v>
      </c>
      <c r="AC1" s="96" t="s">
        <v>440</v>
      </c>
      <c r="AD1" s="135" t="s">
        <v>441</v>
      </c>
      <c r="AE1" s="96" t="s">
        <v>442</v>
      </c>
      <c r="AF1" s="96" t="s">
        <v>443</v>
      </c>
      <c r="AG1" s="96" t="s">
        <v>444</v>
      </c>
      <c r="AH1" s="97" t="s">
        <v>445</v>
      </c>
      <c r="AI1" s="98" t="s">
        <v>446</v>
      </c>
      <c r="AJ1" s="138" t="s">
        <v>447</v>
      </c>
      <c r="AK1" s="141" t="s">
        <v>448</v>
      </c>
      <c r="AL1" s="99" t="s">
        <v>449</v>
      </c>
      <c r="AM1" s="105" t="s">
        <v>450</v>
      </c>
      <c r="AN1" s="45" t="s">
        <v>451</v>
      </c>
      <c r="AO1" s="46" t="s">
        <v>452</v>
      </c>
      <c r="AP1" s="47" t="s">
        <v>453</v>
      </c>
      <c r="AQ1" s="47" t="s">
        <v>454</v>
      </c>
      <c r="AR1" s="46" t="s">
        <v>455</v>
      </c>
    </row>
    <row r="2" spans="1:44" ht="15" customHeight="1">
      <c r="A2" s="63">
        <v>36526</v>
      </c>
      <c r="B2" s="24" t="s">
        <v>15</v>
      </c>
      <c r="C2" s="33" t="str" cm="1">
        <f t="array" ref="C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 s="25" t="s">
        <v>456</v>
      </c>
      <c r="E2" s="52" t="s">
        <v>29</v>
      </c>
      <c r="F2" s="24" t="s">
        <v>72</v>
      </c>
      <c r="G2" s="24" t="s">
        <v>34</v>
      </c>
      <c r="H2" s="24"/>
      <c r="I2" s="24"/>
      <c r="J2" s="24"/>
      <c r="K2" s="24"/>
      <c r="L2" s="33"/>
      <c r="M2" s="70" t="s">
        <v>19</v>
      </c>
      <c r="N2" s="54"/>
      <c r="O2" s="26"/>
      <c r="P2" s="52" t="s">
        <v>19</v>
      </c>
      <c r="Q2" s="375" t="s">
        <v>34</v>
      </c>
      <c r="R2" s="24"/>
      <c r="S2" s="24"/>
      <c r="T2" s="136"/>
      <c r="U2" s="24"/>
      <c r="V2" s="24"/>
      <c r="W2" s="24"/>
      <c r="X2" s="25"/>
      <c r="Y2" s="52" t="s">
        <v>457</v>
      </c>
      <c r="Z2" s="24"/>
      <c r="AA2" s="24"/>
      <c r="AB2" s="24"/>
      <c r="AC2" s="24"/>
      <c r="AD2" s="136"/>
      <c r="AE2" s="24"/>
      <c r="AF2" s="24"/>
      <c r="AG2" s="24"/>
      <c r="AH2" s="25"/>
      <c r="AI2" s="52" t="s">
        <v>457</v>
      </c>
      <c r="AJ2" s="392"/>
      <c r="AK2" s="325"/>
      <c r="AL2" s="100" t="s">
        <v>458</v>
      </c>
      <c r="AM2" s="38" t="str">
        <f>VLOOKUP(Table2[[#This Row],[country]],Countrycode!A:B,2,FALSE)</f>
        <v>AGO</v>
      </c>
      <c r="AN2" s="38">
        <f>IF(ISBLANK(Table2[[#This Row],[Need_RRA]]), 2,(IF(Table2[[#This Row],[Need_RRA]]="No", 0, (IF(AND(Table2[[#This Row],[Need_RRA]]="Yes",  Table2[[#This Row],[RRA_pub_date]]=""),1, 0)))))</f>
        <v>0</v>
      </c>
      <c r="AO2" s="38">
        <f>IF(ISBLANK(Table2[[#This Row],[Need_EIS]]), 2,(IF(Table2[[#This Row],[Need_EIS]]="No", 0, (IF(AND(Table2[[#This Row],[Need_EIS]]="Yes",  Table2[[#This Row],[EIS_pub_date]]=""),1, 0)))))</f>
        <v>0</v>
      </c>
      <c r="AP2" s="38">
        <f>IF(ISBLANK(Table2[[#This Row],[Need_DON]]), 2,(IF(Table2[[#This Row],[Need_DON]]="No", 0, (IF(AND(Table2[[#This Row],[Need_DON]]="Yes",  Table2[[#This Row],[DON_pub_date]]=""),1, 0)))))</f>
        <v>0</v>
      </c>
      <c r="AQ2" s="38">
        <f>IF(ISBLANK(Table2[[#This Row],[Pending_question]]), 2,(IF(Table2[[#This Row],[Pending_question]]="Yes", 1, 0)))</f>
        <v>0</v>
      </c>
      <c r="AR2" s="363"/>
    </row>
    <row r="3" spans="1:44" ht="15" customHeight="1">
      <c r="A3" s="63">
        <v>36526</v>
      </c>
      <c r="B3" s="24" t="s">
        <v>15</v>
      </c>
      <c r="C3" s="33" t="str" cm="1">
        <f t="array" ref="C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 s="26" t="s">
        <v>459</v>
      </c>
      <c r="E3" s="53" t="s">
        <v>128</v>
      </c>
      <c r="F3" s="54" t="s">
        <v>208</v>
      </c>
      <c r="G3" s="54" t="s">
        <v>34</v>
      </c>
      <c r="H3" s="54"/>
      <c r="I3" s="54"/>
      <c r="J3" s="54"/>
      <c r="K3" s="54"/>
      <c r="L3" s="56"/>
      <c r="M3" s="70" t="s">
        <v>19</v>
      </c>
      <c r="N3" s="54"/>
      <c r="O3" s="26"/>
      <c r="P3" s="53" t="s">
        <v>19</v>
      </c>
      <c r="Q3" s="357" t="s">
        <v>34</v>
      </c>
      <c r="R3" s="54" t="s">
        <v>460</v>
      </c>
      <c r="S3" s="54"/>
      <c r="T3" s="55"/>
      <c r="U3" s="54"/>
      <c r="V3" s="54"/>
      <c r="W3" s="54"/>
      <c r="X3" s="26"/>
      <c r="Y3" s="53" t="s">
        <v>457</v>
      </c>
      <c r="Z3" s="54"/>
      <c r="AA3" s="54"/>
      <c r="AB3" s="54" t="s">
        <v>461</v>
      </c>
      <c r="AC3" s="54"/>
      <c r="AD3" s="55"/>
      <c r="AE3" s="54"/>
      <c r="AF3" s="54"/>
      <c r="AG3" s="54"/>
      <c r="AH3" s="26"/>
      <c r="AI3" s="53" t="s">
        <v>457</v>
      </c>
      <c r="AJ3" s="142"/>
      <c r="AK3" s="145"/>
      <c r="AL3" s="101"/>
      <c r="AM3" s="38" t="str">
        <f>VLOOKUP(Table2[[#This Row],[country]],Countrycode!A:B,2,FALSE)</f>
        <v>COD</v>
      </c>
      <c r="AN3" s="38">
        <f>IF(ISBLANK(Table2[[#This Row],[Need_RRA]]), 2,(IF(Table2[[#This Row],[Need_RRA]]="No", 0, (IF(AND(Table2[[#This Row],[Need_RRA]]="Yes",  Table2[[#This Row],[RRA_pub_date]]=""),1, 0)))))</f>
        <v>0</v>
      </c>
      <c r="AO3" s="38">
        <f>IF(ISBLANK(Table2[[#This Row],[Need_EIS]]), 2,(IF(Table2[[#This Row],[Need_EIS]]="No", 0, (IF(AND(Table2[[#This Row],[Need_EIS]]="Yes",  Table2[[#This Row],[EIS_pub_date]]=""),1, 0)))))</f>
        <v>0</v>
      </c>
      <c r="AP3" s="38">
        <f>IF(ISBLANK(Table2[[#This Row],[Need_DON]]), 2,(IF(Table2[[#This Row],[Need_DON]]="No", 0, (IF(AND(Table2[[#This Row],[Need_DON]]="Yes",  Table2[[#This Row],[DON_pub_date]]=""),1, 0)))))</f>
        <v>0</v>
      </c>
      <c r="AQ3" s="38">
        <f>IF(ISBLANK(Table2[[#This Row],[Pending_question]]), 2,(IF(Table2[[#This Row],[Pending_question]]="Yes", 1, 0)))</f>
        <v>0</v>
      </c>
      <c r="AR3" s="39"/>
    </row>
    <row r="4" spans="1:44" ht="15" customHeight="1">
      <c r="A4" s="63">
        <v>36526</v>
      </c>
      <c r="B4" s="24" t="s">
        <v>15</v>
      </c>
      <c r="C4" s="33" t="str" cm="1">
        <f t="array" ref="C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 s="26" t="s">
        <v>459</v>
      </c>
      <c r="E4" s="53" t="s">
        <v>172</v>
      </c>
      <c r="F4" s="54" t="s">
        <v>232</v>
      </c>
      <c r="G4" s="54" t="s">
        <v>34</v>
      </c>
      <c r="H4" s="54"/>
      <c r="I4" s="54"/>
      <c r="J4" s="54"/>
      <c r="K4" s="54"/>
      <c r="L4" s="56"/>
      <c r="M4" s="70" t="s">
        <v>19</v>
      </c>
      <c r="N4" s="54"/>
      <c r="O4" s="26"/>
      <c r="P4" s="52" t="s">
        <v>19</v>
      </c>
      <c r="Q4" s="79" t="s">
        <v>34</v>
      </c>
      <c r="R4" s="54" t="s">
        <v>462</v>
      </c>
      <c r="S4" s="54"/>
      <c r="T4" s="55"/>
      <c r="U4" s="54"/>
      <c r="V4" s="54"/>
      <c r="W4" s="54"/>
      <c r="X4" s="26"/>
      <c r="Y4" s="53" t="s">
        <v>457</v>
      </c>
      <c r="Z4" s="54"/>
      <c r="AA4" s="54"/>
      <c r="AB4" s="54" t="s">
        <v>463</v>
      </c>
      <c r="AC4" s="54"/>
      <c r="AD4" s="55"/>
      <c r="AE4" s="54"/>
      <c r="AF4" s="54"/>
      <c r="AG4" s="54"/>
      <c r="AH4" s="26"/>
      <c r="AI4" s="53" t="s">
        <v>457</v>
      </c>
      <c r="AJ4" s="142"/>
      <c r="AK4" s="145"/>
      <c r="AL4" s="101"/>
      <c r="AM4" s="38" t="str">
        <f>VLOOKUP(Table2[[#This Row],[country]],Countrycode!A:B,2,FALSE)</f>
        <v>ETH</v>
      </c>
      <c r="AN4" s="38">
        <f>IF(ISBLANK(Table2[[#This Row],[Need_RRA]]), 2,(IF(Table2[[#This Row],[Need_RRA]]="No", 0, (IF(AND(Table2[[#This Row],[Need_RRA]]="Yes",  Table2[[#This Row],[RRA_pub_date]]=""),1, 0)))))</f>
        <v>0</v>
      </c>
      <c r="AO4" s="38">
        <f>IF(ISBLANK(Table2[[#This Row],[Need_EIS]]), 2,(IF(Table2[[#This Row],[Need_EIS]]="No", 0, (IF(AND(Table2[[#This Row],[Need_EIS]]="Yes",  Table2[[#This Row],[EIS_pub_date]]=""),1, 0)))))</f>
        <v>0</v>
      </c>
      <c r="AP4" s="38">
        <f>IF(ISBLANK(Table2[[#This Row],[Need_DON]]), 2,(IF(Table2[[#This Row],[Need_DON]]="No", 0, (IF(AND(Table2[[#This Row],[Need_DON]]="Yes",  Table2[[#This Row],[DON_pub_date]]=""),1, 0)))))</f>
        <v>0</v>
      </c>
      <c r="AQ4" s="38">
        <f>IF(ISBLANK(Table2[[#This Row],[Pending_question]]), 2,(IF(Table2[[#This Row],[Pending_question]]="Yes", 1, 0)))</f>
        <v>0</v>
      </c>
      <c r="AR4" s="39"/>
    </row>
    <row r="5" spans="1:44" ht="15" customHeight="1">
      <c r="A5" s="63">
        <v>36526</v>
      </c>
      <c r="B5" s="24" t="s">
        <v>15</v>
      </c>
      <c r="C5" s="33" t="str" cm="1">
        <f t="array" ref="C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 s="26" t="s">
        <v>464</v>
      </c>
      <c r="E5" s="53" t="s">
        <v>172</v>
      </c>
      <c r="F5" s="54" t="s">
        <v>327</v>
      </c>
      <c r="G5" s="54" t="s">
        <v>34</v>
      </c>
      <c r="H5" s="55"/>
      <c r="I5" s="55"/>
      <c r="J5" s="55"/>
      <c r="K5" s="55"/>
      <c r="L5" s="57"/>
      <c r="M5" s="70" t="s">
        <v>19</v>
      </c>
      <c r="N5" s="55"/>
      <c r="O5" s="71"/>
      <c r="P5" s="87" t="s">
        <v>19</v>
      </c>
      <c r="Q5" s="357" t="s">
        <v>34</v>
      </c>
      <c r="R5" s="54" t="s">
        <v>465</v>
      </c>
      <c r="S5" s="54"/>
      <c r="T5" s="55"/>
      <c r="U5" s="54"/>
      <c r="V5" s="54"/>
      <c r="W5" s="54"/>
      <c r="X5" s="26"/>
      <c r="Y5" s="53" t="s">
        <v>457</v>
      </c>
      <c r="Z5" s="54"/>
      <c r="AA5" s="54"/>
      <c r="AB5" s="54"/>
      <c r="AC5" s="54"/>
      <c r="AD5" s="55"/>
      <c r="AE5" s="54"/>
      <c r="AF5" s="54"/>
      <c r="AG5" s="54"/>
      <c r="AH5" s="26"/>
      <c r="AI5" s="53" t="s">
        <v>457</v>
      </c>
      <c r="AJ5" s="142"/>
      <c r="AK5" s="145"/>
      <c r="AL5" s="101" t="s">
        <v>466</v>
      </c>
      <c r="AM5" s="38" t="str">
        <f>VLOOKUP(Table2[[#This Row],[country]],Countrycode!A:B,2,FALSE)</f>
        <v>NER</v>
      </c>
      <c r="AN5" s="38">
        <f>IF(ISBLANK(Table2[[#This Row],[Need_RRA]]), 2,(IF(Table2[[#This Row],[Need_RRA]]="No", 0, (IF(AND(Table2[[#This Row],[Need_RRA]]="Yes",  Table2[[#This Row],[RRA_pub_date]]=""),1, 0)))))</f>
        <v>0</v>
      </c>
      <c r="AO5" s="38">
        <f>IF(ISBLANK(Table2[[#This Row],[Need_EIS]]), 2,(IF(Table2[[#This Row],[Need_EIS]]="No", 0, (IF(AND(Table2[[#This Row],[Need_EIS]]="Yes",  Table2[[#This Row],[EIS_pub_date]]=""),1, 0)))))</f>
        <v>0</v>
      </c>
      <c r="AP5" s="38">
        <f>IF(ISBLANK(Table2[[#This Row],[Need_DON]]), 2,(IF(Table2[[#This Row],[Need_DON]]="No", 0, (IF(AND(Table2[[#This Row],[Need_DON]]="Yes",  Table2[[#This Row],[DON_pub_date]]=""),1, 0)))))</f>
        <v>0</v>
      </c>
      <c r="AQ5" s="38">
        <f>IF(ISBLANK(Table2[[#This Row],[Pending_question]]), 2,(IF(Table2[[#This Row],[Pending_question]]="Yes", 1, 0)))</f>
        <v>0</v>
      </c>
      <c r="AR5" s="40"/>
    </row>
    <row r="6" spans="1:44" ht="15" customHeight="1">
      <c r="A6" s="63">
        <v>36526</v>
      </c>
      <c r="B6" s="24" t="s">
        <v>15</v>
      </c>
      <c r="C6" s="33" t="str" cm="1">
        <f t="array" ref="C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 s="26" t="s">
        <v>464</v>
      </c>
      <c r="E6" s="53" t="s">
        <v>241</v>
      </c>
      <c r="F6" s="54" t="s">
        <v>362</v>
      </c>
      <c r="G6" s="54" t="s">
        <v>34</v>
      </c>
      <c r="H6" s="54"/>
      <c r="I6" s="55" t="s">
        <v>34</v>
      </c>
      <c r="J6" s="54"/>
      <c r="K6" s="55"/>
      <c r="L6" s="57"/>
      <c r="M6" s="70" t="s">
        <v>19</v>
      </c>
      <c r="N6" s="55"/>
      <c r="O6" s="71"/>
      <c r="P6" s="87" t="s">
        <v>19</v>
      </c>
      <c r="Q6" s="80" t="s">
        <v>34</v>
      </c>
      <c r="R6" s="54"/>
      <c r="S6" s="54" t="s">
        <v>34</v>
      </c>
      <c r="T6" s="55"/>
      <c r="U6" s="54" t="s">
        <v>34</v>
      </c>
      <c r="V6" s="54" t="s">
        <v>34</v>
      </c>
      <c r="W6" s="54" t="s">
        <v>34</v>
      </c>
      <c r="X6" s="26" t="s">
        <v>34</v>
      </c>
      <c r="Y6" s="53" t="s">
        <v>19</v>
      </c>
      <c r="Z6" s="29" t="s">
        <v>34</v>
      </c>
      <c r="AA6" s="54"/>
      <c r="AB6" s="54"/>
      <c r="AC6" s="55" t="s">
        <v>34</v>
      </c>
      <c r="AD6" s="55" t="s">
        <v>34</v>
      </c>
      <c r="AE6" s="55" t="s">
        <v>34</v>
      </c>
      <c r="AF6" s="55" t="s">
        <v>34</v>
      </c>
      <c r="AG6" s="55" t="s">
        <v>34</v>
      </c>
      <c r="AH6" s="26" t="s">
        <v>34</v>
      </c>
      <c r="AI6" s="53" t="s">
        <v>19</v>
      </c>
      <c r="AJ6" s="142"/>
      <c r="AK6" s="145"/>
      <c r="AL6" s="101"/>
      <c r="AM6" s="38" t="str">
        <f>VLOOKUP(Table2[[#This Row],[country]],Countrycode!A:B,2,FALSE)</f>
        <v>STP</v>
      </c>
      <c r="AN6" s="38">
        <f>IF(ISBLANK(Table2[[#This Row],[Need_RRA]]), 2,(IF(Table2[[#This Row],[Need_RRA]]="No", 0, (IF(AND(Table2[[#This Row],[Need_RRA]]="Yes",  Table2[[#This Row],[RRA_pub_date]]=""),1, 0)))))</f>
        <v>0</v>
      </c>
      <c r="AO6" s="38">
        <f>IF(ISBLANK(Table2[[#This Row],[Need_EIS]]), 2,(IF(Table2[[#This Row],[Need_EIS]]="No", 0, (IF(AND(Table2[[#This Row],[Need_EIS]]="Yes",  Table2[[#This Row],[EIS_pub_date]]=""),1, 0)))))</f>
        <v>0</v>
      </c>
      <c r="AP6" s="38">
        <f>IF(ISBLANK(Table2[[#This Row],[Need_DON]]), 2,(IF(Table2[[#This Row],[Need_DON]]="No", 0, (IF(AND(Table2[[#This Row],[Need_DON]]="Yes",  Table2[[#This Row],[DON_pub_date]]=""),1, 0)))))</f>
        <v>0</v>
      </c>
      <c r="AQ6" s="38">
        <f>IF(ISBLANK(Table2[[#This Row],[Pending_question]]), 2,(IF(Table2[[#This Row],[Pending_question]]="Yes", 1, 0)))</f>
        <v>0</v>
      </c>
      <c r="AR6" s="40"/>
    </row>
    <row r="7" spans="1:44" ht="15" customHeight="1">
      <c r="A7" s="63">
        <v>44322</v>
      </c>
      <c r="B7" s="24" t="s">
        <v>15</v>
      </c>
      <c r="C7" s="33" t="str" cm="1">
        <f t="array" ref="C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7" s="26" t="s">
        <v>459</v>
      </c>
      <c r="E7" s="53" t="s">
        <v>128</v>
      </c>
      <c r="F7" s="54" t="s">
        <v>413</v>
      </c>
      <c r="G7" s="54" t="s">
        <v>34</v>
      </c>
      <c r="H7" s="54"/>
      <c r="I7" s="54"/>
      <c r="J7" s="54"/>
      <c r="K7" s="54" t="s">
        <v>467</v>
      </c>
      <c r="L7" s="56"/>
      <c r="M7" s="70" t="s">
        <v>19</v>
      </c>
      <c r="N7" s="54"/>
      <c r="O7" s="26"/>
      <c r="P7" s="52" t="s">
        <v>30</v>
      </c>
      <c r="Q7" s="79"/>
      <c r="R7" s="54" t="s">
        <v>468</v>
      </c>
      <c r="S7" s="55">
        <v>44322</v>
      </c>
      <c r="T7" s="55"/>
      <c r="U7" s="55">
        <v>44364</v>
      </c>
      <c r="V7" s="54"/>
      <c r="W7" s="54"/>
      <c r="X7" s="26"/>
      <c r="Y7" s="53" t="s">
        <v>457</v>
      </c>
      <c r="Z7" s="54"/>
      <c r="AA7" s="54"/>
      <c r="AB7" s="383" t="s">
        <v>469</v>
      </c>
      <c r="AC7" s="383"/>
      <c r="AD7" s="386"/>
      <c r="AE7" s="383"/>
      <c r="AF7" s="383"/>
      <c r="AG7" s="383"/>
      <c r="AH7" s="390"/>
      <c r="AI7" s="391" t="s">
        <v>457</v>
      </c>
      <c r="AJ7" s="397"/>
      <c r="AK7" s="145"/>
      <c r="AL7" s="101"/>
      <c r="AM7" s="38" t="str">
        <f>VLOOKUP(Table2[[#This Row],[country]],Countrycode!A:B,2,FALSE)</f>
        <v>YEM</v>
      </c>
      <c r="AN7" s="38">
        <f>IF(ISBLANK(Table2[[#This Row],[Need_RRA]]), 2,(IF(Table2[[#This Row],[Need_RRA]]="No", 0, (IF(AND(Table2[[#This Row],[Need_RRA]]="Yes",  Table2[[#This Row],[RRA_pub_date]]=""),1, 0)))))</f>
        <v>0</v>
      </c>
      <c r="AO7" s="38">
        <f>IF(ISBLANK(Table2[[#This Row],[Need_EIS]]), 2,(IF(Table2[[#This Row],[Need_EIS]]="No", 0, (IF(AND(Table2[[#This Row],[Need_EIS]]="Yes",  Table2[[#This Row],[EIS_pub_date]]=""),1, 0)))))</f>
        <v>0</v>
      </c>
      <c r="AP7" s="38">
        <f>IF(ISBLANK(Table2[[#This Row],[Need_DON]]), 2,(IF(Table2[[#This Row],[Need_DON]]="No", 0, (IF(AND(Table2[[#This Row],[Need_DON]]="Yes",  Table2[[#This Row],[DON_pub_date]]=""),1, 0)))))</f>
        <v>0</v>
      </c>
      <c r="AQ7" s="38">
        <f>IF(ISBLANK(Table2[[#This Row],[Pending_question]]), 2,(IF(Table2[[#This Row],[Pending_question]]="Yes", 1, 0)))</f>
        <v>0</v>
      </c>
      <c r="AR7" s="39"/>
    </row>
    <row r="8" spans="1:44" ht="15" customHeight="1">
      <c r="A8" s="63">
        <v>44328</v>
      </c>
      <c r="B8" s="24" t="s">
        <v>15</v>
      </c>
      <c r="C8" s="33" t="str" cm="1">
        <f t="array" ref="C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8" s="26" t="s">
        <v>459</v>
      </c>
      <c r="E8" s="53" t="s">
        <v>128</v>
      </c>
      <c r="F8" s="54" t="s">
        <v>328</v>
      </c>
      <c r="G8" s="54" t="s">
        <v>34</v>
      </c>
      <c r="H8" s="55">
        <v>44328</v>
      </c>
      <c r="I8" s="55">
        <v>44342</v>
      </c>
      <c r="J8" s="55">
        <v>44336</v>
      </c>
      <c r="K8" s="352" t="s">
        <v>470</v>
      </c>
      <c r="L8" s="56"/>
      <c r="M8" s="70" t="s">
        <v>19</v>
      </c>
      <c r="N8" s="54"/>
      <c r="O8" s="26"/>
      <c r="P8" s="52" t="s">
        <v>30</v>
      </c>
      <c r="Q8" s="79">
        <v>1</v>
      </c>
      <c r="R8" s="54" t="s">
        <v>468</v>
      </c>
      <c r="S8" s="55">
        <v>44344</v>
      </c>
      <c r="T8" s="55"/>
      <c r="U8" s="55">
        <v>44357</v>
      </c>
      <c r="V8" s="54" t="s">
        <v>20</v>
      </c>
      <c r="W8" s="54" t="s">
        <v>32</v>
      </c>
      <c r="X8" s="26" t="s">
        <v>51</v>
      </c>
      <c r="Y8" s="53" t="s">
        <v>471</v>
      </c>
      <c r="Z8" s="54" t="s">
        <v>42</v>
      </c>
      <c r="AA8" s="54"/>
      <c r="AB8" s="54" t="s">
        <v>472</v>
      </c>
      <c r="AC8" s="55">
        <v>44362</v>
      </c>
      <c r="AD8" s="55"/>
      <c r="AE8" s="55">
        <v>44363</v>
      </c>
      <c r="AF8" s="54"/>
      <c r="AG8" s="55">
        <v>44368</v>
      </c>
      <c r="AH8" s="71">
        <v>44368</v>
      </c>
      <c r="AI8" s="53" t="s">
        <v>457</v>
      </c>
      <c r="AJ8" s="142"/>
      <c r="AK8" s="145"/>
      <c r="AL8" s="101"/>
      <c r="AM8" s="38" t="str">
        <f>VLOOKUP(Table2[[#This Row],[country]],Countrycode!A:B,2,FALSE)</f>
        <v>NGA</v>
      </c>
      <c r="AN8" s="38">
        <f>IF(ISBLANK(Table2[[#This Row],[Need_RRA]]), 2,(IF(Table2[[#This Row],[Need_RRA]]="No", 0, (IF(AND(Table2[[#This Row],[Need_RRA]]="Yes",  Table2[[#This Row],[RRA_pub_date]]=""),1, 0)))))</f>
        <v>0</v>
      </c>
      <c r="AO8" s="38">
        <f>IF(ISBLANK(Table2[[#This Row],[Need_EIS]]), 2,(IF(Table2[[#This Row],[Need_EIS]]="No", 0, (IF(AND(Table2[[#This Row],[Need_EIS]]="Yes",  Table2[[#This Row],[EIS_pub_date]]=""),1, 0)))))</f>
        <v>0</v>
      </c>
      <c r="AP8" s="38">
        <f>IF(ISBLANK(Table2[[#This Row],[Need_DON]]), 2,(IF(Table2[[#This Row],[Need_DON]]="No", 0, (IF(AND(Table2[[#This Row],[Need_DON]]="Yes",  Table2[[#This Row],[DON_pub_date]]=""),1, 0)))))</f>
        <v>0</v>
      </c>
      <c r="AQ8" s="38">
        <f>IF(ISBLANK(Table2[[#This Row],[Pending_question]]), 2,(IF(Table2[[#This Row],[Pending_question]]="Yes", 1, 0)))</f>
        <v>0</v>
      </c>
      <c r="AR8" s="39"/>
    </row>
    <row r="9" spans="1:44" ht="15" customHeight="1">
      <c r="A9" s="63">
        <v>44344</v>
      </c>
      <c r="B9" s="24" t="s">
        <v>15</v>
      </c>
      <c r="C9" s="33" t="str" cm="1">
        <f t="array" ref="C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9" s="26" t="s">
        <v>473</v>
      </c>
      <c r="E9" s="53" t="s">
        <v>192</v>
      </c>
      <c r="F9" s="54" t="s">
        <v>208</v>
      </c>
      <c r="G9" s="54" t="s">
        <v>34</v>
      </c>
      <c r="H9" s="54"/>
      <c r="I9" s="54"/>
      <c r="J9" s="54"/>
      <c r="K9" s="54" t="s">
        <v>474</v>
      </c>
      <c r="L9" s="56"/>
      <c r="M9" s="70" t="s">
        <v>19</v>
      </c>
      <c r="N9" s="54"/>
      <c r="O9" s="26"/>
      <c r="P9" s="53" t="s">
        <v>30</v>
      </c>
      <c r="Q9" s="80"/>
      <c r="R9" s="54" t="s">
        <v>475</v>
      </c>
      <c r="S9" s="63">
        <v>44344</v>
      </c>
      <c r="U9" s="63">
        <v>44365</v>
      </c>
      <c r="V9" s="63"/>
      <c r="W9" s="63"/>
      <c r="X9" s="81"/>
      <c r="Y9" s="16" t="s">
        <v>471</v>
      </c>
      <c r="AB9" s="16" t="s">
        <v>476</v>
      </c>
      <c r="AH9" s="81">
        <v>44374</v>
      </c>
      <c r="AI9" s="16" t="s">
        <v>457</v>
      </c>
      <c r="AK9" s="145"/>
      <c r="AL9" s="101"/>
      <c r="AM9" s="38" t="str">
        <f>VLOOKUP(Table2[[#This Row],[country]],Countrycode!A:B,2,FALSE)</f>
        <v>COD</v>
      </c>
      <c r="AN9" s="38">
        <f>IF(ISBLANK(Table2[[#This Row],[Need_RRA]]), 2,(IF(Table2[[#This Row],[Need_RRA]]="No", 0, (IF(AND(Table2[[#This Row],[Need_RRA]]="Yes",  Table2[[#This Row],[RRA_pub_date]]=""),1, 0)))))</f>
        <v>0</v>
      </c>
      <c r="AO9" s="38">
        <f>IF(ISBLANK(Table2[[#This Row],[Need_EIS]]), 2,(IF(Table2[[#This Row],[Need_EIS]]="No", 0, (IF(AND(Table2[[#This Row],[Need_EIS]]="Yes",  Table2[[#This Row],[EIS_pub_date]]=""),1, 0)))))</f>
        <v>0</v>
      </c>
      <c r="AP9" s="38">
        <f>IF(ISBLANK(Table2[[#This Row],[Need_DON]]), 2,(IF(Table2[[#This Row],[Need_DON]]="No", 0, (IF(AND(Table2[[#This Row],[Need_DON]]="Yes",  Table2[[#This Row],[DON_pub_date]]=""),1, 0)))))</f>
        <v>0</v>
      </c>
      <c r="AQ9" s="38">
        <f>IF(ISBLANK(Table2[[#This Row],[Pending_question]]), 2,(IF(Table2[[#This Row],[Pending_question]]="Yes", 1, 0)))</f>
        <v>0</v>
      </c>
      <c r="AR9" s="39"/>
    </row>
    <row r="10" spans="1:44" ht="15" customHeight="1">
      <c r="A10" s="63">
        <v>44357</v>
      </c>
      <c r="B10" s="24" t="s">
        <v>15</v>
      </c>
      <c r="C10" s="33" t="str" cm="1">
        <f t="array" ref="C1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0" s="26" t="s">
        <v>456</v>
      </c>
      <c r="E10" s="67" t="s">
        <v>254</v>
      </c>
      <c r="F10" s="54" t="s">
        <v>274</v>
      </c>
      <c r="G10" s="54" t="s">
        <v>34</v>
      </c>
      <c r="H10" s="54" t="s">
        <v>477</v>
      </c>
      <c r="I10" s="54"/>
      <c r="J10" s="54">
        <v>44357</v>
      </c>
      <c r="K10" s="54" t="s">
        <v>478</v>
      </c>
      <c r="L10" s="56"/>
      <c r="M10" s="70" t="s">
        <v>19</v>
      </c>
      <c r="N10" s="54"/>
      <c r="O10" s="26"/>
      <c r="P10" s="87" t="s">
        <v>30</v>
      </c>
      <c r="Q10" s="80"/>
      <c r="R10" s="54" t="s">
        <v>479</v>
      </c>
      <c r="S10" s="358">
        <v>44407</v>
      </c>
      <c r="T10" s="358"/>
      <c r="U10" s="358">
        <v>44425</v>
      </c>
      <c r="V10" s="55"/>
      <c r="W10" s="55"/>
      <c r="X10" s="71"/>
      <c r="Y10" s="53" t="s">
        <v>471</v>
      </c>
      <c r="Z10" s="54"/>
      <c r="AA10" s="54"/>
      <c r="AB10" s="54" t="s">
        <v>480</v>
      </c>
      <c r="AC10" s="54"/>
      <c r="AD10" s="55"/>
      <c r="AE10" s="54"/>
      <c r="AF10" s="54"/>
      <c r="AG10" s="54"/>
      <c r="AH10" s="71">
        <v>44474</v>
      </c>
      <c r="AI10" s="53" t="s">
        <v>471</v>
      </c>
      <c r="AJ10" s="142"/>
      <c r="AK10" s="146">
        <v>44483</v>
      </c>
      <c r="AL10" s="101" t="s">
        <v>481</v>
      </c>
      <c r="AM10" s="38" t="str">
        <f>VLOOKUP(Table2[[#This Row],[country]],Countrycode!A:B,2,FALSE)</f>
        <v>IND</v>
      </c>
      <c r="AN10" s="38">
        <f>IF(ISBLANK(Table2[[#This Row],[Need_RRA]]), 2,(IF(Table2[[#This Row],[Need_RRA]]="No", 0, (IF(AND(Table2[[#This Row],[Need_RRA]]="Yes",  Table2[[#This Row],[RRA_pub_date]]=""),1, 0)))))</f>
        <v>0</v>
      </c>
      <c r="AO10" s="38">
        <f>IF(ISBLANK(Table2[[#This Row],[Need_EIS]]), 2,(IF(Table2[[#This Row],[Need_EIS]]="No", 0, (IF(AND(Table2[[#This Row],[Need_EIS]]="Yes",  Table2[[#This Row],[EIS_pub_date]]=""),1, 0)))))</f>
        <v>0</v>
      </c>
      <c r="AP10" s="38">
        <f>IF(ISBLANK(Table2[[#This Row],[Need_DON]]), 2,(IF(Table2[[#This Row],[Need_DON]]="No", 0, (IF(AND(Table2[[#This Row],[Need_DON]]="Yes",  Table2[[#This Row],[DON_pub_date]]=""),1, 0)))))</f>
        <v>0</v>
      </c>
      <c r="AQ10" s="38">
        <f>IF(ISBLANK(Table2[[#This Row],[Pending_question]]), 2,(IF(Table2[[#This Row],[Pending_question]]="Yes", 1, 0)))</f>
        <v>0</v>
      </c>
      <c r="AR10" s="39" t="s">
        <v>477</v>
      </c>
    </row>
    <row r="11" spans="1:44" ht="15" customHeight="1">
      <c r="A11" s="63">
        <v>44358</v>
      </c>
      <c r="B11" s="24" t="s">
        <v>15</v>
      </c>
      <c r="C11" s="33" t="str" cm="1">
        <f t="array" ref="C1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1" s="26" t="s">
        <v>482</v>
      </c>
      <c r="E11" s="53" t="s">
        <v>86</v>
      </c>
      <c r="F11" s="54" t="s">
        <v>179</v>
      </c>
      <c r="G11" s="54" t="s">
        <v>34</v>
      </c>
      <c r="H11" s="55">
        <v>44358</v>
      </c>
      <c r="I11" s="55"/>
      <c r="J11" s="55">
        <v>44356</v>
      </c>
      <c r="K11" s="55"/>
      <c r="L11" s="57"/>
      <c r="M11" s="70" t="s">
        <v>19</v>
      </c>
      <c r="N11" s="55"/>
      <c r="O11" s="71"/>
      <c r="P11" s="53" t="s">
        <v>19</v>
      </c>
      <c r="Q11" s="80" t="s">
        <v>34</v>
      </c>
      <c r="R11" s="54" t="s">
        <v>483</v>
      </c>
      <c r="S11" s="54"/>
      <c r="T11" s="55"/>
      <c r="U11" s="54"/>
      <c r="V11" s="54"/>
      <c r="W11" s="54"/>
      <c r="X11" s="26"/>
      <c r="Y11" s="53" t="s">
        <v>471</v>
      </c>
      <c r="Z11" s="54"/>
      <c r="AA11" s="54"/>
      <c r="AB11" s="54" t="s">
        <v>484</v>
      </c>
      <c r="AC11" s="54"/>
      <c r="AD11" s="55"/>
      <c r="AE11" s="54"/>
      <c r="AF11" s="54"/>
      <c r="AG11" s="54"/>
      <c r="AH11" s="71">
        <v>44379</v>
      </c>
      <c r="AI11" s="53" t="s">
        <v>457</v>
      </c>
      <c r="AJ11" s="142"/>
      <c r="AK11" s="145"/>
      <c r="AL11" s="101" t="s">
        <v>485</v>
      </c>
      <c r="AM11" s="38" t="str">
        <f>VLOOKUP(Table2[[#This Row],[country]],Countrycode!A:B,2,FALSE)</f>
        <v>TWN</v>
      </c>
      <c r="AN11" s="38">
        <f>IF(ISBLANK(Table2[[#This Row],[Need_RRA]]), 2,(IF(Table2[[#This Row],[Need_RRA]]="No", 0, (IF(AND(Table2[[#This Row],[Need_RRA]]="Yes",  Table2[[#This Row],[RRA_pub_date]]=""),1, 0)))))</f>
        <v>0</v>
      </c>
      <c r="AO11" s="38">
        <f>IF(ISBLANK(Table2[[#This Row],[Need_EIS]]), 2,(IF(Table2[[#This Row],[Need_EIS]]="No", 0, (IF(AND(Table2[[#This Row],[Need_EIS]]="Yes",  Table2[[#This Row],[EIS_pub_date]]=""),1, 0)))))</f>
        <v>0</v>
      </c>
      <c r="AP11" s="38">
        <f>IF(ISBLANK(Table2[[#This Row],[Need_DON]]), 2,(IF(Table2[[#This Row],[Need_DON]]="No", 0, (IF(AND(Table2[[#This Row],[Need_DON]]="Yes",  Table2[[#This Row],[DON_pub_date]]=""),1, 0)))))</f>
        <v>0</v>
      </c>
      <c r="AQ11" s="38">
        <f>IF(ISBLANK(Table2[[#This Row],[Pending_question]]), 2,(IF(Table2[[#This Row],[Pending_question]]="Yes", 1, 0)))</f>
        <v>0</v>
      </c>
      <c r="AR11" s="40">
        <v>44358</v>
      </c>
    </row>
    <row r="12" spans="1:44" ht="15" customHeight="1">
      <c r="A12" s="63">
        <v>44361</v>
      </c>
      <c r="B12" s="24" t="s">
        <v>15</v>
      </c>
      <c r="C12" s="33" t="str" cm="1">
        <f t="array" ref="C1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2" s="26" t="s">
        <v>486</v>
      </c>
      <c r="E12" s="53" t="s">
        <v>252</v>
      </c>
      <c r="F12" s="54" t="s">
        <v>161</v>
      </c>
      <c r="G12" s="54" t="s">
        <v>34</v>
      </c>
      <c r="H12" s="54"/>
      <c r="I12" s="54"/>
      <c r="J12" s="54"/>
      <c r="K12" s="54" t="s">
        <v>487</v>
      </c>
      <c r="L12" s="56"/>
      <c r="M12" s="70" t="s">
        <v>19</v>
      </c>
      <c r="N12" s="54"/>
      <c r="O12" s="26"/>
      <c r="P12" s="53" t="s">
        <v>30</v>
      </c>
      <c r="Q12" s="186"/>
      <c r="R12" s="54" t="s">
        <v>488</v>
      </c>
      <c r="S12" s="55">
        <v>44361</v>
      </c>
      <c r="T12" s="55"/>
      <c r="U12" s="55">
        <v>44400</v>
      </c>
      <c r="V12" s="55"/>
      <c r="W12" s="55"/>
      <c r="X12" s="71"/>
      <c r="Y12" s="53" t="s">
        <v>471</v>
      </c>
      <c r="Z12" s="54"/>
      <c r="AA12" s="54"/>
      <c r="AB12" s="54" t="s">
        <v>489</v>
      </c>
      <c r="AC12" s="54"/>
      <c r="AD12" s="55"/>
      <c r="AE12" s="54"/>
      <c r="AF12" s="54"/>
      <c r="AG12" s="54"/>
      <c r="AH12" s="71">
        <v>44435</v>
      </c>
      <c r="AI12" s="53" t="s">
        <v>457</v>
      </c>
      <c r="AJ12" s="142"/>
      <c r="AK12" s="145"/>
      <c r="AL12" s="101" t="s">
        <v>490</v>
      </c>
      <c r="AM12" s="38" t="str">
        <f>VLOOKUP(Table2[[#This Row],[country]],Countrycode!A:B,2,FALSE)</f>
        <v>CMR</v>
      </c>
      <c r="AN12" s="38">
        <f>IF(ISBLANK(Table2[[#This Row],[Need_RRA]]), 2,(IF(Table2[[#This Row],[Need_RRA]]="No", 0, (IF(AND(Table2[[#This Row],[Need_RRA]]="Yes",  Table2[[#This Row],[RRA_pub_date]]=""),1, 0)))))</f>
        <v>0</v>
      </c>
      <c r="AO12" s="38">
        <f>IF(ISBLANK(Table2[[#This Row],[Need_EIS]]), 2,(IF(Table2[[#This Row],[Need_EIS]]="No", 0, (IF(AND(Table2[[#This Row],[Need_EIS]]="Yes",  Table2[[#This Row],[EIS_pub_date]]=""),1, 0)))))</f>
        <v>0</v>
      </c>
      <c r="AP12" s="38">
        <f>IF(ISBLANK(Table2[[#This Row],[Need_DON]]), 2,(IF(Table2[[#This Row],[Need_DON]]="No", 0, (IF(AND(Table2[[#This Row],[Need_DON]]="Yes",  Table2[[#This Row],[DON_pub_date]]=""),1, 0)))))</f>
        <v>0</v>
      </c>
      <c r="AQ12" s="38">
        <f>IF(ISBLANK(Table2[[#This Row],[Pending_question]]), 2,(IF(Table2[[#This Row],[Pending_question]]="Yes", 1, 0)))</f>
        <v>0</v>
      </c>
      <c r="AR12" s="39"/>
    </row>
    <row r="13" spans="1:44" ht="15" customHeight="1">
      <c r="A13" s="63">
        <v>44366</v>
      </c>
      <c r="B13" s="24" t="s">
        <v>15</v>
      </c>
      <c r="C13" s="33" t="str" cm="1">
        <f t="array" ref="C1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3" s="26" t="s">
        <v>459</v>
      </c>
      <c r="E13" s="16" t="s">
        <v>140</v>
      </c>
      <c r="F13" s="54" t="s">
        <v>265</v>
      </c>
      <c r="G13" s="54" t="s">
        <v>34</v>
      </c>
      <c r="H13" s="54"/>
      <c r="I13" s="54"/>
      <c r="J13" s="54"/>
      <c r="K13" s="54"/>
      <c r="L13" s="56"/>
      <c r="M13" s="70" t="s">
        <v>19</v>
      </c>
      <c r="N13" s="54"/>
      <c r="O13" s="26"/>
      <c r="P13" s="53" t="s">
        <v>19</v>
      </c>
      <c r="Q13" s="186" t="s">
        <v>34</v>
      </c>
      <c r="R13" s="54"/>
      <c r="S13" s="54"/>
      <c r="T13" s="55"/>
      <c r="U13" s="54"/>
      <c r="V13" s="54"/>
      <c r="W13" s="54"/>
      <c r="X13" s="26"/>
      <c r="Y13" s="53" t="s">
        <v>471</v>
      </c>
      <c r="Z13" s="54"/>
      <c r="AA13" s="54"/>
      <c r="AB13" s="54" t="s">
        <v>491</v>
      </c>
      <c r="AC13" s="54"/>
      <c r="AD13" s="55"/>
      <c r="AE13" s="55"/>
      <c r="AF13" s="54"/>
      <c r="AG13" s="54"/>
      <c r="AH13" s="71">
        <v>44366</v>
      </c>
      <c r="AI13" s="53" t="s">
        <v>471</v>
      </c>
      <c r="AJ13" s="142"/>
      <c r="AK13" s="146">
        <v>44366</v>
      </c>
      <c r="AL13" s="101"/>
      <c r="AM13" s="38" t="str">
        <f>VLOOKUP(Table2[[#This Row],[country]],Countrycode!A:B,2,FALSE)</f>
        <v>GIN</v>
      </c>
      <c r="AN13" s="38">
        <f>IF(ISBLANK(Table2[[#This Row],[Need_RRA]]), 2,(IF(Table2[[#This Row],[Need_RRA]]="No", 0, (IF(AND(Table2[[#This Row],[Need_RRA]]="Yes",  Table2[[#This Row],[RRA_pub_date]]=""),1, 0)))))</f>
        <v>0</v>
      </c>
      <c r="AO13" s="38">
        <f>IF(ISBLANK(Table2[[#This Row],[Need_EIS]]), 2,(IF(Table2[[#This Row],[Need_EIS]]="No", 0, (IF(AND(Table2[[#This Row],[Need_EIS]]="Yes",  Table2[[#This Row],[EIS_pub_date]]=""),1, 0)))))</f>
        <v>0</v>
      </c>
      <c r="AP13" s="38">
        <f>IF(ISBLANK(Table2[[#This Row],[Need_DON]]), 2,(IF(Table2[[#This Row],[Need_DON]]="No", 0, (IF(AND(Table2[[#This Row],[Need_DON]]="Yes",  Table2[[#This Row],[DON_pub_date]]=""),1, 0)))))</f>
        <v>0</v>
      </c>
      <c r="AQ13" s="38">
        <f>IF(ISBLANK(Table2[[#This Row],[Pending_question]]), 2,(IF(Table2[[#This Row],[Pending_question]]="Yes", 1, 0)))</f>
        <v>0</v>
      </c>
      <c r="AR13" s="39"/>
    </row>
    <row r="14" spans="1:44" ht="15" customHeight="1">
      <c r="A14" s="63">
        <v>44367</v>
      </c>
      <c r="B14" s="24" t="s">
        <v>15</v>
      </c>
      <c r="C14" s="33" t="str" cm="1">
        <f t="array" ref="C1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4" s="26" t="s">
        <v>492</v>
      </c>
      <c r="E14" s="53" t="s">
        <v>136</v>
      </c>
      <c r="F14" s="54" t="s">
        <v>287</v>
      </c>
      <c r="G14" s="54" t="s">
        <v>34</v>
      </c>
      <c r="H14" s="54"/>
      <c r="I14" s="54"/>
      <c r="J14" s="54"/>
      <c r="K14" s="54" t="s">
        <v>493</v>
      </c>
      <c r="L14" s="56"/>
      <c r="M14" s="70" t="s">
        <v>19</v>
      </c>
      <c r="N14" s="54"/>
      <c r="O14" s="26"/>
      <c r="P14" s="53" t="s">
        <v>30</v>
      </c>
      <c r="Q14" s="186"/>
      <c r="R14" s="54" t="s">
        <v>494</v>
      </c>
      <c r="S14" s="55">
        <v>44367</v>
      </c>
      <c r="T14" s="55"/>
      <c r="U14" s="55">
        <v>44385</v>
      </c>
      <c r="V14" s="55"/>
      <c r="W14" s="55"/>
      <c r="X14" s="71"/>
      <c r="Y14" s="53" t="s">
        <v>471</v>
      </c>
      <c r="Z14" s="54"/>
      <c r="AA14" s="54"/>
      <c r="AB14" s="54" t="s">
        <v>495</v>
      </c>
      <c r="AC14" s="54"/>
      <c r="AD14" s="55"/>
      <c r="AE14" s="54"/>
      <c r="AF14" s="54"/>
      <c r="AG14" s="54"/>
      <c r="AH14" s="71">
        <v>44403</v>
      </c>
      <c r="AI14" s="53" t="s">
        <v>457</v>
      </c>
      <c r="AJ14" s="142"/>
      <c r="AK14" s="145"/>
      <c r="AL14" s="101" t="s">
        <v>496</v>
      </c>
      <c r="AM14" s="38" t="str">
        <f>VLOOKUP(Table2[[#This Row],[country]],Countrycode!A:B,2,FALSE)</f>
        <v>KEN</v>
      </c>
      <c r="AN14" s="38">
        <f>IF(ISBLANK(Table2[[#This Row],[Need_RRA]]), 2,(IF(Table2[[#This Row],[Need_RRA]]="No", 0, (IF(AND(Table2[[#This Row],[Need_RRA]]="Yes",  Table2[[#This Row],[RRA_pub_date]]=""),1, 0)))))</f>
        <v>0</v>
      </c>
      <c r="AO14" s="38">
        <f>IF(ISBLANK(Table2[[#This Row],[Need_EIS]]), 2,(IF(Table2[[#This Row],[Need_EIS]]="No", 0, (IF(AND(Table2[[#This Row],[Need_EIS]]="Yes",  Table2[[#This Row],[EIS_pub_date]]=""),1, 0)))))</f>
        <v>0</v>
      </c>
      <c r="AP14" s="38">
        <f>IF(ISBLANK(Table2[[#This Row],[Need_DON]]), 2,(IF(Table2[[#This Row],[Need_DON]]="No", 0, (IF(AND(Table2[[#This Row],[Need_DON]]="Yes",  Table2[[#This Row],[DON_pub_date]]=""),1, 0)))))</f>
        <v>0</v>
      </c>
      <c r="AQ14" s="38">
        <f>IF(ISBLANK(Table2[[#This Row],[Pending_question]]), 2,(IF(Table2[[#This Row],[Pending_question]]="Yes", 1, 0)))</f>
        <v>0</v>
      </c>
      <c r="AR14" s="39"/>
    </row>
    <row r="15" spans="1:44" ht="15" customHeight="1">
      <c r="A15" s="63">
        <v>44367</v>
      </c>
      <c r="B15" s="24" t="s">
        <v>15</v>
      </c>
      <c r="C15" s="33" t="str" cm="1">
        <f t="array" ref="C1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5" s="27" t="s">
        <v>497</v>
      </c>
      <c r="E15" s="58" t="s">
        <v>235</v>
      </c>
      <c r="F15" s="29" t="s">
        <v>39</v>
      </c>
      <c r="G15" s="29" t="s">
        <v>73</v>
      </c>
      <c r="H15" s="59">
        <v>44367</v>
      </c>
      <c r="I15" s="59"/>
      <c r="J15" s="59">
        <v>44359</v>
      </c>
      <c r="K15" s="29" t="s">
        <v>498</v>
      </c>
      <c r="L15" s="34" t="s">
        <v>499</v>
      </c>
      <c r="M15" s="70" t="s">
        <v>19</v>
      </c>
      <c r="N15" s="54"/>
      <c r="O15" s="26"/>
      <c r="P15" s="58" t="s">
        <v>30</v>
      </c>
      <c r="Q15" s="186"/>
      <c r="R15" s="29" t="s">
        <v>500</v>
      </c>
      <c r="S15" s="59">
        <v>44361</v>
      </c>
      <c r="T15" s="59"/>
      <c r="U15" s="59">
        <v>44386</v>
      </c>
      <c r="V15" s="59"/>
      <c r="W15" s="59"/>
      <c r="X15" s="85"/>
      <c r="Y15" s="58" t="s">
        <v>471</v>
      </c>
      <c r="Z15" s="29" t="s">
        <v>33</v>
      </c>
      <c r="AA15" s="29"/>
      <c r="AB15" s="29" t="s">
        <v>501</v>
      </c>
      <c r="AC15" s="29"/>
      <c r="AD15" s="59"/>
      <c r="AE15" s="29"/>
      <c r="AF15" s="29"/>
      <c r="AG15" s="29"/>
      <c r="AH15" s="85">
        <v>44393</v>
      </c>
      <c r="AI15" s="58" t="s">
        <v>19</v>
      </c>
      <c r="AJ15" s="143"/>
      <c r="AK15" s="28"/>
      <c r="AL15" s="102" t="s">
        <v>502</v>
      </c>
      <c r="AM15" s="41" t="str">
        <f>VLOOKUP(Table2[[#This Row],[country]],Countrycode!A:B,2,FALSE)</f>
        <v>MLX</v>
      </c>
      <c r="AN15" s="41">
        <f>IF(ISBLANK(Table2[[#This Row],[Need_RRA]]), 2,(IF(Table2[[#This Row],[Need_RRA]]="No", 0, (IF(AND(Table2[[#This Row],[Need_RRA]]="Yes",  Table2[[#This Row],[RRA_pub_date]]=""),1, 0)))))</f>
        <v>0</v>
      </c>
      <c r="AO15" s="41">
        <f>IF(ISBLANK(Table2[[#This Row],[Need_EIS]]), 2,(IF(Table2[[#This Row],[Need_EIS]]="No", 0, (IF(AND(Table2[[#This Row],[Need_EIS]]="Yes",  Table2[[#This Row],[EIS_pub_date]]=""),1, 0)))))</f>
        <v>0</v>
      </c>
      <c r="AP15" s="41">
        <f>IF(ISBLANK(Table2[[#This Row],[Need_DON]]), 2,(IF(Table2[[#This Row],[Need_DON]]="No", 0, (IF(AND(Table2[[#This Row],[Need_DON]]="Yes",  Table2[[#This Row],[DON_pub_date]]=""),1, 0)))))</f>
        <v>0</v>
      </c>
      <c r="AQ15" s="41">
        <f>IF(ISBLANK(Table2[[#This Row],[Pending_question]]), 2,(IF(Table2[[#This Row],[Pending_question]]="Yes", 1, 0)))</f>
        <v>0</v>
      </c>
      <c r="AR15" s="42" t="s">
        <v>503</v>
      </c>
    </row>
    <row r="16" spans="1:44" ht="15" customHeight="1">
      <c r="A16" s="63">
        <v>44369</v>
      </c>
      <c r="B16" s="24" t="s">
        <v>15</v>
      </c>
      <c r="C16" s="33" t="str" cm="1">
        <f t="array" ref="C1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6" s="27" t="s">
        <v>482</v>
      </c>
      <c r="E16" s="291" t="s">
        <v>504</v>
      </c>
      <c r="F16" s="29" t="s">
        <v>163</v>
      </c>
      <c r="G16" s="29" t="s">
        <v>34</v>
      </c>
      <c r="H16" s="29"/>
      <c r="I16" s="29"/>
      <c r="J16" s="29"/>
      <c r="K16" s="29"/>
      <c r="L16" s="34"/>
      <c r="M16" s="70" t="s">
        <v>19</v>
      </c>
      <c r="N16" s="54"/>
      <c r="O16" s="26"/>
      <c r="P16" s="58" t="s">
        <v>19</v>
      </c>
      <c r="Q16" s="82" t="s">
        <v>34</v>
      </c>
      <c r="R16" s="29"/>
      <c r="S16" s="29"/>
      <c r="T16" s="59"/>
      <c r="U16" s="29"/>
      <c r="V16" s="29"/>
      <c r="W16" s="29"/>
      <c r="X16" s="27"/>
      <c r="Y16" s="58" t="s">
        <v>471</v>
      </c>
      <c r="Z16" s="29"/>
      <c r="AA16" s="29"/>
      <c r="AB16" s="29" t="s">
        <v>505</v>
      </c>
      <c r="AC16" s="29"/>
      <c r="AD16" s="59"/>
      <c r="AE16" s="29"/>
      <c r="AF16" s="29"/>
      <c r="AG16" s="29"/>
      <c r="AH16" s="85">
        <v>44369</v>
      </c>
      <c r="AI16" s="58" t="s">
        <v>457</v>
      </c>
      <c r="AJ16" s="143"/>
      <c r="AK16" s="28"/>
      <c r="AL16" s="102"/>
      <c r="AM16" s="41" t="str">
        <f>VLOOKUP(Table2[[#This Row],[country]],Countrycode!A:B,2,FALSE)</f>
        <v>CAN</v>
      </c>
      <c r="AN16" s="41">
        <f>IF(ISBLANK(Table2[[#This Row],[Need_RRA]]), 2,(IF(Table2[[#This Row],[Need_RRA]]="No", 0, (IF(AND(Table2[[#This Row],[Need_RRA]]="Yes",  Table2[[#This Row],[RRA_pub_date]]=""),1, 0)))))</f>
        <v>0</v>
      </c>
      <c r="AO16" s="41">
        <f>IF(ISBLANK(Table2[[#This Row],[Need_EIS]]), 2,(IF(Table2[[#This Row],[Need_EIS]]="No", 0, (IF(AND(Table2[[#This Row],[Need_EIS]]="Yes",  Table2[[#This Row],[EIS_pub_date]]=""),1, 0)))))</f>
        <v>0</v>
      </c>
      <c r="AP16" s="41">
        <f>IF(ISBLANK(Table2[[#This Row],[Need_DON]]), 2,(IF(Table2[[#This Row],[Need_DON]]="No", 0, (IF(AND(Table2[[#This Row],[Need_DON]]="Yes",  Table2[[#This Row],[DON_pub_date]]=""),1, 0)))))</f>
        <v>0</v>
      </c>
      <c r="AQ16" s="41">
        <f>IF(ISBLANK(Table2[[#This Row],[Pending_question]]), 2,(IF(Table2[[#This Row],[Pending_question]]="Yes", 1, 0)))</f>
        <v>0</v>
      </c>
      <c r="AR16" s="326"/>
    </row>
    <row r="17" spans="1:44" ht="15" customHeight="1">
      <c r="A17" s="63">
        <v>44385</v>
      </c>
      <c r="B17" s="24" t="s">
        <v>15</v>
      </c>
      <c r="C17" s="33" t="str" cm="1">
        <f t="array" ref="C1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7" s="27" t="s">
        <v>506</v>
      </c>
      <c r="E17" s="58" t="s">
        <v>104</v>
      </c>
      <c r="F17" s="29" t="s">
        <v>173</v>
      </c>
      <c r="G17" s="29" t="s">
        <v>34</v>
      </c>
      <c r="H17" s="59">
        <v>44385</v>
      </c>
      <c r="I17" s="59"/>
      <c r="J17" s="59">
        <v>44385</v>
      </c>
      <c r="K17" s="59"/>
      <c r="L17" s="60"/>
      <c r="M17" s="70" t="s">
        <v>19</v>
      </c>
      <c r="N17" s="55"/>
      <c r="O17" s="71"/>
      <c r="P17" s="58" t="s">
        <v>19</v>
      </c>
      <c r="Q17" s="82" t="s">
        <v>34</v>
      </c>
      <c r="R17" s="29" t="s">
        <v>507</v>
      </c>
      <c r="S17" s="29"/>
      <c r="T17" s="59"/>
      <c r="U17" s="29"/>
      <c r="V17" s="29"/>
      <c r="W17" s="29"/>
      <c r="X17" s="27"/>
      <c r="Y17" s="58" t="s">
        <v>471</v>
      </c>
      <c r="Z17" s="29"/>
      <c r="AA17" s="29"/>
      <c r="AB17" s="29" t="s">
        <v>508</v>
      </c>
      <c r="AC17" s="29"/>
      <c r="AD17" s="59"/>
      <c r="AE17" s="29"/>
      <c r="AF17" s="29"/>
      <c r="AG17" s="29"/>
      <c r="AH17" s="85">
        <v>44390</v>
      </c>
      <c r="AI17" s="58" t="s">
        <v>457</v>
      </c>
      <c r="AJ17" s="143"/>
      <c r="AK17" s="28"/>
      <c r="AL17" s="102" t="s">
        <v>509</v>
      </c>
      <c r="AM17" s="41" t="str">
        <f>VLOOKUP(Table2[[#This Row],[country]],Countrycode!A:B,2,FALSE)</f>
        <v>CHN</v>
      </c>
      <c r="AN17" s="41">
        <f>IF(ISBLANK(Table2[[#This Row],[Need_RRA]]), 2,(IF(Table2[[#This Row],[Need_RRA]]="No", 0, (IF(AND(Table2[[#This Row],[Need_RRA]]="Yes",  Table2[[#This Row],[RRA_pub_date]]=""),1, 0)))))</f>
        <v>0</v>
      </c>
      <c r="AO17" s="41">
        <f>IF(ISBLANK(Table2[[#This Row],[Need_EIS]]), 2,(IF(Table2[[#This Row],[Need_EIS]]="No", 0, (IF(AND(Table2[[#This Row],[Need_EIS]]="Yes",  Table2[[#This Row],[EIS_pub_date]]=""),1, 0)))))</f>
        <v>0</v>
      </c>
      <c r="AP17" s="41">
        <f>IF(ISBLANK(Table2[[#This Row],[Need_DON]]), 2,(IF(Table2[[#This Row],[Need_DON]]="No", 0, (IF(AND(Table2[[#This Row],[Need_DON]]="Yes",  Table2[[#This Row],[DON_pub_date]]=""),1, 0)))))</f>
        <v>0</v>
      </c>
      <c r="AQ17" s="41">
        <f>IF(ISBLANK(Table2[[#This Row],[Pending_question]]), 2,(IF(Table2[[#This Row],[Pending_question]]="Yes", 1, 0)))</f>
        <v>0</v>
      </c>
      <c r="AR17" s="42">
        <v>44385</v>
      </c>
    </row>
    <row r="18" spans="1:44" ht="15" customHeight="1">
      <c r="A18" s="63">
        <v>44391</v>
      </c>
      <c r="B18" s="24" t="s">
        <v>15</v>
      </c>
      <c r="C18" s="33" t="str" cm="1">
        <f t="array" ref="C1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8" s="27" t="s">
        <v>482</v>
      </c>
      <c r="E18" s="58" t="s">
        <v>104</v>
      </c>
      <c r="F18" s="29" t="s">
        <v>173</v>
      </c>
      <c r="G18" s="29" t="s">
        <v>34</v>
      </c>
      <c r="H18" s="59">
        <v>44391</v>
      </c>
      <c r="I18" s="59"/>
      <c r="J18" s="59">
        <v>44391</v>
      </c>
      <c r="K18" s="59"/>
      <c r="L18" s="60"/>
      <c r="M18" s="70" t="s">
        <v>19</v>
      </c>
      <c r="N18" s="55"/>
      <c r="O18" s="71"/>
      <c r="P18" s="83" t="s">
        <v>19</v>
      </c>
      <c r="Q18" s="82" t="s">
        <v>34</v>
      </c>
      <c r="R18" s="29" t="s">
        <v>510</v>
      </c>
      <c r="S18" s="29"/>
      <c r="T18" s="59"/>
      <c r="U18" s="29"/>
      <c r="V18" s="29"/>
      <c r="W18" s="29"/>
      <c r="X18" s="27"/>
      <c r="Y18" s="58" t="s">
        <v>471</v>
      </c>
      <c r="Z18" s="29"/>
      <c r="AA18" s="29"/>
      <c r="AB18" s="29" t="s">
        <v>511</v>
      </c>
      <c r="AC18" s="29"/>
      <c r="AD18" s="59"/>
      <c r="AE18" s="29"/>
      <c r="AF18" s="29"/>
      <c r="AG18" s="29"/>
      <c r="AH18" s="85">
        <v>44399</v>
      </c>
      <c r="AI18" s="58" t="s">
        <v>457</v>
      </c>
      <c r="AJ18" s="143"/>
      <c r="AK18" s="28"/>
      <c r="AL18" s="102"/>
      <c r="AM18" s="41" t="str">
        <f>VLOOKUP(Table2[[#This Row],[country]],Countrycode!A:B,2,FALSE)</f>
        <v>CHN</v>
      </c>
      <c r="AN18" s="41">
        <f>IF(ISBLANK(Table2[[#This Row],[Need_RRA]]), 2,(IF(Table2[[#This Row],[Need_RRA]]="No", 0, (IF(AND(Table2[[#This Row],[Need_RRA]]="Yes",  Table2[[#This Row],[RRA_pub_date]]=""),1, 0)))))</f>
        <v>0</v>
      </c>
      <c r="AO18" s="41">
        <f>IF(ISBLANK(Table2[[#This Row],[Need_EIS]]), 2,(IF(Table2[[#This Row],[Need_EIS]]="No", 0, (IF(AND(Table2[[#This Row],[Need_EIS]]="Yes",  Table2[[#This Row],[EIS_pub_date]]=""),1, 0)))))</f>
        <v>0</v>
      </c>
      <c r="AP18" s="41">
        <f>IF(ISBLANK(Table2[[#This Row],[Need_DON]]), 2,(IF(Table2[[#This Row],[Need_DON]]="No", 0, (IF(AND(Table2[[#This Row],[Need_DON]]="Yes",  Table2[[#This Row],[DON_pub_date]]=""),1, 0)))))</f>
        <v>0</v>
      </c>
      <c r="AQ18" s="41">
        <f>IF(ISBLANK(Table2[[#This Row],[Pending_question]]), 2,(IF(Table2[[#This Row],[Pending_question]]="Yes", 1, 0)))</f>
        <v>0</v>
      </c>
      <c r="AR18" s="42">
        <v>44391</v>
      </c>
    </row>
    <row r="19" spans="1:44" ht="15" customHeight="1">
      <c r="A19" s="63">
        <v>44393</v>
      </c>
      <c r="B19" s="24" t="s">
        <v>15</v>
      </c>
      <c r="C19" s="33" t="str" cm="1">
        <f t="array" ref="C1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9" s="27" t="s">
        <v>512</v>
      </c>
      <c r="E19" s="58" t="s">
        <v>180</v>
      </c>
      <c r="F19" s="29" t="s">
        <v>363</v>
      </c>
      <c r="G19" s="29" t="s">
        <v>34</v>
      </c>
      <c r="H19" s="29"/>
      <c r="I19" s="29"/>
      <c r="J19" s="29"/>
      <c r="K19" s="29"/>
      <c r="L19" s="34"/>
      <c r="M19" s="70" t="s">
        <v>19</v>
      </c>
      <c r="N19" s="54"/>
      <c r="O19" s="26"/>
      <c r="P19" s="58" t="s">
        <v>19</v>
      </c>
      <c r="Q19" s="82" t="s">
        <v>34</v>
      </c>
      <c r="R19" s="29" t="s">
        <v>513</v>
      </c>
      <c r="S19" s="29"/>
      <c r="T19" s="59"/>
      <c r="U19" s="29"/>
      <c r="V19" s="29"/>
      <c r="W19" s="29"/>
      <c r="X19" s="27"/>
      <c r="Y19" s="58" t="s">
        <v>471</v>
      </c>
      <c r="Z19" s="29"/>
      <c r="AA19" s="29"/>
      <c r="AB19" s="29" t="s">
        <v>514</v>
      </c>
      <c r="AC19" s="29"/>
      <c r="AD19" s="59"/>
      <c r="AE19" s="29"/>
      <c r="AF19" s="29"/>
      <c r="AG19" s="29"/>
      <c r="AH19" s="85">
        <v>44393</v>
      </c>
      <c r="AI19" s="58" t="s">
        <v>471</v>
      </c>
      <c r="AJ19" s="143"/>
      <c r="AK19" s="86">
        <v>44425</v>
      </c>
      <c r="AL19" s="102" t="s">
        <v>515</v>
      </c>
      <c r="AM19" s="41" t="str">
        <f>VLOOKUP(Table2[[#This Row],[country]],Countrycode!A:B,2,FALSE)</f>
        <v>SAU</v>
      </c>
      <c r="AN19" s="41">
        <f>IF(ISBLANK(Table2[[#This Row],[Need_RRA]]), 2,(IF(Table2[[#This Row],[Need_RRA]]="No", 0, (IF(AND(Table2[[#This Row],[Need_RRA]]="Yes",  Table2[[#This Row],[RRA_pub_date]]=""),1, 0)))))</f>
        <v>0</v>
      </c>
      <c r="AO19" s="41">
        <f>IF(ISBLANK(Table2[[#This Row],[Need_EIS]]), 2,(IF(Table2[[#This Row],[Need_EIS]]="No", 0, (IF(AND(Table2[[#This Row],[Need_EIS]]="Yes",  Table2[[#This Row],[EIS_pub_date]]=""),1, 0)))))</f>
        <v>0</v>
      </c>
      <c r="AP19" s="41">
        <f>IF(ISBLANK(Table2[[#This Row],[Need_DON]]), 2,(IF(Table2[[#This Row],[Need_DON]]="No", 0, (IF(AND(Table2[[#This Row],[Need_DON]]="Yes",  Table2[[#This Row],[DON_pub_date]]=""),1, 0)))))</f>
        <v>0</v>
      </c>
      <c r="AQ19" s="41">
        <f>IF(ISBLANK(Table2[[#This Row],[Pending_question]]), 2,(IF(Table2[[#This Row],[Pending_question]]="Yes", 1, 0)))</f>
        <v>0</v>
      </c>
      <c r="AR19" s="326"/>
    </row>
    <row r="20" spans="1:44" ht="15" customHeight="1">
      <c r="A20" s="63">
        <v>44395</v>
      </c>
      <c r="B20" s="24" t="s">
        <v>15</v>
      </c>
      <c r="C20" s="33" t="str" cm="1">
        <f t="array" ref="C2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0" s="27" t="s">
        <v>482</v>
      </c>
      <c r="E20" s="58" t="s">
        <v>516</v>
      </c>
      <c r="F20" s="29" t="s">
        <v>403</v>
      </c>
      <c r="G20" s="29" t="s">
        <v>34</v>
      </c>
      <c r="H20" s="59">
        <v>44395</v>
      </c>
      <c r="I20" s="59"/>
      <c r="J20" s="59">
        <v>44393</v>
      </c>
      <c r="K20" s="59"/>
      <c r="L20" s="60"/>
      <c r="M20" s="70" t="s">
        <v>19</v>
      </c>
      <c r="N20" s="55"/>
      <c r="O20" s="71"/>
      <c r="P20" s="83" t="s">
        <v>19</v>
      </c>
      <c r="Q20" s="185" t="s">
        <v>34</v>
      </c>
      <c r="R20" s="29" t="s">
        <v>517</v>
      </c>
      <c r="S20" s="54"/>
      <c r="T20" s="87"/>
      <c r="U20" s="53"/>
      <c r="V20" s="29"/>
      <c r="W20" s="29"/>
      <c r="X20" s="27"/>
      <c r="Y20" s="58" t="s">
        <v>471</v>
      </c>
      <c r="Z20" s="29"/>
      <c r="AA20" s="29"/>
      <c r="AB20" s="29" t="s">
        <v>518</v>
      </c>
      <c r="AC20" s="29"/>
      <c r="AD20" s="59"/>
      <c r="AE20" s="29"/>
      <c r="AF20" s="29"/>
      <c r="AG20" s="29"/>
      <c r="AH20" s="85">
        <v>44398</v>
      </c>
      <c r="AI20" s="58" t="s">
        <v>471</v>
      </c>
      <c r="AJ20" s="143"/>
      <c r="AK20" s="361">
        <v>44404</v>
      </c>
      <c r="AL20" s="102" t="s">
        <v>519</v>
      </c>
      <c r="AM20" s="41" t="str">
        <f>VLOOKUP(Table2[[#This Row],[country]],Countrycode!A:B,2,FALSE)</f>
        <v>USA</v>
      </c>
      <c r="AN20" s="41">
        <f>IF(ISBLANK(Table2[[#This Row],[Need_RRA]]), 2,(IF(Table2[[#This Row],[Need_RRA]]="No", 0, (IF(AND(Table2[[#This Row],[Need_RRA]]="Yes",  Table2[[#This Row],[RRA_pub_date]]=""),1, 0)))))</f>
        <v>0</v>
      </c>
      <c r="AO20" s="41">
        <f>IF(ISBLANK(Table2[[#This Row],[Need_EIS]]), 2,(IF(Table2[[#This Row],[Need_EIS]]="No", 0, (IF(AND(Table2[[#This Row],[Need_EIS]]="Yes",  Table2[[#This Row],[EIS_pub_date]]=""),1, 0)))))</f>
        <v>0</v>
      </c>
      <c r="AP20" s="41">
        <f>IF(ISBLANK(Table2[[#This Row],[Need_DON]]), 2,(IF(Table2[[#This Row],[Need_DON]]="No", 0, (IF(AND(Table2[[#This Row],[Need_DON]]="Yes",  Table2[[#This Row],[DON_pub_date]]=""),1, 0)))))</f>
        <v>0</v>
      </c>
      <c r="AQ20" s="41">
        <f>IF(ISBLANK(Table2[[#This Row],[Pending_question]]), 2,(IF(Table2[[#This Row],[Pending_question]]="Yes", 1, 0)))</f>
        <v>0</v>
      </c>
      <c r="AR20" s="42">
        <v>44395</v>
      </c>
    </row>
    <row r="21" spans="1:44" ht="15" customHeight="1">
      <c r="A21" s="63">
        <v>44398</v>
      </c>
      <c r="B21" s="24" t="s">
        <v>15</v>
      </c>
      <c r="C21" s="33" t="str" cm="1">
        <f t="array" ref="C2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1" s="27" t="s">
        <v>482</v>
      </c>
      <c r="E21" s="58" t="s">
        <v>104</v>
      </c>
      <c r="F21" s="29" t="s">
        <v>173</v>
      </c>
      <c r="G21" s="29" t="s">
        <v>34</v>
      </c>
      <c r="H21" s="29"/>
      <c r="I21" s="29"/>
      <c r="J21" s="29"/>
      <c r="K21" s="29"/>
      <c r="L21" s="34"/>
      <c r="M21" s="70" t="s">
        <v>19</v>
      </c>
      <c r="N21" s="54"/>
      <c r="O21" s="26"/>
      <c r="P21" s="58" t="s">
        <v>19</v>
      </c>
      <c r="Q21" s="186" t="s">
        <v>34</v>
      </c>
      <c r="R21" s="29"/>
      <c r="S21" s="29"/>
      <c r="T21" s="59"/>
      <c r="U21" s="29"/>
      <c r="V21" s="29"/>
      <c r="W21" s="29"/>
      <c r="X21" s="27"/>
      <c r="Y21" s="58" t="s">
        <v>471</v>
      </c>
      <c r="Z21" s="29"/>
      <c r="AA21" s="29"/>
      <c r="AB21" s="29" t="s">
        <v>520</v>
      </c>
      <c r="AC21" s="29"/>
      <c r="AD21" s="59"/>
      <c r="AE21" s="29"/>
      <c r="AF21" s="29"/>
      <c r="AG21" s="29"/>
      <c r="AH21" s="85">
        <v>44398</v>
      </c>
      <c r="AI21" s="58" t="s">
        <v>457</v>
      </c>
      <c r="AJ21" s="143"/>
      <c r="AK21" s="28"/>
      <c r="AL21" s="102"/>
      <c r="AM21" s="41" t="str">
        <f>VLOOKUP(Table2[[#This Row],[country]],Countrycode!A:B,2,FALSE)</f>
        <v>CHN</v>
      </c>
      <c r="AN21" s="41">
        <f>IF(ISBLANK(Table2[[#This Row],[Need_RRA]]), 2,(IF(Table2[[#This Row],[Need_RRA]]="No", 0, (IF(AND(Table2[[#This Row],[Need_RRA]]="Yes",  Table2[[#This Row],[RRA_pub_date]]=""),1, 0)))))</f>
        <v>0</v>
      </c>
      <c r="AO21" s="41">
        <f>IF(ISBLANK(Table2[[#This Row],[Need_EIS]]), 2,(IF(Table2[[#This Row],[Need_EIS]]="No", 0, (IF(AND(Table2[[#This Row],[Need_EIS]]="Yes",  Table2[[#This Row],[EIS_pub_date]]=""),1, 0)))))</f>
        <v>0</v>
      </c>
      <c r="AP21" s="41">
        <f>IF(ISBLANK(Table2[[#This Row],[Need_DON]]), 2,(IF(Table2[[#This Row],[Need_DON]]="No", 0, (IF(AND(Table2[[#This Row],[Need_DON]]="Yes",  Table2[[#This Row],[DON_pub_date]]=""),1, 0)))))</f>
        <v>0</v>
      </c>
      <c r="AQ21" s="41">
        <f>IF(ISBLANK(Table2[[#This Row],[Pending_question]]), 2,(IF(Table2[[#This Row],[Pending_question]]="Yes", 1, 0)))</f>
        <v>0</v>
      </c>
      <c r="AR21" s="326"/>
    </row>
    <row r="22" spans="1:44" ht="15" customHeight="1">
      <c r="A22" s="63">
        <v>44398</v>
      </c>
      <c r="B22" s="24" t="s">
        <v>15</v>
      </c>
      <c r="C22" s="33" t="str" cm="1">
        <f t="array" ref="C2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2" s="27" t="s">
        <v>464</v>
      </c>
      <c r="E22" s="58" t="s">
        <v>99</v>
      </c>
      <c r="F22" s="29" t="s">
        <v>274</v>
      </c>
      <c r="G22" s="29" t="s">
        <v>34</v>
      </c>
      <c r="H22" s="59">
        <v>44398</v>
      </c>
      <c r="I22" s="59"/>
      <c r="J22" s="59">
        <v>44399</v>
      </c>
      <c r="K22" s="59"/>
      <c r="L22" s="60"/>
      <c r="M22" s="70" t="s">
        <v>19</v>
      </c>
      <c r="N22" s="55"/>
      <c r="O22" s="71"/>
      <c r="P22" s="83" t="s">
        <v>19</v>
      </c>
      <c r="Q22" s="185" t="s">
        <v>34</v>
      </c>
      <c r="R22" s="29"/>
      <c r="S22" s="29"/>
      <c r="T22" s="59"/>
      <c r="U22" s="29"/>
      <c r="V22" s="29"/>
      <c r="W22" s="29"/>
      <c r="X22" s="27"/>
      <c r="Y22" s="58" t="s">
        <v>471</v>
      </c>
      <c r="Z22" s="29"/>
      <c r="AA22" s="29"/>
      <c r="AB22" s="29" t="s">
        <v>521</v>
      </c>
      <c r="AC22" s="29"/>
      <c r="AD22" s="59"/>
      <c r="AE22" s="29"/>
      <c r="AF22" s="29"/>
      <c r="AG22" s="29"/>
      <c r="AH22" s="85">
        <v>44401</v>
      </c>
      <c r="AI22" s="58" t="s">
        <v>471</v>
      </c>
      <c r="AJ22" s="143"/>
      <c r="AK22" s="86">
        <v>44424</v>
      </c>
      <c r="AL22" s="102" t="s">
        <v>522</v>
      </c>
      <c r="AM22" s="41" t="str">
        <f>VLOOKUP(Table2[[#This Row],[country]],Countrycode!A:B,2,FALSE)</f>
        <v>IND</v>
      </c>
      <c r="AN22" s="41">
        <f>IF(ISBLANK(Table2[[#This Row],[Need_RRA]]), 2,(IF(Table2[[#This Row],[Need_RRA]]="No", 0, (IF(AND(Table2[[#This Row],[Need_RRA]]="Yes",  Table2[[#This Row],[RRA_pub_date]]=""),1, 0)))))</f>
        <v>0</v>
      </c>
      <c r="AO22" s="41">
        <f>IF(ISBLANK(Table2[[#This Row],[Need_EIS]]), 2,(IF(Table2[[#This Row],[Need_EIS]]="No", 0, (IF(AND(Table2[[#This Row],[Need_EIS]]="Yes",  Table2[[#This Row],[EIS_pub_date]]=""),1, 0)))))</f>
        <v>0</v>
      </c>
      <c r="AP22" s="41">
        <f>IF(ISBLANK(Table2[[#This Row],[Need_DON]]), 2,(IF(Table2[[#This Row],[Need_DON]]="No", 0, (IF(AND(Table2[[#This Row],[Need_DON]]="Yes",  Table2[[#This Row],[DON_pub_date]]=""),1, 0)))))</f>
        <v>0</v>
      </c>
      <c r="AQ22" s="41">
        <f>IF(ISBLANK(Table2[[#This Row],[Pending_question]]), 2,(IF(Table2[[#This Row],[Pending_question]]="Yes", 1, 0)))</f>
        <v>0</v>
      </c>
      <c r="AR22" s="42">
        <v>44398</v>
      </c>
    </row>
    <row r="23" spans="1:44" ht="15" customHeight="1">
      <c r="A23" s="63">
        <v>44399</v>
      </c>
      <c r="B23" s="24" t="s">
        <v>15</v>
      </c>
      <c r="C23" s="33" t="str" cm="1">
        <f t="array" ref="C2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3" s="27" t="s">
        <v>523</v>
      </c>
      <c r="E23" s="58" t="s">
        <v>128</v>
      </c>
      <c r="F23" s="29" t="s">
        <v>328</v>
      </c>
      <c r="G23" s="29" t="s">
        <v>34</v>
      </c>
      <c r="H23" s="59"/>
      <c r="I23" s="59"/>
      <c r="J23" s="59"/>
      <c r="K23" s="59" t="s">
        <v>470</v>
      </c>
      <c r="L23" s="60"/>
      <c r="M23" s="70" t="s">
        <v>19</v>
      </c>
      <c r="N23" s="55"/>
      <c r="O23" s="71"/>
      <c r="P23" s="83" t="s">
        <v>30</v>
      </c>
      <c r="Q23" s="186"/>
      <c r="R23" s="29" t="s">
        <v>524</v>
      </c>
      <c r="S23" s="261">
        <v>44399</v>
      </c>
      <c r="T23" s="261"/>
      <c r="U23" s="261">
        <v>44419</v>
      </c>
      <c r="V23" s="59"/>
      <c r="W23" s="59"/>
      <c r="X23" s="85"/>
      <c r="Y23" s="58" t="s">
        <v>471</v>
      </c>
      <c r="Z23" s="29"/>
      <c r="AA23" s="29"/>
      <c r="AB23" s="29" t="s">
        <v>525</v>
      </c>
      <c r="AC23" s="29"/>
      <c r="AD23" s="59"/>
      <c r="AE23" s="29"/>
      <c r="AF23" s="29"/>
      <c r="AG23" s="29"/>
      <c r="AH23" s="85">
        <v>44440</v>
      </c>
      <c r="AI23" s="58" t="s">
        <v>457</v>
      </c>
      <c r="AJ23" s="143"/>
      <c r="AK23" s="28"/>
      <c r="AL23" s="102"/>
      <c r="AM23" s="41" t="str">
        <f>VLOOKUP(Table2[[#This Row],[country]],Countrycode!A:B,2,FALSE)</f>
        <v>NGA</v>
      </c>
      <c r="AN23" s="41">
        <f>IF(ISBLANK(Table2[[#This Row],[Need_RRA]]), 2,(IF(Table2[[#This Row],[Need_RRA]]="No", 0, (IF(AND(Table2[[#This Row],[Need_RRA]]="Yes",  Table2[[#This Row],[RRA_pub_date]]=""),1, 0)))))</f>
        <v>0</v>
      </c>
      <c r="AO23" s="41">
        <f>IF(ISBLANK(Table2[[#This Row],[Need_EIS]]), 2,(IF(Table2[[#This Row],[Need_EIS]]="No", 0, (IF(AND(Table2[[#This Row],[Need_EIS]]="Yes",  Table2[[#This Row],[EIS_pub_date]]=""),1, 0)))))</f>
        <v>0</v>
      </c>
      <c r="AP23" s="41">
        <f>IF(ISBLANK(Table2[[#This Row],[Need_DON]]), 2,(IF(Table2[[#This Row],[Need_DON]]="No", 0, (IF(AND(Table2[[#This Row],[Need_DON]]="Yes",  Table2[[#This Row],[DON_pub_date]]=""),1, 0)))))</f>
        <v>0</v>
      </c>
      <c r="AQ23" s="41">
        <f>IF(ISBLANK(Table2[[#This Row],[Pending_question]]), 2,(IF(Table2[[#This Row],[Pending_question]]="Yes", 1, 0)))</f>
        <v>0</v>
      </c>
      <c r="AR23" s="42"/>
    </row>
    <row r="24" spans="1:44" ht="15" customHeight="1">
      <c r="A24" s="63">
        <v>44400</v>
      </c>
      <c r="B24" s="24" t="s">
        <v>15</v>
      </c>
      <c r="C24" s="33" t="str" cm="1">
        <f t="array" ref="C2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4" s="27" t="s">
        <v>526</v>
      </c>
      <c r="E24" s="58" t="s">
        <v>104</v>
      </c>
      <c r="F24" s="29" t="s">
        <v>173</v>
      </c>
      <c r="G24" s="29" t="s">
        <v>34</v>
      </c>
      <c r="H24" s="59">
        <v>44400</v>
      </c>
      <c r="I24" s="59"/>
      <c r="J24" s="59"/>
      <c r="K24" s="59"/>
      <c r="L24" s="60"/>
      <c r="M24" s="70" t="s">
        <v>19</v>
      </c>
      <c r="N24" s="55"/>
      <c r="O24" s="71"/>
      <c r="P24" s="83" t="s">
        <v>19</v>
      </c>
      <c r="Q24" s="82" t="s">
        <v>34</v>
      </c>
      <c r="R24" s="29"/>
      <c r="S24" s="29"/>
      <c r="T24" s="59"/>
      <c r="U24" s="29"/>
      <c r="V24" s="29"/>
      <c r="W24" s="29"/>
      <c r="X24" s="27"/>
      <c r="Y24" s="58" t="s">
        <v>471</v>
      </c>
      <c r="Z24" s="29"/>
      <c r="AA24" s="29"/>
      <c r="AB24" s="29" t="s">
        <v>527</v>
      </c>
      <c r="AC24" s="29"/>
      <c r="AD24" s="59"/>
      <c r="AE24" s="29"/>
      <c r="AF24" s="29"/>
      <c r="AG24" s="29"/>
      <c r="AH24" s="85">
        <v>44411</v>
      </c>
      <c r="AI24" s="58" t="s">
        <v>457</v>
      </c>
      <c r="AJ24" s="143"/>
      <c r="AK24" s="28"/>
      <c r="AL24" s="102"/>
      <c r="AM24" s="41" t="str">
        <f>VLOOKUP(Table2[[#This Row],[country]],Countrycode!A:B,2,FALSE)</f>
        <v>CHN</v>
      </c>
      <c r="AN24" s="41">
        <f>IF(ISBLANK(Table2[[#This Row],[Need_RRA]]), 2,(IF(Table2[[#This Row],[Need_RRA]]="No", 0, (IF(AND(Table2[[#This Row],[Need_RRA]]="Yes",  Table2[[#This Row],[RRA_pub_date]]=""),1, 0)))))</f>
        <v>0</v>
      </c>
      <c r="AO24" s="41">
        <f>IF(ISBLANK(Table2[[#This Row],[Need_EIS]]), 2,(IF(Table2[[#This Row],[Need_EIS]]="No", 0, (IF(AND(Table2[[#This Row],[Need_EIS]]="Yes",  Table2[[#This Row],[EIS_pub_date]]=""),1, 0)))))</f>
        <v>0</v>
      </c>
      <c r="AP24" s="41">
        <f>IF(ISBLANK(Table2[[#This Row],[Need_DON]]), 2,(IF(Table2[[#This Row],[Need_DON]]="No", 0, (IF(AND(Table2[[#This Row],[Need_DON]]="Yes",  Table2[[#This Row],[DON_pub_date]]=""),1, 0)))))</f>
        <v>0</v>
      </c>
      <c r="AQ24" s="41">
        <f>IF(ISBLANK(Table2[[#This Row],[Pending_question]]), 2,(IF(Table2[[#This Row],[Pending_question]]="Yes", 1, 0)))</f>
        <v>0</v>
      </c>
      <c r="AR24" s="42" t="s">
        <v>528</v>
      </c>
    </row>
    <row r="25" spans="1:44" ht="15" customHeight="1">
      <c r="A25" s="63">
        <v>44400</v>
      </c>
      <c r="B25" s="24" t="s">
        <v>15</v>
      </c>
      <c r="C25" s="33" t="str" cm="1">
        <f t="array" ref="C2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5" s="27" t="s">
        <v>456</v>
      </c>
      <c r="E25" s="58" t="s">
        <v>529</v>
      </c>
      <c r="F25" s="29" t="s">
        <v>379</v>
      </c>
      <c r="G25" s="29" t="s">
        <v>34</v>
      </c>
      <c r="H25" s="59">
        <v>44400</v>
      </c>
      <c r="I25" s="59"/>
      <c r="J25" s="59"/>
      <c r="K25" s="59" t="s">
        <v>530</v>
      </c>
      <c r="L25" s="60"/>
      <c r="M25" s="70" t="s">
        <v>19</v>
      </c>
      <c r="N25" s="55"/>
      <c r="O25" s="71"/>
      <c r="P25" s="83" t="s">
        <v>30</v>
      </c>
      <c r="Q25" s="84"/>
      <c r="R25" s="29" t="s">
        <v>531</v>
      </c>
      <c r="S25" s="55">
        <v>44420</v>
      </c>
      <c r="T25" s="59"/>
      <c r="U25" s="59">
        <v>44433</v>
      </c>
      <c r="V25" s="59"/>
      <c r="W25" s="59"/>
      <c r="X25" s="85"/>
      <c r="Y25" s="58" t="s">
        <v>471</v>
      </c>
      <c r="Z25" s="29"/>
      <c r="AA25" s="29"/>
      <c r="AB25" s="29" t="s">
        <v>532</v>
      </c>
      <c r="AC25" s="29"/>
      <c r="AD25" s="59"/>
      <c r="AE25" s="29"/>
      <c r="AF25" s="29"/>
      <c r="AG25" s="29"/>
      <c r="AH25" s="85">
        <v>44455</v>
      </c>
      <c r="AI25" s="58" t="s">
        <v>457</v>
      </c>
      <c r="AJ25" s="143"/>
      <c r="AK25" s="28"/>
      <c r="AL25" s="102"/>
      <c r="AM25" s="41" t="str">
        <f>VLOOKUP(Table2[[#This Row],[country]],Countrycode!A:B,2,FALSE)</f>
        <v>SDN</v>
      </c>
      <c r="AN25" s="41">
        <f>IF(ISBLANK(Table2[[#This Row],[Need_RRA]]), 2,(IF(Table2[[#This Row],[Need_RRA]]="No", 0, (IF(AND(Table2[[#This Row],[Need_RRA]]="Yes",  Table2[[#This Row],[RRA_pub_date]]=""),1, 0)))))</f>
        <v>0</v>
      </c>
      <c r="AO25" s="41">
        <f>IF(ISBLANK(Table2[[#This Row],[Need_EIS]]), 2,(IF(Table2[[#This Row],[Need_EIS]]="No", 0, (IF(AND(Table2[[#This Row],[Need_EIS]]="Yes",  Table2[[#This Row],[EIS_pub_date]]=""),1, 0)))))</f>
        <v>0</v>
      </c>
      <c r="AP25" s="41">
        <f>IF(ISBLANK(Table2[[#This Row],[Need_DON]]), 2,(IF(Table2[[#This Row],[Need_DON]]="No", 0, (IF(AND(Table2[[#This Row],[Need_DON]]="Yes",  Table2[[#This Row],[DON_pub_date]]=""),1, 0)))))</f>
        <v>0</v>
      </c>
      <c r="AQ25" s="41">
        <f>IF(ISBLANK(Table2[[#This Row],[Pending_question]]), 2,(IF(Table2[[#This Row],[Pending_question]]="Yes", 1, 0)))</f>
        <v>0</v>
      </c>
      <c r="AR25" s="42">
        <v>44400</v>
      </c>
    </row>
    <row r="26" spans="1:44" ht="15" customHeight="1">
      <c r="A26" s="63">
        <v>44412</v>
      </c>
      <c r="B26" s="24" t="s">
        <v>15</v>
      </c>
      <c r="C26" s="33" t="str" cm="1">
        <f t="array" ref="C2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6" s="27" t="s">
        <v>464</v>
      </c>
      <c r="E26" s="58" t="s">
        <v>174</v>
      </c>
      <c r="F26" s="29" t="s">
        <v>265</v>
      </c>
      <c r="G26" s="29" t="s">
        <v>34</v>
      </c>
      <c r="H26" s="59">
        <v>44412</v>
      </c>
      <c r="I26" s="59"/>
      <c r="J26" s="59">
        <v>44414</v>
      </c>
      <c r="K26" s="59" t="s">
        <v>533</v>
      </c>
      <c r="L26" s="60"/>
      <c r="M26" s="70" t="s">
        <v>19</v>
      </c>
      <c r="N26" s="55"/>
      <c r="O26" s="71"/>
      <c r="P26" s="83" t="s">
        <v>30</v>
      </c>
      <c r="Q26" s="186"/>
      <c r="R26" s="29" t="s">
        <v>534</v>
      </c>
      <c r="S26" s="59">
        <v>44415</v>
      </c>
      <c r="T26" s="59"/>
      <c r="U26" s="59">
        <v>44415</v>
      </c>
      <c r="V26" s="59"/>
      <c r="W26" s="59"/>
      <c r="X26" s="85"/>
      <c r="Y26" s="58" t="s">
        <v>471</v>
      </c>
      <c r="Z26" s="29"/>
      <c r="AA26" s="29"/>
      <c r="AB26" s="29" t="s">
        <v>535</v>
      </c>
      <c r="AC26" s="29"/>
      <c r="AD26" s="59"/>
      <c r="AE26" s="29"/>
      <c r="AF26" s="29"/>
      <c r="AG26" s="29"/>
      <c r="AH26" s="85">
        <v>44416</v>
      </c>
      <c r="AI26" s="58" t="s">
        <v>471</v>
      </c>
      <c r="AJ26" s="143"/>
      <c r="AK26" s="86">
        <v>44417</v>
      </c>
      <c r="AL26" s="102" t="s">
        <v>536</v>
      </c>
      <c r="AM26" s="41" t="str">
        <f>VLOOKUP(Table2[[#This Row],[country]],Countrycode!A:B,2,FALSE)</f>
        <v>GIN</v>
      </c>
      <c r="AN26" s="41">
        <f>IF(ISBLANK(Table2[[#This Row],[Need_RRA]]), 2,(IF(Table2[[#This Row],[Need_RRA]]="No", 0, (IF(AND(Table2[[#This Row],[Need_RRA]]="Yes",  Table2[[#This Row],[RRA_pub_date]]=""),1, 0)))))</f>
        <v>0</v>
      </c>
      <c r="AO26" s="41">
        <f>IF(ISBLANK(Table2[[#This Row],[Need_EIS]]), 2,(IF(Table2[[#This Row],[Need_EIS]]="No", 0, (IF(AND(Table2[[#This Row],[Need_EIS]]="Yes",  Table2[[#This Row],[EIS_pub_date]]=""),1, 0)))))</f>
        <v>0</v>
      </c>
      <c r="AP26" s="41">
        <f>IF(ISBLANK(Table2[[#This Row],[Need_DON]]), 2,(IF(Table2[[#This Row],[Need_DON]]="No", 0, (IF(AND(Table2[[#This Row],[Need_DON]]="Yes",  Table2[[#This Row],[DON_pub_date]]=""),1, 0)))))</f>
        <v>0</v>
      </c>
      <c r="AQ26" s="41">
        <f>IF(ISBLANK(Table2[[#This Row],[Pending_question]]), 2,(IF(Table2[[#This Row],[Pending_question]]="Yes", 1, 0)))</f>
        <v>0</v>
      </c>
      <c r="AR26" s="42">
        <v>44413</v>
      </c>
    </row>
    <row r="27" spans="1:44" ht="15" customHeight="1">
      <c r="A27" s="63">
        <v>44417</v>
      </c>
      <c r="B27" s="24" t="s">
        <v>15</v>
      </c>
      <c r="C27" s="33" t="str" cm="1">
        <f t="array" ref="C2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7" s="27" t="s">
        <v>537</v>
      </c>
      <c r="E27" s="58" t="s">
        <v>104</v>
      </c>
      <c r="F27" s="29" t="s">
        <v>173</v>
      </c>
      <c r="G27" s="29" t="s">
        <v>34</v>
      </c>
      <c r="H27" s="59">
        <v>44417</v>
      </c>
      <c r="I27" s="59"/>
      <c r="J27" s="59">
        <v>44417</v>
      </c>
      <c r="K27" s="59"/>
      <c r="L27" s="60"/>
      <c r="M27" s="70" t="s">
        <v>19</v>
      </c>
      <c r="N27" s="55"/>
      <c r="O27" s="71"/>
      <c r="P27" s="83" t="s">
        <v>19</v>
      </c>
      <c r="Q27" s="82" t="s">
        <v>34</v>
      </c>
      <c r="R27" s="29"/>
      <c r="S27" s="29"/>
      <c r="T27" s="59"/>
      <c r="U27" s="29"/>
      <c r="V27" s="29"/>
      <c r="W27" s="29"/>
      <c r="X27" s="27"/>
      <c r="Y27" s="58" t="s">
        <v>471</v>
      </c>
      <c r="Z27" s="29"/>
      <c r="AA27" s="29"/>
      <c r="AB27" s="29" t="s">
        <v>538</v>
      </c>
      <c r="AC27" s="29"/>
      <c r="AD27" s="59"/>
      <c r="AE27" s="29"/>
      <c r="AF27" s="29"/>
      <c r="AG27" s="29"/>
      <c r="AH27" s="85">
        <v>44418</v>
      </c>
      <c r="AI27" s="58" t="s">
        <v>457</v>
      </c>
      <c r="AJ27" s="143"/>
      <c r="AK27" s="28"/>
      <c r="AL27" s="102"/>
      <c r="AM27" s="41" t="str">
        <f>VLOOKUP(Table2[[#This Row],[country]],Countrycode!A:B,2,FALSE)</f>
        <v>CHN</v>
      </c>
      <c r="AN27" s="41">
        <f>IF(ISBLANK(Table2[[#This Row],[Need_RRA]]), 2,(IF(Table2[[#This Row],[Need_RRA]]="No", 0, (IF(AND(Table2[[#This Row],[Need_RRA]]="Yes",  Table2[[#This Row],[RRA_pub_date]]=""),1, 0)))))</f>
        <v>0</v>
      </c>
      <c r="AO27" s="41">
        <f>IF(ISBLANK(Table2[[#This Row],[Need_EIS]]), 2,(IF(Table2[[#This Row],[Need_EIS]]="No", 0, (IF(AND(Table2[[#This Row],[Need_EIS]]="Yes",  Table2[[#This Row],[EIS_pub_date]]=""),1, 0)))))</f>
        <v>0</v>
      </c>
      <c r="AP27" s="41">
        <f>IF(ISBLANK(Table2[[#This Row],[Need_DON]]), 2,(IF(Table2[[#This Row],[Need_DON]]="No", 0, (IF(AND(Table2[[#This Row],[Need_DON]]="Yes",  Table2[[#This Row],[DON_pub_date]]=""),1, 0)))))</f>
        <v>0</v>
      </c>
      <c r="AQ27" s="41">
        <f>IF(ISBLANK(Table2[[#This Row],[Pending_question]]), 2,(IF(Table2[[#This Row],[Pending_question]]="Yes", 1, 0)))</f>
        <v>0</v>
      </c>
      <c r="AR27" s="42">
        <v>44418</v>
      </c>
    </row>
    <row r="28" spans="1:44" ht="15" customHeight="1">
      <c r="A28" s="63">
        <v>44419</v>
      </c>
      <c r="B28" s="24" t="s">
        <v>15</v>
      </c>
      <c r="C28" s="33" t="str" cm="1">
        <f t="array" ref="C2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8" s="27" t="s">
        <v>539</v>
      </c>
      <c r="E28" s="58" t="s">
        <v>128</v>
      </c>
      <c r="F28" s="29" t="s">
        <v>327</v>
      </c>
      <c r="G28" s="29" t="s">
        <v>34</v>
      </c>
      <c r="H28" s="59"/>
      <c r="I28" s="59"/>
      <c r="J28" s="59"/>
      <c r="K28" s="59" t="s">
        <v>540</v>
      </c>
      <c r="L28" s="60"/>
      <c r="M28" s="70" t="s">
        <v>19</v>
      </c>
      <c r="N28" s="55"/>
      <c r="O28" s="71"/>
      <c r="P28" s="83" t="s">
        <v>30</v>
      </c>
      <c r="Q28" s="186"/>
      <c r="R28" s="59" t="s">
        <v>541</v>
      </c>
      <c r="S28" s="59">
        <v>44419</v>
      </c>
      <c r="T28" s="59"/>
      <c r="U28" s="59">
        <v>44425</v>
      </c>
      <c r="V28" s="59"/>
      <c r="W28" s="59"/>
      <c r="X28" s="85"/>
      <c r="Y28" s="83" t="s">
        <v>471</v>
      </c>
      <c r="Z28" s="59"/>
      <c r="AA28" s="59"/>
      <c r="AB28" s="29" t="s">
        <v>542</v>
      </c>
      <c r="AC28" s="29"/>
      <c r="AD28" s="59"/>
      <c r="AE28" s="29"/>
      <c r="AF28" s="29"/>
      <c r="AG28" s="29"/>
      <c r="AH28" s="85">
        <v>44441</v>
      </c>
      <c r="AI28" s="58" t="s">
        <v>457</v>
      </c>
      <c r="AJ28" s="143"/>
      <c r="AK28" s="28"/>
      <c r="AL28" s="102"/>
      <c r="AM28" s="41" t="str">
        <f>VLOOKUP(Table2[[#This Row],[country]],Countrycode!A:B,2,FALSE)</f>
        <v>NER</v>
      </c>
      <c r="AN28" s="41">
        <f>IF(ISBLANK(Table2[[#This Row],[Need_RRA]]), 2,(IF(Table2[[#This Row],[Need_RRA]]="No", 0, (IF(AND(Table2[[#This Row],[Need_RRA]]="Yes",  Table2[[#This Row],[RRA_pub_date]]=""),1, 0)))))</f>
        <v>0</v>
      </c>
      <c r="AO28" s="41">
        <f>IF(ISBLANK(Table2[[#This Row],[Need_EIS]]), 2,(IF(Table2[[#This Row],[Need_EIS]]="No", 0, (IF(AND(Table2[[#This Row],[Need_EIS]]="Yes",  Table2[[#This Row],[EIS_pub_date]]=""),1, 0)))))</f>
        <v>0</v>
      </c>
      <c r="AP28" s="41">
        <f>IF(ISBLANK(Table2[[#This Row],[Need_DON]]), 2,(IF(Table2[[#This Row],[Need_DON]]="No", 0, (IF(AND(Table2[[#This Row],[Need_DON]]="Yes",  Table2[[#This Row],[DON_pub_date]]=""),1, 0)))))</f>
        <v>0</v>
      </c>
      <c r="AQ28" s="41">
        <f>IF(ISBLANK(Table2[[#This Row],[Pending_question]]), 2,(IF(Table2[[#This Row],[Pending_question]]="Yes", 1, 0)))</f>
        <v>0</v>
      </c>
      <c r="AR28" s="42">
        <v>44417</v>
      </c>
    </row>
    <row r="29" spans="1:44" ht="15" customHeight="1">
      <c r="A29" s="63">
        <v>44422</v>
      </c>
      <c r="B29" s="24" t="s">
        <v>15</v>
      </c>
      <c r="C29" s="33" t="str" cm="1">
        <f t="array" ref="C2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9" s="27" t="s">
        <v>543</v>
      </c>
      <c r="E29" s="58" t="s">
        <v>140</v>
      </c>
      <c r="F29" s="29" t="s">
        <v>544</v>
      </c>
      <c r="G29" s="29" t="s">
        <v>34</v>
      </c>
      <c r="H29" s="59">
        <v>44422</v>
      </c>
      <c r="I29" s="59"/>
      <c r="J29" s="59"/>
      <c r="K29" s="59" t="s">
        <v>545</v>
      </c>
      <c r="L29" s="60"/>
      <c r="M29" s="70" t="s">
        <v>19</v>
      </c>
      <c r="N29" s="55"/>
      <c r="O29" s="71"/>
      <c r="P29" s="83" t="s">
        <v>30</v>
      </c>
      <c r="Q29" s="84"/>
      <c r="R29" s="29" t="s">
        <v>546</v>
      </c>
      <c r="S29" s="261">
        <v>44422</v>
      </c>
      <c r="T29" s="261"/>
      <c r="U29" s="59">
        <v>44423</v>
      </c>
      <c r="V29" s="59"/>
      <c r="W29" s="59"/>
      <c r="X29" s="85"/>
      <c r="Y29" s="58" t="s">
        <v>471</v>
      </c>
      <c r="Z29" s="29"/>
      <c r="AA29" s="29"/>
      <c r="AB29" s="29" t="s">
        <v>547</v>
      </c>
      <c r="AC29" s="29"/>
      <c r="AD29" s="59"/>
      <c r="AE29" s="29"/>
      <c r="AF29" s="29"/>
      <c r="AG29" s="29"/>
      <c r="AH29" s="85">
        <v>44440</v>
      </c>
      <c r="AI29" s="58" t="s">
        <v>457</v>
      </c>
      <c r="AJ29" s="143"/>
      <c r="AK29" s="28"/>
      <c r="AL29" s="102" t="s">
        <v>548</v>
      </c>
      <c r="AM29" s="41" t="str">
        <f>VLOOKUP(Table2[[#This Row],[country]],Countrycode!A:B,2,FALSE)</f>
        <v>CIV</v>
      </c>
      <c r="AN29" s="41">
        <f>IF(ISBLANK(Table2[[#This Row],[Need_RRA]]), 2,(IF(Table2[[#This Row],[Need_RRA]]="No", 0, (IF(AND(Table2[[#This Row],[Need_RRA]]="Yes",  Table2[[#This Row],[RRA_pub_date]]=""),1, 0)))))</f>
        <v>0</v>
      </c>
      <c r="AO29" s="41">
        <f>IF(ISBLANK(Table2[[#This Row],[Need_EIS]]), 2,(IF(Table2[[#This Row],[Need_EIS]]="No", 0, (IF(AND(Table2[[#This Row],[Need_EIS]]="Yes",  Table2[[#This Row],[EIS_pub_date]]=""),1, 0)))))</f>
        <v>0</v>
      </c>
      <c r="AP29" s="41">
        <f>IF(ISBLANK(Table2[[#This Row],[Need_DON]]), 2,(IF(Table2[[#This Row],[Need_DON]]="No", 0, (IF(AND(Table2[[#This Row],[Need_DON]]="Yes",  Table2[[#This Row],[DON_pub_date]]=""),1, 0)))))</f>
        <v>0</v>
      </c>
      <c r="AQ29" s="41">
        <f>IF(ISBLANK(Table2[[#This Row],[Pending_question]]), 2,(IF(Table2[[#This Row],[Pending_question]]="Yes", 1, 0)))</f>
        <v>0</v>
      </c>
      <c r="AR29" s="42">
        <v>44422</v>
      </c>
    </row>
    <row r="30" spans="1:44" ht="15" customHeight="1">
      <c r="A30" s="63">
        <v>44426</v>
      </c>
      <c r="B30" s="24" t="s">
        <v>15</v>
      </c>
      <c r="C30" s="33" t="str" cm="1">
        <f t="array" ref="C3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0" s="27" t="s">
        <v>464</v>
      </c>
      <c r="E30" s="58" t="s">
        <v>104</v>
      </c>
      <c r="F30" s="29" t="s">
        <v>173</v>
      </c>
      <c r="G30" s="29" t="s">
        <v>34</v>
      </c>
      <c r="H30" s="59"/>
      <c r="I30" s="59"/>
      <c r="J30" s="59"/>
      <c r="K30" s="59"/>
      <c r="L30" s="60"/>
      <c r="M30" s="70" t="s">
        <v>19</v>
      </c>
      <c r="N30" s="55"/>
      <c r="O30" s="71"/>
      <c r="P30" s="83" t="s">
        <v>19</v>
      </c>
      <c r="Q30" s="185" t="s">
        <v>34</v>
      </c>
      <c r="R30" s="29" t="s">
        <v>549</v>
      </c>
      <c r="S30" s="29"/>
      <c r="T30" s="59"/>
      <c r="U30" s="29"/>
      <c r="V30" s="29"/>
      <c r="W30" s="29"/>
      <c r="X30" s="27"/>
      <c r="Y30" s="58" t="s">
        <v>471</v>
      </c>
      <c r="Z30" s="29"/>
      <c r="AA30" s="29"/>
      <c r="AB30" s="29" t="s">
        <v>550</v>
      </c>
      <c r="AC30" s="29"/>
      <c r="AD30" s="59"/>
      <c r="AE30" s="29"/>
      <c r="AF30" s="29"/>
      <c r="AG30" s="29"/>
      <c r="AH30" s="85">
        <v>44426</v>
      </c>
      <c r="AI30" s="58" t="s">
        <v>457</v>
      </c>
      <c r="AJ30" s="143"/>
      <c r="AK30" s="28"/>
      <c r="AL30" s="102" t="s">
        <v>551</v>
      </c>
      <c r="AM30" s="41" t="str">
        <f>VLOOKUP(Table2[[#This Row],[country]],Countrycode!A:B,2,FALSE)</f>
        <v>CHN</v>
      </c>
      <c r="AN30" s="41">
        <f>IF(ISBLANK(Table2[[#This Row],[Need_RRA]]), 2,(IF(Table2[[#This Row],[Need_RRA]]="No", 0, (IF(AND(Table2[[#This Row],[Need_RRA]]="Yes",  Table2[[#This Row],[RRA_pub_date]]=""),1, 0)))))</f>
        <v>0</v>
      </c>
      <c r="AO30" s="41">
        <f>IF(ISBLANK(Table2[[#This Row],[Need_EIS]]), 2,(IF(Table2[[#This Row],[Need_EIS]]="No", 0, (IF(AND(Table2[[#This Row],[Need_EIS]]="Yes",  Table2[[#This Row],[EIS_pub_date]]=""),1, 0)))))</f>
        <v>0</v>
      </c>
      <c r="AP30" s="41">
        <f>IF(ISBLANK(Table2[[#This Row],[Need_DON]]), 2,(IF(Table2[[#This Row],[Need_DON]]="No", 0, (IF(AND(Table2[[#This Row],[Need_DON]]="Yes",  Table2[[#This Row],[DON_pub_date]]=""),1, 0)))))</f>
        <v>0</v>
      </c>
      <c r="AQ30" s="41">
        <f>IF(ISBLANK(Table2[[#This Row],[Pending_question]]), 2,(IF(Table2[[#This Row],[Pending_question]]="Yes", 1, 0)))</f>
        <v>0</v>
      </c>
      <c r="AR30" s="42">
        <v>44421</v>
      </c>
    </row>
    <row r="31" spans="1:44" ht="15" customHeight="1">
      <c r="A31" s="63">
        <v>44426</v>
      </c>
      <c r="B31" s="24" t="s">
        <v>15</v>
      </c>
      <c r="C31" s="33" t="str" cm="1">
        <f t="array" ref="C3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1" s="27" t="s">
        <v>552</v>
      </c>
      <c r="E31" s="58" t="s">
        <v>252</v>
      </c>
      <c r="F31" s="29" t="s">
        <v>328</v>
      </c>
      <c r="G31" s="29" t="s">
        <v>34</v>
      </c>
      <c r="H31" s="59">
        <v>44426</v>
      </c>
      <c r="I31" s="59"/>
      <c r="J31" s="59">
        <v>42992</v>
      </c>
      <c r="K31" s="59" t="s">
        <v>553</v>
      </c>
      <c r="L31" s="60" t="s">
        <v>554</v>
      </c>
      <c r="M31" s="70" t="s">
        <v>19</v>
      </c>
      <c r="N31" s="55"/>
      <c r="O31" s="71"/>
      <c r="P31" s="83" t="s">
        <v>30</v>
      </c>
      <c r="Q31" s="84"/>
      <c r="R31" s="29" t="s">
        <v>555</v>
      </c>
      <c r="S31" s="59">
        <v>44420</v>
      </c>
      <c r="T31" s="59"/>
      <c r="U31" s="59">
        <v>44433</v>
      </c>
      <c r="V31" s="59"/>
      <c r="W31" s="59"/>
      <c r="X31" s="85"/>
      <c r="Y31" s="58" t="s">
        <v>471</v>
      </c>
      <c r="Z31" s="29"/>
      <c r="AA31" s="29"/>
      <c r="AB31" s="29" t="s">
        <v>556</v>
      </c>
      <c r="AC31" s="29"/>
      <c r="AD31" s="59"/>
      <c r="AE31" s="29"/>
      <c r="AF31" s="29"/>
      <c r="AG31" s="29"/>
      <c r="AH31" s="85">
        <v>44456</v>
      </c>
      <c r="AI31" s="58" t="s">
        <v>471</v>
      </c>
      <c r="AJ31" s="143"/>
      <c r="AK31" s="86">
        <v>44470</v>
      </c>
      <c r="AL31" s="349" t="s">
        <v>557</v>
      </c>
      <c r="AM31" s="350" t="str">
        <f>VLOOKUP(Table2[[#This Row],[country]],Countrycode!A:B,2,FALSE)</f>
        <v>NGA</v>
      </c>
      <c r="AN31" s="350">
        <f>IF(ISBLANK(Table2[[#This Row],[Need_RRA]]), 2,(IF(Table2[[#This Row],[Need_RRA]]="No", 0, (IF(AND(Table2[[#This Row],[Need_RRA]]="Yes",  Table2[[#This Row],[RRA_pub_date]]=""),1, 0)))))</f>
        <v>0</v>
      </c>
      <c r="AO31" s="350">
        <f>IF(ISBLANK(Table2[[#This Row],[Need_EIS]]), 2,(IF(Table2[[#This Row],[Need_EIS]]="No", 0, (IF(AND(Table2[[#This Row],[Need_EIS]]="Yes",  Table2[[#This Row],[EIS_pub_date]]=""),1, 0)))))</f>
        <v>0</v>
      </c>
      <c r="AP31" s="350">
        <f>IF(ISBLANK(Table2[[#This Row],[Need_DON]]), 2,(IF(Table2[[#This Row],[Need_DON]]="No", 0, (IF(AND(Table2[[#This Row],[Need_DON]]="Yes",  Table2[[#This Row],[DON_pub_date]]=""),1, 0)))))</f>
        <v>0</v>
      </c>
      <c r="AQ31" s="350">
        <f>IF(ISBLANK(Table2[[#This Row],[Pending_question]]), 2,(IF(Table2[[#This Row],[Pending_question]]="Yes", 1, 0)))</f>
        <v>0</v>
      </c>
      <c r="AR31" s="42">
        <v>44399</v>
      </c>
    </row>
    <row r="32" spans="1:44" ht="15" customHeight="1">
      <c r="A32" s="63">
        <v>44430</v>
      </c>
      <c r="B32" s="24" t="s">
        <v>15</v>
      </c>
      <c r="C32" s="33" t="str" cm="1">
        <f t="array" ref="C3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2" s="27" t="s">
        <v>464</v>
      </c>
      <c r="E32" s="58" t="s">
        <v>104</v>
      </c>
      <c r="F32" s="29" t="s">
        <v>173</v>
      </c>
      <c r="G32" s="29" t="s">
        <v>34</v>
      </c>
      <c r="H32" s="59">
        <v>44430</v>
      </c>
      <c r="I32" s="59"/>
      <c r="J32" s="59"/>
      <c r="K32" s="59"/>
      <c r="L32" s="60"/>
      <c r="M32" s="70" t="s">
        <v>19</v>
      </c>
      <c r="N32" s="55"/>
      <c r="O32" s="71"/>
      <c r="P32" s="83" t="s">
        <v>19</v>
      </c>
      <c r="Q32" s="185" t="s">
        <v>34</v>
      </c>
      <c r="R32" s="29" t="s">
        <v>483</v>
      </c>
      <c r="S32" s="29"/>
      <c r="T32" s="59"/>
      <c r="U32" s="29"/>
      <c r="V32" s="29"/>
      <c r="W32" s="29"/>
      <c r="X32" s="27"/>
      <c r="Y32" s="58" t="s">
        <v>471</v>
      </c>
      <c r="Z32" s="29"/>
      <c r="AA32" s="29"/>
      <c r="AB32" s="29" t="s">
        <v>558</v>
      </c>
      <c r="AC32" s="29"/>
      <c r="AD32" s="59"/>
      <c r="AE32" s="29"/>
      <c r="AF32" s="29"/>
      <c r="AG32" s="29"/>
      <c r="AH32" s="85">
        <v>44433</v>
      </c>
      <c r="AI32" s="58" t="s">
        <v>457</v>
      </c>
      <c r="AJ32" s="143"/>
      <c r="AK32" s="28"/>
      <c r="AL32" s="102"/>
      <c r="AM32" s="41" t="str">
        <f>VLOOKUP(Table2[[#This Row],[country]],Countrycode!A:B,2,FALSE)</f>
        <v>CHN</v>
      </c>
      <c r="AN32" s="41">
        <f>IF(ISBLANK(Table2[[#This Row],[Need_RRA]]), 2,(IF(Table2[[#This Row],[Need_RRA]]="No", 0, (IF(AND(Table2[[#This Row],[Need_RRA]]="Yes",  Table2[[#This Row],[RRA_pub_date]]=""),1, 0)))))</f>
        <v>0</v>
      </c>
      <c r="AO32" s="41">
        <f>IF(ISBLANK(Table2[[#This Row],[Need_EIS]]), 2,(IF(Table2[[#This Row],[Need_EIS]]="No", 0, (IF(AND(Table2[[#This Row],[Need_EIS]]="Yes",  Table2[[#This Row],[EIS_pub_date]]=""),1, 0)))))</f>
        <v>0</v>
      </c>
      <c r="AP32" s="41">
        <f>IF(ISBLANK(Table2[[#This Row],[Need_DON]]), 2,(IF(Table2[[#This Row],[Need_DON]]="No", 0, (IF(AND(Table2[[#This Row],[Need_DON]]="Yes",  Table2[[#This Row],[DON_pub_date]]=""),1, 0)))))</f>
        <v>0</v>
      </c>
      <c r="AQ32" s="41">
        <f>IF(ISBLANK(Table2[[#This Row],[Pending_question]]), 2,(IF(Table2[[#This Row],[Pending_question]]="Yes", 1, 0)))</f>
        <v>0</v>
      </c>
      <c r="AR32" s="42">
        <v>44430</v>
      </c>
    </row>
    <row r="33" spans="1:44" ht="15" customHeight="1">
      <c r="A33" s="63">
        <v>44431</v>
      </c>
      <c r="B33" s="24" t="s">
        <v>15</v>
      </c>
      <c r="C33" s="33" t="str" cm="1">
        <f t="array" ref="C3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3" s="27" t="s">
        <v>559</v>
      </c>
      <c r="E33" s="58" t="s">
        <v>104</v>
      </c>
      <c r="F33" s="29" t="s">
        <v>173</v>
      </c>
      <c r="G33" s="29" t="s">
        <v>34</v>
      </c>
      <c r="H33" s="59">
        <v>44431</v>
      </c>
      <c r="I33" s="59"/>
      <c r="J33" s="59"/>
      <c r="K33" s="59"/>
      <c r="L33" s="60"/>
      <c r="M33" s="70" t="s">
        <v>19</v>
      </c>
      <c r="N33" s="55"/>
      <c r="O33" s="71"/>
      <c r="P33" s="83" t="s">
        <v>19</v>
      </c>
      <c r="Q33" s="185" t="s">
        <v>34</v>
      </c>
      <c r="R33" s="29" t="s">
        <v>483</v>
      </c>
      <c r="S33" s="29"/>
      <c r="T33" s="59"/>
      <c r="U33" s="29"/>
      <c r="V33" s="29"/>
      <c r="W33" s="29"/>
      <c r="X33" s="27"/>
      <c r="Y33" s="58" t="s">
        <v>471</v>
      </c>
      <c r="Z33" s="29"/>
      <c r="AA33" s="29"/>
      <c r="AB33" s="29" t="s">
        <v>560</v>
      </c>
      <c r="AC33" s="29"/>
      <c r="AD33" s="59"/>
      <c r="AE33" s="29"/>
      <c r="AF33" s="29"/>
      <c r="AG33" s="29"/>
      <c r="AH33" s="85">
        <v>44438</v>
      </c>
      <c r="AI33" s="58" t="s">
        <v>457</v>
      </c>
      <c r="AJ33" s="143"/>
      <c r="AK33" s="28"/>
      <c r="AL33" s="102" t="s">
        <v>561</v>
      </c>
      <c r="AM33" s="41" t="str">
        <f>VLOOKUP(Table2[[#This Row],[country]],Countrycode!A:B,2,FALSE)</f>
        <v>CHN</v>
      </c>
      <c r="AN33" s="41">
        <f>IF(ISBLANK(Table2[[#This Row],[Need_RRA]]), 2,(IF(Table2[[#This Row],[Need_RRA]]="No", 0, (IF(AND(Table2[[#This Row],[Need_RRA]]="Yes",  Table2[[#This Row],[RRA_pub_date]]=""),1, 0)))))</f>
        <v>0</v>
      </c>
      <c r="AO33" s="41">
        <f>IF(ISBLANK(Table2[[#This Row],[Need_EIS]]), 2,(IF(Table2[[#This Row],[Need_EIS]]="No", 0, (IF(AND(Table2[[#This Row],[Need_EIS]]="Yes",  Table2[[#This Row],[EIS_pub_date]]=""),1, 0)))))</f>
        <v>0</v>
      </c>
      <c r="AP33" s="41">
        <f>IF(ISBLANK(Table2[[#This Row],[Need_DON]]), 2,(IF(Table2[[#This Row],[Need_DON]]="No", 0, (IF(AND(Table2[[#This Row],[Need_DON]]="Yes",  Table2[[#This Row],[DON_pub_date]]=""),1, 0)))))</f>
        <v>0</v>
      </c>
      <c r="AQ33" s="41">
        <f>IF(ISBLANK(Table2[[#This Row],[Pending_question]]), 2,(IF(Table2[[#This Row],[Pending_question]]="Yes", 1, 0)))</f>
        <v>0</v>
      </c>
      <c r="AR33" s="42">
        <v>44432</v>
      </c>
    </row>
    <row r="34" spans="1:44" ht="15" customHeight="1">
      <c r="A34" s="63">
        <v>44435</v>
      </c>
      <c r="B34" s="24" t="s">
        <v>15</v>
      </c>
      <c r="C34" s="33" t="str" cm="1">
        <f t="array" ref="C3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4" s="27" t="s">
        <v>456</v>
      </c>
      <c r="E34" s="58" t="s">
        <v>529</v>
      </c>
      <c r="F34" s="29" t="s">
        <v>376</v>
      </c>
      <c r="G34" s="29" t="s">
        <v>34</v>
      </c>
      <c r="H34" s="59">
        <v>44435</v>
      </c>
      <c r="I34" s="59"/>
      <c r="J34" s="59">
        <v>43245</v>
      </c>
      <c r="K34" s="59" t="s">
        <v>562</v>
      </c>
      <c r="L34" s="60"/>
      <c r="M34" s="70" t="s">
        <v>19</v>
      </c>
      <c r="N34" s="55"/>
      <c r="O34" s="71"/>
      <c r="P34" s="83" t="s">
        <v>30</v>
      </c>
      <c r="Q34" s="84"/>
      <c r="R34" s="29" t="s">
        <v>563</v>
      </c>
      <c r="S34" s="59">
        <v>44438</v>
      </c>
      <c r="T34" s="59"/>
      <c r="U34" s="59">
        <v>44447</v>
      </c>
      <c r="V34" s="59"/>
      <c r="W34" s="59"/>
      <c r="X34" s="85"/>
      <c r="Y34" s="58" t="s">
        <v>471</v>
      </c>
      <c r="Z34" s="29"/>
      <c r="AA34" s="29"/>
      <c r="AB34" s="29" t="s">
        <v>564</v>
      </c>
      <c r="AC34" s="29"/>
      <c r="AD34" s="59"/>
      <c r="AE34" s="29"/>
      <c r="AF34" s="29"/>
      <c r="AG34" s="29"/>
      <c r="AH34" s="85">
        <v>44468</v>
      </c>
      <c r="AI34" s="58" t="s">
        <v>457</v>
      </c>
      <c r="AJ34" s="143"/>
      <c r="AK34" s="28"/>
      <c r="AL34" s="102"/>
      <c r="AM34" s="41" t="str">
        <f>VLOOKUP(Table2[[#This Row],[country]],Countrycode!A:B,2,FALSE)</f>
        <v>SSD</v>
      </c>
      <c r="AN34" s="41">
        <f>IF(ISBLANK(Table2[[#This Row],[Need_RRA]]), 2,(IF(Table2[[#This Row],[Need_RRA]]="No", 0, (IF(AND(Table2[[#This Row],[Need_RRA]]="Yes",  Table2[[#This Row],[RRA_pub_date]]=""),1, 0)))))</f>
        <v>0</v>
      </c>
      <c r="AO34" s="41">
        <f>IF(ISBLANK(Table2[[#This Row],[Need_EIS]]), 2,(IF(Table2[[#This Row],[Need_EIS]]="No", 0, (IF(AND(Table2[[#This Row],[Need_EIS]]="Yes",  Table2[[#This Row],[EIS_pub_date]]=""),1, 0)))))</f>
        <v>0</v>
      </c>
      <c r="AP34" s="41">
        <f>IF(ISBLANK(Table2[[#This Row],[Need_DON]]), 2,(IF(Table2[[#This Row],[Need_DON]]="No", 0, (IF(AND(Table2[[#This Row],[Need_DON]]="Yes",  Table2[[#This Row],[DON_pub_date]]=""),1, 0)))))</f>
        <v>0</v>
      </c>
      <c r="AQ34" s="41">
        <f>IF(ISBLANK(Table2[[#This Row],[Pending_question]]), 2,(IF(Table2[[#This Row],[Pending_question]]="Yes", 1, 0)))</f>
        <v>0</v>
      </c>
      <c r="AR34" s="42">
        <v>44310</v>
      </c>
    </row>
    <row r="35" spans="1:44" ht="15" customHeight="1">
      <c r="A35" s="63">
        <v>44439</v>
      </c>
      <c r="B35" s="24" t="s">
        <v>15</v>
      </c>
      <c r="C35" s="33" t="str" cm="1">
        <f t="array" ref="C3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5" s="27" t="s">
        <v>464</v>
      </c>
      <c r="E35" s="58" t="s">
        <v>110</v>
      </c>
      <c r="F35" s="29" t="s">
        <v>173</v>
      </c>
      <c r="G35" s="29" t="s">
        <v>34</v>
      </c>
      <c r="H35" s="59">
        <v>44439</v>
      </c>
      <c r="I35" s="59"/>
      <c r="J35" s="59"/>
      <c r="K35" s="59"/>
      <c r="L35" s="60"/>
      <c r="M35" s="70" t="s">
        <v>19</v>
      </c>
      <c r="N35" s="55"/>
      <c r="O35" s="71"/>
      <c r="P35" s="83" t="s">
        <v>19</v>
      </c>
      <c r="Q35" s="185" t="s">
        <v>34</v>
      </c>
      <c r="R35" s="29" t="s">
        <v>483</v>
      </c>
      <c r="S35" s="29"/>
      <c r="T35" s="59"/>
      <c r="U35" s="29"/>
      <c r="V35" s="29"/>
      <c r="W35" s="29"/>
      <c r="X35" s="27"/>
      <c r="Y35" s="58" t="s">
        <v>471</v>
      </c>
      <c r="Z35" s="29"/>
      <c r="AA35" s="29"/>
      <c r="AB35" s="29" t="s">
        <v>565</v>
      </c>
      <c r="AC35" s="29"/>
      <c r="AD35" s="59"/>
      <c r="AE35" s="29"/>
      <c r="AF35" s="29"/>
      <c r="AG35" s="29"/>
      <c r="AH35" s="85">
        <v>44410</v>
      </c>
      <c r="AI35" s="58" t="s">
        <v>457</v>
      </c>
      <c r="AJ35" s="143"/>
      <c r="AK35" s="28"/>
      <c r="AL35" s="102"/>
      <c r="AM35" s="41" t="str">
        <f>VLOOKUP(Table2[[#This Row],[country]],Countrycode!A:B,2,FALSE)</f>
        <v>CHN</v>
      </c>
      <c r="AN35" s="41">
        <f>IF(ISBLANK(Table2[[#This Row],[Need_RRA]]), 2,(IF(Table2[[#This Row],[Need_RRA]]="No", 0, (IF(AND(Table2[[#This Row],[Need_RRA]]="Yes",  Table2[[#This Row],[RRA_pub_date]]=""),1, 0)))))</f>
        <v>0</v>
      </c>
      <c r="AO35" s="41">
        <f>IF(ISBLANK(Table2[[#This Row],[Need_EIS]]), 2,(IF(Table2[[#This Row],[Need_EIS]]="No", 0, (IF(AND(Table2[[#This Row],[Need_EIS]]="Yes",  Table2[[#This Row],[EIS_pub_date]]=""),1, 0)))))</f>
        <v>0</v>
      </c>
      <c r="AP35" s="41">
        <f>IF(ISBLANK(Table2[[#This Row],[Need_DON]]), 2,(IF(Table2[[#This Row],[Need_DON]]="No", 0, (IF(AND(Table2[[#This Row],[Need_DON]]="Yes",  Table2[[#This Row],[DON_pub_date]]=""),1, 0)))))</f>
        <v>0</v>
      </c>
      <c r="AQ35" s="41">
        <f>IF(ISBLANK(Table2[[#This Row],[Pending_question]]), 2,(IF(Table2[[#This Row],[Pending_question]]="Yes", 1, 0)))</f>
        <v>0</v>
      </c>
      <c r="AR35" s="42">
        <v>44439</v>
      </c>
    </row>
    <row r="36" spans="1:44" ht="15" customHeight="1">
      <c r="A36" s="63">
        <v>44441</v>
      </c>
      <c r="B36" s="24" t="s">
        <v>15</v>
      </c>
      <c r="C36" s="33" t="str" cm="1">
        <f t="array" ref="C3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6" s="28" t="s">
        <v>543</v>
      </c>
      <c r="E36" s="58" t="s">
        <v>566</v>
      </c>
      <c r="F36" s="58" t="s">
        <v>300</v>
      </c>
      <c r="G36" s="58" t="s">
        <v>34</v>
      </c>
      <c r="H36" s="83">
        <v>44441</v>
      </c>
      <c r="I36" s="83"/>
      <c r="J36" s="83">
        <v>44442</v>
      </c>
      <c r="K36" s="83" t="s">
        <v>567</v>
      </c>
      <c r="L36" s="355"/>
      <c r="M36" s="70" t="s">
        <v>19</v>
      </c>
      <c r="N36" s="55"/>
      <c r="O36" s="71"/>
      <c r="P36" s="83" t="s">
        <v>30</v>
      </c>
      <c r="Q36" s="376"/>
      <c r="R36" s="83" t="s">
        <v>568</v>
      </c>
      <c r="S36" s="55">
        <v>44442</v>
      </c>
      <c r="T36" s="87"/>
      <c r="U36" s="87">
        <v>44443</v>
      </c>
      <c r="V36" s="83"/>
      <c r="W36" s="83"/>
      <c r="X36" s="86"/>
      <c r="Y36" s="83" t="s">
        <v>471</v>
      </c>
      <c r="Z36" s="83"/>
      <c r="AA36" s="83"/>
      <c r="AB36" s="58" t="s">
        <v>569</v>
      </c>
      <c r="AC36" s="58"/>
      <c r="AD36" s="83"/>
      <c r="AE36" s="58"/>
      <c r="AF36" s="58"/>
      <c r="AG36" s="58"/>
      <c r="AH36" s="86">
        <v>44460</v>
      </c>
      <c r="AI36" s="58" t="s">
        <v>471</v>
      </c>
      <c r="AJ36" s="143"/>
      <c r="AK36" s="86">
        <v>44453</v>
      </c>
      <c r="AL36" s="102"/>
      <c r="AM36" s="41" t="str">
        <f>VLOOKUP(Table2[[#This Row],[country]],Countrycode!A:B,2,FALSE)</f>
        <v>MDG</v>
      </c>
      <c r="AN36" s="41">
        <f>IF(ISBLANK(Table2[[#This Row],[Need_RRA]]), 2,(IF(Table2[[#This Row],[Need_RRA]]="No", 0, (IF(AND(Table2[[#This Row],[Need_RRA]]="Yes",  Table2[[#This Row],[RRA_pub_date]]=""),1, 0)))))</f>
        <v>0</v>
      </c>
      <c r="AO36" s="41">
        <f>IF(ISBLANK(Table2[[#This Row],[Need_EIS]]), 2,(IF(Table2[[#This Row],[Need_EIS]]="No", 0, (IF(AND(Table2[[#This Row],[Need_EIS]]="Yes",  Table2[[#This Row],[EIS_pub_date]]=""),1, 0)))))</f>
        <v>0</v>
      </c>
      <c r="AP36" s="41">
        <f>IF(ISBLANK(Table2[[#This Row],[Need_DON]]), 2,(IF(Table2[[#This Row],[Need_DON]]="No", 0, (IF(AND(Table2[[#This Row],[Need_DON]]="Yes",  Table2[[#This Row],[DON_pub_date]]=""),1, 0)))))</f>
        <v>0</v>
      </c>
      <c r="AQ36" s="41">
        <f>IF(ISBLANK(Table2[[#This Row],[Pending_question]]), 2,(IF(Table2[[#This Row],[Pending_question]]="Yes", 1, 0)))</f>
        <v>0</v>
      </c>
      <c r="AR36" s="42">
        <v>44442</v>
      </c>
    </row>
    <row r="37" spans="1:44" ht="15" customHeight="1">
      <c r="A37" s="63">
        <v>44444</v>
      </c>
      <c r="B37" s="24" t="s">
        <v>15</v>
      </c>
      <c r="C37" s="33" t="str" cm="1">
        <f t="array" ref="C3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7" s="27" t="s">
        <v>570</v>
      </c>
      <c r="E37" s="58" t="s">
        <v>188</v>
      </c>
      <c r="F37" s="29" t="s">
        <v>274</v>
      </c>
      <c r="G37" s="29" t="s">
        <v>34</v>
      </c>
      <c r="H37" s="59">
        <v>44444</v>
      </c>
      <c r="I37" s="59"/>
      <c r="J37" s="59">
        <v>44445</v>
      </c>
      <c r="K37" s="59" t="s">
        <v>571</v>
      </c>
      <c r="L37" s="60"/>
      <c r="M37" s="70" t="s">
        <v>19</v>
      </c>
      <c r="N37" s="55"/>
      <c r="O37" s="71"/>
      <c r="P37" s="83" t="s">
        <v>30</v>
      </c>
      <c r="Q37" s="186"/>
      <c r="R37" s="29" t="s">
        <v>572</v>
      </c>
      <c r="S37" s="59">
        <v>44453</v>
      </c>
      <c r="T37" s="59"/>
      <c r="U37" s="59">
        <v>44454</v>
      </c>
      <c r="V37" s="59"/>
      <c r="W37" s="59"/>
      <c r="X37" s="85"/>
      <c r="Y37" s="58" t="s">
        <v>471</v>
      </c>
      <c r="Z37" s="29"/>
      <c r="AA37" s="29"/>
      <c r="AB37" s="29" t="s">
        <v>573</v>
      </c>
      <c r="AC37" s="29"/>
      <c r="AD37" s="59"/>
      <c r="AE37" s="29"/>
      <c r="AF37" s="29"/>
      <c r="AG37" s="29"/>
      <c r="AH37" s="85">
        <v>44460</v>
      </c>
      <c r="AI37" s="58" t="s">
        <v>471</v>
      </c>
      <c r="AJ37" s="143"/>
      <c r="AK37" s="86">
        <v>44461</v>
      </c>
      <c r="AL37" s="102" t="s">
        <v>574</v>
      </c>
      <c r="AM37" s="41" t="str">
        <f>VLOOKUP(Table2[[#This Row],[country]],Countrycode!A:B,2,FALSE)</f>
        <v>IND</v>
      </c>
      <c r="AN37" s="41">
        <f>IF(ISBLANK(Table2[[#This Row],[Need_RRA]]), 2,(IF(Table2[[#This Row],[Need_RRA]]="No", 0, (IF(AND(Table2[[#This Row],[Need_RRA]]="Yes",  Table2[[#This Row],[RRA_pub_date]]=""),1, 0)))))</f>
        <v>0</v>
      </c>
      <c r="AO37" s="41">
        <f>IF(ISBLANK(Table2[[#This Row],[Need_EIS]]), 2,(IF(Table2[[#This Row],[Need_EIS]]="No", 0, (IF(AND(Table2[[#This Row],[Need_EIS]]="Yes",  Table2[[#This Row],[EIS_pub_date]]=""),1, 0)))))</f>
        <v>0</v>
      </c>
      <c r="AP37" s="41">
        <f>IF(ISBLANK(Table2[[#This Row],[Need_DON]]), 2,(IF(Table2[[#This Row],[Need_DON]]="No", 0, (IF(AND(Table2[[#This Row],[Need_DON]]="Yes",  Table2[[#This Row],[DON_pub_date]]=""),1, 0)))))</f>
        <v>0</v>
      </c>
      <c r="AQ37" s="41">
        <f>IF(ISBLANK(Table2[[#This Row],[Pending_question]]), 2,(IF(Table2[[#This Row],[Pending_question]]="Yes", 1, 0)))</f>
        <v>0</v>
      </c>
      <c r="AR37" s="42">
        <v>44444</v>
      </c>
    </row>
    <row r="38" spans="1:44" ht="15" customHeight="1">
      <c r="A38" s="63">
        <v>44446</v>
      </c>
      <c r="B38" s="24" t="s">
        <v>15</v>
      </c>
      <c r="C38" s="33" t="str" cm="1">
        <f t="array" ref="C3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8" s="27" t="s">
        <v>575</v>
      </c>
      <c r="E38" s="58" t="s">
        <v>576</v>
      </c>
      <c r="F38" s="29" t="s">
        <v>208</v>
      </c>
      <c r="G38" s="29" t="s">
        <v>34</v>
      </c>
      <c r="H38" s="59"/>
      <c r="I38" s="59"/>
      <c r="J38" s="59"/>
      <c r="K38" s="59" t="s">
        <v>577</v>
      </c>
      <c r="L38" s="60"/>
      <c r="M38" s="70" t="s">
        <v>19</v>
      </c>
      <c r="N38" s="55"/>
      <c r="O38" s="71"/>
      <c r="P38" s="83" t="s">
        <v>30</v>
      </c>
      <c r="Q38" s="186"/>
      <c r="R38" s="29" t="s">
        <v>578</v>
      </c>
      <c r="S38" s="59">
        <v>44446</v>
      </c>
      <c r="T38" s="59"/>
      <c r="U38" s="59">
        <v>44452</v>
      </c>
      <c r="V38" s="59"/>
      <c r="W38" s="59"/>
      <c r="X38" s="85"/>
      <c r="Y38" s="58" t="s">
        <v>471</v>
      </c>
      <c r="Z38" s="29"/>
      <c r="AA38" s="29"/>
      <c r="AB38" s="29" t="s">
        <v>579</v>
      </c>
      <c r="AC38" s="29"/>
      <c r="AD38" s="59"/>
      <c r="AE38" s="29"/>
      <c r="AF38" s="29"/>
      <c r="AG38" s="29"/>
      <c r="AH38" s="85">
        <v>44451</v>
      </c>
      <c r="AI38" s="58" t="s">
        <v>471</v>
      </c>
      <c r="AJ38" s="143"/>
      <c r="AK38" s="86">
        <v>44454</v>
      </c>
      <c r="AL38" s="102"/>
      <c r="AM38" s="41" t="str">
        <f>VLOOKUP(Table2[[#This Row],[country]],Countrycode!A:B,2,FALSE)</f>
        <v>COD</v>
      </c>
      <c r="AN38" s="41">
        <f>IF(ISBLANK(Table2[[#This Row],[Need_RRA]]), 2,(IF(Table2[[#This Row],[Need_RRA]]="No", 0, (IF(AND(Table2[[#This Row],[Need_RRA]]="Yes",  Table2[[#This Row],[RRA_pub_date]]=""),1, 0)))))</f>
        <v>0</v>
      </c>
      <c r="AO38" s="41">
        <f>IF(ISBLANK(Table2[[#This Row],[Need_EIS]]), 2,(IF(Table2[[#This Row],[Need_EIS]]="No", 0, (IF(AND(Table2[[#This Row],[Need_EIS]]="Yes",  Table2[[#This Row],[EIS_pub_date]]=""),1, 0)))))</f>
        <v>0</v>
      </c>
      <c r="AP38" s="41">
        <f>IF(ISBLANK(Table2[[#This Row],[Need_DON]]), 2,(IF(Table2[[#This Row],[Need_DON]]="No", 0, (IF(AND(Table2[[#This Row],[Need_DON]]="Yes",  Table2[[#This Row],[DON_pub_date]]=""),1, 0)))))</f>
        <v>0</v>
      </c>
      <c r="AQ38" s="41">
        <f>IF(ISBLANK(Table2[[#This Row],[Pending_question]]), 2,(IF(Table2[[#This Row],[Pending_question]]="Yes", 1, 0)))</f>
        <v>0</v>
      </c>
      <c r="AR38" s="42">
        <v>44407</v>
      </c>
    </row>
    <row r="39" spans="1:44" ht="15" customHeight="1">
      <c r="A39" s="63">
        <v>44447</v>
      </c>
      <c r="B39" s="24" t="s">
        <v>15</v>
      </c>
      <c r="C39" s="33" t="str" cm="1">
        <f t="array" ref="C3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9" s="27" t="s">
        <v>580</v>
      </c>
      <c r="E39" s="58" t="s">
        <v>104</v>
      </c>
      <c r="F39" s="29" t="s">
        <v>173</v>
      </c>
      <c r="G39" s="29" t="s">
        <v>34</v>
      </c>
      <c r="H39" s="59">
        <v>44447</v>
      </c>
      <c r="I39" s="59"/>
      <c r="J39" s="59"/>
      <c r="K39" s="59"/>
      <c r="L39" s="60"/>
      <c r="M39" s="70" t="s">
        <v>19</v>
      </c>
      <c r="N39" s="55"/>
      <c r="O39" s="71"/>
      <c r="P39" s="83" t="s">
        <v>19</v>
      </c>
      <c r="Q39" s="82" t="s">
        <v>34</v>
      </c>
      <c r="R39" s="29"/>
      <c r="S39" s="29"/>
      <c r="T39" s="59"/>
      <c r="U39" s="29"/>
      <c r="V39" s="29"/>
      <c r="W39" s="29"/>
      <c r="X39" s="27"/>
      <c r="Y39" s="58" t="s">
        <v>471</v>
      </c>
      <c r="Z39" s="29"/>
      <c r="AA39" s="29"/>
      <c r="AB39" s="29" t="s">
        <v>581</v>
      </c>
      <c r="AC39" s="29"/>
      <c r="AD39" s="59"/>
      <c r="AE39" s="29"/>
      <c r="AF39" s="29"/>
      <c r="AG39" s="29"/>
      <c r="AH39" s="85">
        <v>44452</v>
      </c>
      <c r="AI39" s="58" t="s">
        <v>457</v>
      </c>
      <c r="AJ39" s="143"/>
      <c r="AK39" s="28"/>
      <c r="AL39" s="102"/>
      <c r="AM39" s="41" t="str">
        <f>VLOOKUP(Table2[[#This Row],[country]],Countrycode!A:B,2,FALSE)</f>
        <v>CHN</v>
      </c>
      <c r="AN39" s="41">
        <f>IF(ISBLANK(Table2[[#This Row],[Need_RRA]]), 2,(IF(Table2[[#This Row],[Need_RRA]]="No", 0, (IF(AND(Table2[[#This Row],[Need_RRA]]="Yes",  Table2[[#This Row],[RRA_pub_date]]=""),1, 0)))))</f>
        <v>0</v>
      </c>
      <c r="AO39" s="41">
        <f>IF(ISBLANK(Table2[[#This Row],[Need_EIS]]), 2,(IF(Table2[[#This Row],[Need_EIS]]="No", 0, (IF(AND(Table2[[#This Row],[Need_EIS]]="Yes",  Table2[[#This Row],[EIS_pub_date]]=""),1, 0)))))</f>
        <v>0</v>
      </c>
      <c r="AP39" s="41">
        <f>IF(ISBLANK(Table2[[#This Row],[Need_DON]]), 2,(IF(Table2[[#This Row],[Need_DON]]="No", 0, (IF(AND(Table2[[#This Row],[Need_DON]]="Yes",  Table2[[#This Row],[DON_pub_date]]=""),1, 0)))))</f>
        <v>0</v>
      </c>
      <c r="AQ39" s="41">
        <f>IF(ISBLANK(Table2[[#This Row],[Pending_question]]), 2,(IF(Table2[[#This Row],[Pending_question]]="Yes", 1, 0)))</f>
        <v>0</v>
      </c>
      <c r="AR39" s="42">
        <v>44447</v>
      </c>
    </row>
    <row r="40" spans="1:44" ht="15" customHeight="1">
      <c r="A40" s="63">
        <v>44455</v>
      </c>
      <c r="B40" s="24" t="s">
        <v>15</v>
      </c>
      <c r="C40" s="33" t="str" cm="1">
        <f t="array" ref="C4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0" s="27" t="s">
        <v>464</v>
      </c>
      <c r="E40" s="58" t="s">
        <v>110</v>
      </c>
      <c r="F40" s="29" t="s">
        <v>173</v>
      </c>
      <c r="G40" s="29" t="s">
        <v>34</v>
      </c>
      <c r="H40" s="59"/>
      <c r="I40" s="59"/>
      <c r="J40" s="59"/>
      <c r="K40" s="59"/>
      <c r="L40" s="60"/>
      <c r="M40" s="70" t="s">
        <v>19</v>
      </c>
      <c r="N40" s="55"/>
      <c r="O40" s="71"/>
      <c r="P40" s="83" t="s">
        <v>19</v>
      </c>
      <c r="Q40" s="82" t="s">
        <v>34</v>
      </c>
      <c r="R40" s="29" t="s">
        <v>19</v>
      </c>
      <c r="S40" s="29"/>
      <c r="T40" s="59"/>
      <c r="U40" s="29"/>
      <c r="V40" s="29"/>
      <c r="W40" s="29"/>
      <c r="X40" s="27"/>
      <c r="Y40" s="58" t="s">
        <v>471</v>
      </c>
      <c r="Z40" s="29"/>
      <c r="AA40" s="29"/>
      <c r="AB40" s="29" t="s">
        <v>582</v>
      </c>
      <c r="AC40" s="29"/>
      <c r="AD40" s="59"/>
      <c r="AE40" s="29"/>
      <c r="AF40" s="29"/>
      <c r="AG40" s="29"/>
      <c r="AH40" s="85">
        <v>44455</v>
      </c>
      <c r="AI40" s="58" t="s">
        <v>457</v>
      </c>
      <c r="AJ40" s="143"/>
      <c r="AK40" s="28"/>
      <c r="AL40" s="102" t="s">
        <v>583</v>
      </c>
      <c r="AM40" s="41" t="str">
        <f>VLOOKUP(Table2[[#This Row],[country]],Countrycode!A:B,2,FALSE)</f>
        <v>CHN</v>
      </c>
      <c r="AN40" s="41">
        <f>IF(ISBLANK(Table2[[#This Row],[Need_RRA]]), 2,(IF(Table2[[#This Row],[Need_RRA]]="No", 0, (IF(AND(Table2[[#This Row],[Need_RRA]]="Yes",  Table2[[#This Row],[RRA_pub_date]]=""),1, 0)))))</f>
        <v>0</v>
      </c>
      <c r="AO40" s="41">
        <f>IF(ISBLANK(Table2[[#This Row],[Need_EIS]]), 2,(IF(Table2[[#This Row],[Need_EIS]]="No", 0, (IF(AND(Table2[[#This Row],[Need_EIS]]="Yes",  Table2[[#This Row],[EIS_pub_date]]=""),1, 0)))))</f>
        <v>0</v>
      </c>
      <c r="AP40" s="41">
        <f>IF(ISBLANK(Table2[[#This Row],[Need_DON]]), 2,(IF(Table2[[#This Row],[Need_DON]]="No", 0, (IF(AND(Table2[[#This Row],[Need_DON]]="Yes",  Table2[[#This Row],[DON_pub_date]]=""),1, 0)))))</f>
        <v>0</v>
      </c>
      <c r="AQ40" s="41">
        <f>IF(ISBLANK(Table2[[#This Row],[Pending_question]]), 2,(IF(Table2[[#This Row],[Pending_question]]="Yes", 1, 0)))</f>
        <v>0</v>
      </c>
      <c r="AR40" s="42"/>
    </row>
    <row r="41" spans="1:44" ht="15" customHeight="1">
      <c r="A41" s="63">
        <v>44455</v>
      </c>
      <c r="B41" s="24" t="s">
        <v>15</v>
      </c>
      <c r="C41" s="33" t="str" cm="1">
        <f t="array" ref="C4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1" s="27" t="s">
        <v>464</v>
      </c>
      <c r="E41" s="58" t="s">
        <v>104</v>
      </c>
      <c r="F41" s="29" t="s">
        <v>173</v>
      </c>
      <c r="G41" s="29" t="s">
        <v>34</v>
      </c>
      <c r="H41" s="59"/>
      <c r="I41" s="59"/>
      <c r="J41" s="59"/>
      <c r="K41" s="59"/>
      <c r="L41" s="60"/>
      <c r="M41" s="70" t="s">
        <v>19</v>
      </c>
      <c r="N41" s="55"/>
      <c r="O41" s="71"/>
      <c r="P41" s="83" t="s">
        <v>19</v>
      </c>
      <c r="Q41" s="82" t="s">
        <v>34</v>
      </c>
      <c r="R41" s="29" t="s">
        <v>19</v>
      </c>
      <c r="S41" s="29"/>
      <c r="T41" s="59"/>
      <c r="U41" s="29"/>
      <c r="V41" s="29"/>
      <c r="W41" s="29"/>
      <c r="X41" s="27"/>
      <c r="Y41" s="58" t="s">
        <v>471</v>
      </c>
      <c r="Z41" s="29"/>
      <c r="AA41" s="29"/>
      <c r="AB41" s="29" t="s">
        <v>584</v>
      </c>
      <c r="AC41" s="29"/>
      <c r="AD41" s="59"/>
      <c r="AE41" s="29"/>
      <c r="AF41" s="29"/>
      <c r="AG41" s="29"/>
      <c r="AH41" s="85">
        <v>44455</v>
      </c>
      <c r="AI41" s="58" t="s">
        <v>457</v>
      </c>
      <c r="AJ41" s="143"/>
      <c r="AK41" s="28"/>
      <c r="AL41" s="102" t="s">
        <v>583</v>
      </c>
      <c r="AM41" s="41" t="str">
        <f>VLOOKUP(Table2[[#This Row],[country]],Countrycode!A:B,2,FALSE)</f>
        <v>CHN</v>
      </c>
      <c r="AN41" s="41">
        <f>IF(ISBLANK(Table2[[#This Row],[Need_RRA]]), 2,(IF(Table2[[#This Row],[Need_RRA]]="No", 0, (IF(AND(Table2[[#This Row],[Need_RRA]]="Yes",  Table2[[#This Row],[RRA_pub_date]]=""),1, 0)))))</f>
        <v>0</v>
      </c>
      <c r="AO41" s="41">
        <f>IF(ISBLANK(Table2[[#This Row],[Need_EIS]]), 2,(IF(Table2[[#This Row],[Need_EIS]]="No", 0, (IF(AND(Table2[[#This Row],[Need_EIS]]="Yes",  Table2[[#This Row],[EIS_pub_date]]=""),1, 0)))))</f>
        <v>0</v>
      </c>
      <c r="AP41" s="41">
        <f>IF(ISBLANK(Table2[[#This Row],[Need_DON]]), 2,(IF(Table2[[#This Row],[Need_DON]]="No", 0, (IF(AND(Table2[[#This Row],[Need_DON]]="Yes",  Table2[[#This Row],[DON_pub_date]]=""),1, 0)))))</f>
        <v>0</v>
      </c>
      <c r="AQ41" s="41">
        <f>IF(ISBLANK(Table2[[#This Row],[Pending_question]]), 2,(IF(Table2[[#This Row],[Pending_question]]="Yes", 1, 0)))</f>
        <v>0</v>
      </c>
      <c r="AR41" s="42"/>
    </row>
    <row r="42" spans="1:44" ht="15" customHeight="1">
      <c r="A42" s="63">
        <v>44455</v>
      </c>
      <c r="B42" s="24" t="s">
        <v>15</v>
      </c>
      <c r="C42" s="33" t="str" cm="1">
        <f t="array" ref="C4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2" s="27" t="s">
        <v>464</v>
      </c>
      <c r="E42" s="58" t="s">
        <v>174</v>
      </c>
      <c r="F42" s="29" t="s">
        <v>265</v>
      </c>
      <c r="G42" s="29" t="s">
        <v>34</v>
      </c>
      <c r="H42" s="59"/>
      <c r="I42" s="59"/>
      <c r="J42" s="59"/>
      <c r="K42" s="59"/>
      <c r="L42" s="60"/>
      <c r="M42" s="70" t="s">
        <v>19</v>
      </c>
      <c r="N42" s="55"/>
      <c r="O42" s="71"/>
      <c r="P42" s="83" t="s">
        <v>19</v>
      </c>
      <c r="Q42" s="82" t="s">
        <v>34</v>
      </c>
      <c r="R42" s="29"/>
      <c r="S42" s="29"/>
      <c r="T42" s="59"/>
      <c r="U42" s="29"/>
      <c r="V42" s="29"/>
      <c r="W42" s="29"/>
      <c r="X42" s="27"/>
      <c r="Y42" s="58" t="s">
        <v>471</v>
      </c>
      <c r="Z42" s="29"/>
      <c r="AA42" s="29"/>
      <c r="AB42" s="29" t="s">
        <v>585</v>
      </c>
      <c r="AC42" s="29"/>
      <c r="AD42" s="59"/>
      <c r="AE42" s="29"/>
      <c r="AF42" s="29"/>
      <c r="AG42" s="29"/>
      <c r="AH42" s="85">
        <v>44455</v>
      </c>
      <c r="AI42" s="58" t="s">
        <v>471</v>
      </c>
      <c r="AJ42" s="143"/>
      <c r="AK42" s="86">
        <v>44455</v>
      </c>
      <c r="AL42" s="102" t="s">
        <v>586</v>
      </c>
      <c r="AM42" s="41" t="str">
        <f>VLOOKUP(Table2[[#This Row],[country]],Countrycode!A:B,2,FALSE)</f>
        <v>GIN</v>
      </c>
      <c r="AN42" s="41">
        <f>IF(ISBLANK(Table2[[#This Row],[Need_RRA]]), 2,(IF(Table2[[#This Row],[Need_RRA]]="No", 0, (IF(AND(Table2[[#This Row],[Need_RRA]]="Yes",  Table2[[#This Row],[RRA_pub_date]]=""),1, 0)))))</f>
        <v>0</v>
      </c>
      <c r="AO42" s="41">
        <f>IF(ISBLANK(Table2[[#This Row],[Need_EIS]]), 2,(IF(Table2[[#This Row],[Need_EIS]]="No", 0, (IF(AND(Table2[[#This Row],[Need_EIS]]="Yes",  Table2[[#This Row],[EIS_pub_date]]=""),1, 0)))))</f>
        <v>0</v>
      </c>
      <c r="AP42" s="41">
        <f>IF(ISBLANK(Table2[[#This Row],[Need_DON]]), 2,(IF(Table2[[#This Row],[Need_DON]]="No", 0, (IF(AND(Table2[[#This Row],[Need_DON]]="Yes",  Table2[[#This Row],[DON_pub_date]]=""),1, 0)))))</f>
        <v>0</v>
      </c>
      <c r="AQ42" s="41">
        <f>IF(ISBLANK(Table2[[#This Row],[Pending_question]]), 2,(IF(Table2[[#This Row],[Pending_question]]="Yes", 1, 0)))</f>
        <v>0</v>
      </c>
      <c r="AR42" s="42"/>
    </row>
    <row r="43" spans="1:44" ht="15" customHeight="1">
      <c r="A43" s="63">
        <v>44461</v>
      </c>
      <c r="B43" s="24" t="s">
        <v>15</v>
      </c>
      <c r="C43" s="33" t="str" cm="1">
        <f t="array" ref="C4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3" s="27" t="s">
        <v>459</v>
      </c>
      <c r="E43" s="58" t="s">
        <v>128</v>
      </c>
      <c r="F43" s="29" t="s">
        <v>16</v>
      </c>
      <c r="G43" s="29" t="s">
        <v>34</v>
      </c>
      <c r="H43" s="59">
        <v>44461</v>
      </c>
      <c r="I43" s="59"/>
      <c r="J43" s="59"/>
      <c r="K43" s="59" t="s">
        <v>587</v>
      </c>
      <c r="L43" s="60"/>
      <c r="M43" s="70" t="s">
        <v>19</v>
      </c>
      <c r="N43" s="55"/>
      <c r="O43" s="71"/>
      <c r="P43" s="83" t="s">
        <v>30</v>
      </c>
      <c r="Q43" s="84"/>
      <c r="R43" s="29" t="s">
        <v>588</v>
      </c>
      <c r="S43" s="59">
        <v>44481</v>
      </c>
      <c r="T43" s="59"/>
      <c r="U43" s="59">
        <v>44484</v>
      </c>
      <c r="V43" s="59"/>
      <c r="W43" s="59"/>
      <c r="X43" s="85"/>
      <c r="Y43" s="58" t="s">
        <v>457</v>
      </c>
      <c r="Z43" s="29"/>
      <c r="AA43" s="29"/>
      <c r="AB43" s="29"/>
      <c r="AC43" s="29"/>
      <c r="AD43" s="59"/>
      <c r="AE43" s="29"/>
      <c r="AF43" s="29"/>
      <c r="AG43" s="29"/>
      <c r="AH43" s="27"/>
      <c r="AI43" s="58" t="s">
        <v>457</v>
      </c>
      <c r="AJ43" s="143"/>
      <c r="AK43" s="28"/>
      <c r="AL43" s="102"/>
      <c r="AM43" s="41" t="str">
        <f>VLOOKUP(Table2[[#This Row],[country]],Countrycode!A:B,2,FALSE)</f>
        <v>AFG</v>
      </c>
      <c r="AN43" s="41">
        <f>IF(ISBLANK(Table2[[#This Row],[Need_RRA]]), 2,(IF(Table2[[#This Row],[Need_RRA]]="No", 0, (IF(AND(Table2[[#This Row],[Need_RRA]]="Yes",  Table2[[#This Row],[RRA_pub_date]]=""),1, 0)))))</f>
        <v>0</v>
      </c>
      <c r="AO43" s="41">
        <f>IF(ISBLANK(Table2[[#This Row],[Need_EIS]]), 2,(IF(Table2[[#This Row],[Need_EIS]]="No", 0, (IF(AND(Table2[[#This Row],[Need_EIS]]="Yes",  Table2[[#This Row],[EIS_pub_date]]=""),1, 0)))))</f>
        <v>0</v>
      </c>
      <c r="AP43" s="41">
        <f>IF(ISBLANK(Table2[[#This Row],[Need_DON]]), 2,(IF(Table2[[#This Row],[Need_DON]]="No", 0, (IF(AND(Table2[[#This Row],[Need_DON]]="Yes",  Table2[[#This Row],[DON_pub_date]]=""),1, 0)))))</f>
        <v>0</v>
      </c>
      <c r="AQ43" s="41">
        <f>IF(ISBLANK(Table2[[#This Row],[Pending_question]]), 2,(IF(Table2[[#This Row],[Pending_question]]="Yes", 1, 0)))</f>
        <v>0</v>
      </c>
      <c r="AR43" s="42">
        <v>44461</v>
      </c>
    </row>
    <row r="44" spans="1:44" ht="15" customHeight="1">
      <c r="A44" s="63">
        <v>44461</v>
      </c>
      <c r="B44" s="24" t="s">
        <v>15</v>
      </c>
      <c r="C44" s="33" t="str" cm="1">
        <f t="array" ref="C4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4" s="27" t="s">
        <v>506</v>
      </c>
      <c r="E44" s="58" t="s">
        <v>91</v>
      </c>
      <c r="F44" s="29" t="s">
        <v>89</v>
      </c>
      <c r="G44" s="29" t="s">
        <v>34</v>
      </c>
      <c r="H44" s="59"/>
      <c r="I44" s="59"/>
      <c r="J44" s="59"/>
      <c r="K44" s="59"/>
      <c r="L44" s="60"/>
      <c r="M44" s="70" t="s">
        <v>19</v>
      </c>
      <c r="N44" s="55"/>
      <c r="O44" s="71"/>
      <c r="P44" s="83" t="s">
        <v>19</v>
      </c>
      <c r="Q44" s="82" t="s">
        <v>34</v>
      </c>
      <c r="R44" s="29"/>
      <c r="S44" s="29"/>
      <c r="T44" s="59"/>
      <c r="U44" s="29"/>
      <c r="V44" s="29"/>
      <c r="W44" s="29"/>
      <c r="X44" s="27"/>
      <c r="Y44" s="58" t="s">
        <v>471</v>
      </c>
      <c r="Z44" s="29"/>
      <c r="AA44" s="29"/>
      <c r="AB44" s="29" t="s">
        <v>589</v>
      </c>
      <c r="AC44" s="29"/>
      <c r="AD44" s="59"/>
      <c r="AE44" s="29"/>
      <c r="AF44" s="29"/>
      <c r="AG44" s="29"/>
      <c r="AH44" s="85">
        <v>44461</v>
      </c>
      <c r="AI44" s="58" t="s">
        <v>457</v>
      </c>
      <c r="AJ44" s="143"/>
      <c r="AK44" s="28"/>
      <c r="AL44" s="102"/>
      <c r="AM44" s="41" t="str">
        <f>VLOOKUP(Table2[[#This Row],[country]],Countrycode!A:B,2,FALSE)</f>
        <v>FRA</v>
      </c>
      <c r="AN44" s="41">
        <f>IF(ISBLANK(Table2[[#This Row],[Need_RRA]]), 2,(IF(Table2[[#This Row],[Need_RRA]]="No", 0, (IF(AND(Table2[[#This Row],[Need_RRA]]="Yes",  Table2[[#This Row],[RRA_pub_date]]=""),1, 0)))))</f>
        <v>0</v>
      </c>
      <c r="AO44" s="41">
        <f>IF(ISBLANK(Table2[[#This Row],[Need_EIS]]), 2,(IF(Table2[[#This Row],[Need_EIS]]="No", 0, (IF(AND(Table2[[#This Row],[Need_EIS]]="Yes",  Table2[[#This Row],[EIS_pub_date]]=""),1, 0)))))</f>
        <v>0</v>
      </c>
      <c r="AP44" s="41">
        <f>IF(ISBLANK(Table2[[#This Row],[Need_DON]]), 2,(IF(Table2[[#This Row],[Need_DON]]="No", 0, (IF(AND(Table2[[#This Row],[Need_DON]]="Yes",  Table2[[#This Row],[DON_pub_date]]=""),1, 0)))))</f>
        <v>0</v>
      </c>
      <c r="AQ44" s="41">
        <f>IF(ISBLANK(Table2[[#This Row],[Pending_question]]), 2,(IF(Table2[[#This Row],[Pending_question]]="Yes", 1, 0)))</f>
        <v>0</v>
      </c>
      <c r="AR44" s="42"/>
    </row>
    <row r="45" spans="1:44" ht="15" customHeight="1">
      <c r="A45" s="63">
        <v>44462</v>
      </c>
      <c r="B45" s="24" t="s">
        <v>15</v>
      </c>
      <c r="C45" s="33" t="str" cm="1">
        <f t="array" ref="C4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5" s="26" t="s">
        <v>590</v>
      </c>
      <c r="E45" s="53" t="s">
        <v>104</v>
      </c>
      <c r="F45" s="29" t="s">
        <v>173</v>
      </c>
      <c r="G45" s="29" t="s">
        <v>34</v>
      </c>
      <c r="H45" s="59">
        <v>44462</v>
      </c>
      <c r="I45" s="59"/>
      <c r="J45" s="55"/>
      <c r="K45" s="59"/>
      <c r="L45" s="60"/>
      <c r="M45" s="70" t="s">
        <v>19</v>
      </c>
      <c r="N45" s="55"/>
      <c r="O45" s="71"/>
      <c r="P45" s="83" t="s">
        <v>19</v>
      </c>
      <c r="Q45" s="82" t="s">
        <v>34</v>
      </c>
      <c r="R45" s="54" t="s">
        <v>19</v>
      </c>
      <c r="S45" s="29"/>
      <c r="T45" s="59"/>
      <c r="U45" s="29"/>
      <c r="V45" s="29"/>
      <c r="W45" s="29"/>
      <c r="X45" s="27"/>
      <c r="Y45" s="58" t="s">
        <v>471</v>
      </c>
      <c r="Z45" s="29"/>
      <c r="AA45" s="29"/>
      <c r="AB45" s="54" t="s">
        <v>591</v>
      </c>
      <c r="AC45" s="29"/>
      <c r="AD45" s="59"/>
      <c r="AE45" s="29"/>
      <c r="AF45" s="29"/>
      <c r="AG45" s="29"/>
      <c r="AH45" s="85">
        <v>44466</v>
      </c>
      <c r="AI45" s="58" t="s">
        <v>457</v>
      </c>
      <c r="AJ45" s="143"/>
      <c r="AK45" s="145"/>
      <c r="AL45" s="102"/>
      <c r="AM45" s="41" t="str">
        <f>VLOOKUP(Table2[[#This Row],[country]],Countrycode!A:B,2,FALSE)</f>
        <v>CHN</v>
      </c>
      <c r="AN45" s="41">
        <f>IF(ISBLANK(Table2[[#This Row],[Need_RRA]]), 2,(IF(Table2[[#This Row],[Need_RRA]]="No", 0, (IF(AND(Table2[[#This Row],[Need_RRA]]="Yes",  Table2[[#This Row],[RRA_pub_date]]=""),1, 0)))))</f>
        <v>0</v>
      </c>
      <c r="AO45" s="41">
        <f>IF(ISBLANK(Table2[[#This Row],[Need_EIS]]), 2,(IF(Table2[[#This Row],[Need_EIS]]="No", 0, (IF(AND(Table2[[#This Row],[Need_EIS]]="Yes",  Table2[[#This Row],[EIS_pub_date]]=""),1, 0)))))</f>
        <v>0</v>
      </c>
      <c r="AP45" s="41">
        <f>IF(ISBLANK(Table2[[#This Row],[Need_DON]]), 2,(IF(Table2[[#This Row],[Need_DON]]="No", 0, (IF(AND(Table2[[#This Row],[Need_DON]]="Yes",  Table2[[#This Row],[DON_pub_date]]=""),1, 0)))))</f>
        <v>0</v>
      </c>
      <c r="AQ45" s="41">
        <f>IF(ISBLANK(Table2[[#This Row],[Pending_question]]), 2,(IF(Table2[[#This Row],[Pending_question]]="Yes", 1, 0)))</f>
        <v>0</v>
      </c>
      <c r="AR45" s="40">
        <v>44462</v>
      </c>
    </row>
    <row r="46" spans="1:44" ht="15" customHeight="1">
      <c r="A46" s="63">
        <v>44466</v>
      </c>
      <c r="B46" s="24" t="s">
        <v>15</v>
      </c>
      <c r="C46" s="33" t="str" cm="1">
        <f t="array" ref="C4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6" s="27" t="s">
        <v>464</v>
      </c>
      <c r="E46" s="58" t="s">
        <v>104</v>
      </c>
      <c r="F46" s="29" t="s">
        <v>173</v>
      </c>
      <c r="G46" s="29" t="s">
        <v>34</v>
      </c>
      <c r="H46" s="59">
        <v>44466</v>
      </c>
      <c r="I46" s="59"/>
      <c r="J46" s="59"/>
      <c r="K46" s="59"/>
      <c r="L46" s="60"/>
      <c r="M46" s="70" t="s">
        <v>19</v>
      </c>
      <c r="N46" s="55"/>
      <c r="O46" s="71"/>
      <c r="P46" s="83" t="s">
        <v>19</v>
      </c>
      <c r="Q46" s="82" t="s">
        <v>34</v>
      </c>
      <c r="R46" s="29" t="s">
        <v>19</v>
      </c>
      <c r="S46" s="29"/>
      <c r="T46" s="59"/>
      <c r="U46" s="29"/>
      <c r="V46" s="29"/>
      <c r="W46" s="29"/>
      <c r="X46" s="27"/>
      <c r="Y46" s="58" t="s">
        <v>471</v>
      </c>
      <c r="Z46" s="29"/>
      <c r="AA46" s="29"/>
      <c r="AB46" s="29" t="s">
        <v>592</v>
      </c>
      <c r="AC46" s="29"/>
      <c r="AD46" s="59"/>
      <c r="AE46" s="29"/>
      <c r="AF46" s="29"/>
      <c r="AG46" s="29"/>
      <c r="AH46" s="85">
        <v>44468</v>
      </c>
      <c r="AI46" s="58" t="s">
        <v>457</v>
      </c>
      <c r="AJ46" s="143"/>
      <c r="AK46" s="28"/>
      <c r="AL46" s="102"/>
      <c r="AM46" s="41" t="str">
        <f>VLOOKUP(Table2[[#This Row],[country]],Countrycode!A:B,2,FALSE)</f>
        <v>CHN</v>
      </c>
      <c r="AN46" s="41">
        <f>IF(ISBLANK(Table2[[#This Row],[Need_RRA]]), 2,(IF(Table2[[#This Row],[Need_RRA]]="No", 0, (IF(AND(Table2[[#This Row],[Need_RRA]]="Yes",  Table2[[#This Row],[RRA_pub_date]]=""),1, 0)))))</f>
        <v>0</v>
      </c>
      <c r="AO46" s="41">
        <f>IF(ISBLANK(Table2[[#This Row],[Need_EIS]]), 2,(IF(Table2[[#This Row],[Need_EIS]]="No", 0, (IF(AND(Table2[[#This Row],[Need_EIS]]="Yes",  Table2[[#This Row],[EIS_pub_date]]=""),1, 0)))))</f>
        <v>0</v>
      </c>
      <c r="AP46" s="41">
        <f>IF(ISBLANK(Table2[[#This Row],[Need_DON]]), 2,(IF(Table2[[#This Row],[Need_DON]]="No", 0, (IF(AND(Table2[[#This Row],[Need_DON]]="Yes",  Table2[[#This Row],[DON_pub_date]]=""),1, 0)))))</f>
        <v>0</v>
      </c>
      <c r="AQ46" s="41">
        <f>IF(ISBLANK(Table2[[#This Row],[Pending_question]]), 2,(IF(Table2[[#This Row],[Pending_question]]="Yes", 1, 0)))</f>
        <v>0</v>
      </c>
      <c r="AR46" s="42">
        <v>44466</v>
      </c>
    </row>
    <row r="47" spans="1:44" ht="15" customHeight="1">
      <c r="A47" s="63">
        <v>44467</v>
      </c>
      <c r="B47" s="24" t="s">
        <v>15</v>
      </c>
      <c r="C47" s="33" t="str" cm="1">
        <f t="array" ref="C4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7" s="27" t="s">
        <v>464</v>
      </c>
      <c r="E47" s="58" t="s">
        <v>104</v>
      </c>
      <c r="F47" s="29" t="s">
        <v>173</v>
      </c>
      <c r="G47" s="29" t="s">
        <v>34</v>
      </c>
      <c r="H47" s="59">
        <v>44467</v>
      </c>
      <c r="I47" s="59"/>
      <c r="J47" s="59"/>
      <c r="K47" s="59"/>
      <c r="L47" s="60"/>
      <c r="M47" s="70" t="s">
        <v>19</v>
      </c>
      <c r="N47" s="55"/>
      <c r="O47" s="71"/>
      <c r="P47" s="83" t="s">
        <v>19</v>
      </c>
      <c r="Q47" s="82" t="s">
        <v>34</v>
      </c>
      <c r="R47" s="29" t="s">
        <v>19</v>
      </c>
      <c r="S47" s="29"/>
      <c r="T47" s="59"/>
      <c r="U47" s="29"/>
      <c r="V47" s="29"/>
      <c r="W47" s="29"/>
      <c r="X47" s="27"/>
      <c r="Y47" s="58" t="s">
        <v>471</v>
      </c>
      <c r="Z47" s="58"/>
      <c r="AA47" s="58"/>
      <c r="AB47" s="58" t="s">
        <v>593</v>
      </c>
      <c r="AC47" s="58"/>
      <c r="AD47" s="83"/>
      <c r="AE47" s="58"/>
      <c r="AF47" s="58"/>
      <c r="AG47" s="58"/>
      <c r="AH47" s="86">
        <v>44469</v>
      </c>
      <c r="AI47" s="58" t="s">
        <v>457</v>
      </c>
      <c r="AJ47" s="143"/>
      <c r="AK47" s="28"/>
      <c r="AL47" s="102"/>
      <c r="AM47" s="41" t="str">
        <f>VLOOKUP(Table2[[#This Row],[country]],Countrycode!A:B,2,FALSE)</f>
        <v>CHN</v>
      </c>
      <c r="AN47" s="41">
        <f>IF(ISBLANK(Table2[[#This Row],[Need_RRA]]), 2,(IF(Table2[[#This Row],[Need_RRA]]="No", 0, (IF(AND(Table2[[#This Row],[Need_RRA]]="Yes",  Table2[[#This Row],[RRA_pub_date]]=""),1, 0)))))</f>
        <v>0</v>
      </c>
      <c r="AO47" s="41">
        <f>IF(ISBLANK(Table2[[#This Row],[Need_EIS]]), 2,(IF(Table2[[#This Row],[Need_EIS]]="No", 0, (IF(AND(Table2[[#This Row],[Need_EIS]]="Yes",  Table2[[#This Row],[EIS_pub_date]]=""),1, 0)))))</f>
        <v>0</v>
      </c>
      <c r="AP47" s="41">
        <f>IF(ISBLANK(Table2[[#This Row],[Need_DON]]), 2,(IF(Table2[[#This Row],[Need_DON]]="No", 0, (IF(AND(Table2[[#This Row],[Need_DON]]="Yes",  Table2[[#This Row],[DON_pub_date]]=""),1, 0)))))</f>
        <v>0</v>
      </c>
      <c r="AQ47" s="41">
        <f>IF(ISBLANK(Table2[[#This Row],[Pending_question]]), 2,(IF(Table2[[#This Row],[Pending_question]]="Yes", 1, 0)))</f>
        <v>0</v>
      </c>
      <c r="AR47" s="42">
        <v>44467</v>
      </c>
    </row>
    <row r="48" spans="1:44" ht="15" customHeight="1">
      <c r="A48" s="63">
        <v>44468</v>
      </c>
      <c r="B48" s="24" t="s">
        <v>15</v>
      </c>
      <c r="C48" s="33" t="str" cm="1">
        <f t="array" ref="C4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8" s="27" t="s">
        <v>464</v>
      </c>
      <c r="E48" s="58" t="s">
        <v>594</v>
      </c>
      <c r="F48" s="29" t="s">
        <v>108</v>
      </c>
      <c r="G48" s="29" t="s">
        <v>34</v>
      </c>
      <c r="H48" s="59">
        <v>44468</v>
      </c>
      <c r="I48" s="59"/>
      <c r="J48" s="59">
        <v>44468</v>
      </c>
      <c r="K48" s="59"/>
      <c r="L48" s="60"/>
      <c r="M48" s="70" t="s">
        <v>19</v>
      </c>
      <c r="N48" s="55"/>
      <c r="O48" s="71"/>
      <c r="P48" s="83" t="s">
        <v>19</v>
      </c>
      <c r="Q48" s="185" t="s">
        <v>34</v>
      </c>
      <c r="R48" s="29" t="s">
        <v>19</v>
      </c>
      <c r="S48" s="29"/>
      <c r="T48" s="59"/>
      <c r="U48" s="29"/>
      <c r="V48" s="29"/>
      <c r="W48" s="29"/>
      <c r="X48" s="27"/>
      <c r="Y48" s="58" t="s">
        <v>471</v>
      </c>
      <c r="Z48" s="29"/>
      <c r="AA48" s="29"/>
      <c r="AB48" s="29" t="s">
        <v>595</v>
      </c>
      <c r="AC48" s="29"/>
      <c r="AD48" s="59"/>
      <c r="AE48" s="29"/>
      <c r="AF48" s="29"/>
      <c r="AG48" s="29"/>
      <c r="AH48" s="85">
        <v>44476</v>
      </c>
      <c r="AI48" s="58" t="s">
        <v>457</v>
      </c>
      <c r="AJ48" s="143"/>
      <c r="AK48" s="28"/>
      <c r="AL48" s="102" t="s">
        <v>596</v>
      </c>
      <c r="AM48" s="41" t="str">
        <f>VLOOKUP(Table2[[#This Row],[country]],Countrycode!A:B,2,FALSE)</f>
        <v>AUT</v>
      </c>
      <c r="AN48" s="41">
        <f>IF(ISBLANK(Table2[[#This Row],[Need_RRA]]), 2,(IF(Table2[[#This Row],[Need_RRA]]="No", 0, (IF(AND(Table2[[#This Row],[Need_RRA]]="Yes",  Table2[[#This Row],[RRA_pub_date]]=""),1, 0)))))</f>
        <v>0</v>
      </c>
      <c r="AO48" s="41">
        <f>IF(ISBLANK(Table2[[#This Row],[Need_EIS]]), 2,(IF(Table2[[#This Row],[Need_EIS]]="No", 0, (IF(AND(Table2[[#This Row],[Need_EIS]]="Yes",  Table2[[#This Row],[EIS_pub_date]]=""),1, 0)))))</f>
        <v>0</v>
      </c>
      <c r="AP48" s="41">
        <f>IF(ISBLANK(Table2[[#This Row],[Need_DON]]), 2,(IF(Table2[[#This Row],[Need_DON]]="No", 0, (IF(AND(Table2[[#This Row],[Need_DON]]="Yes",  Table2[[#This Row],[DON_pub_date]]=""),1, 0)))))</f>
        <v>0</v>
      </c>
      <c r="AQ48" s="41">
        <f>IF(ISBLANK(Table2[[#This Row],[Pending_question]]), 2,(IF(Table2[[#This Row],[Pending_question]]="Yes", 1, 0)))</f>
        <v>0</v>
      </c>
      <c r="AR48" s="42">
        <v>44469</v>
      </c>
    </row>
    <row r="49" spans="1:44" ht="15" customHeight="1">
      <c r="A49" s="63">
        <v>44472</v>
      </c>
      <c r="B49" s="24" t="s">
        <v>15</v>
      </c>
      <c r="C49" s="33" t="str" cm="1">
        <f t="array" ref="C4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9" s="27" t="s">
        <v>597</v>
      </c>
      <c r="E49" s="58" t="s">
        <v>598</v>
      </c>
      <c r="F49" s="29" t="s">
        <v>398</v>
      </c>
      <c r="G49" s="29" t="s">
        <v>34</v>
      </c>
      <c r="H49" s="59">
        <v>44472</v>
      </c>
      <c r="I49" s="59"/>
      <c r="J49" s="59">
        <v>44471</v>
      </c>
      <c r="K49" s="59" t="s">
        <v>599</v>
      </c>
      <c r="L49" s="60"/>
      <c r="M49" s="70" t="s">
        <v>19</v>
      </c>
      <c r="N49" s="55"/>
      <c r="O49" s="71"/>
      <c r="P49" s="83" t="s">
        <v>30</v>
      </c>
      <c r="Q49" s="84"/>
      <c r="R49" s="29" t="s">
        <v>600</v>
      </c>
      <c r="S49" s="59">
        <v>44481</v>
      </c>
      <c r="T49" s="59"/>
      <c r="U49" s="59">
        <v>44490</v>
      </c>
      <c r="V49" s="59"/>
      <c r="W49" s="59"/>
      <c r="X49" s="85"/>
      <c r="Y49" s="58" t="s">
        <v>471</v>
      </c>
      <c r="Z49" s="29"/>
      <c r="AA49" s="29"/>
      <c r="AB49" s="29" t="s">
        <v>601</v>
      </c>
      <c r="AC49" s="29"/>
      <c r="AD49" s="59"/>
      <c r="AE49" s="29"/>
      <c r="AF49" s="29"/>
      <c r="AG49" s="29"/>
      <c r="AH49" s="85">
        <v>44483</v>
      </c>
      <c r="AI49" s="58" t="s">
        <v>471</v>
      </c>
      <c r="AJ49" s="143"/>
      <c r="AK49" s="86">
        <v>44491</v>
      </c>
      <c r="AL49" s="102"/>
      <c r="AM49" s="41" t="str">
        <f>VLOOKUP(Table2[[#This Row],[country]],Countrycode!A:B,2,FALSE)</f>
        <v>UKR</v>
      </c>
      <c r="AN49" s="41">
        <f>IF(ISBLANK(Table2[[#This Row],[Need_RRA]]), 2,(IF(Table2[[#This Row],[Need_RRA]]="No", 0, (IF(AND(Table2[[#This Row],[Need_RRA]]="Yes",  Table2[[#This Row],[RRA_pub_date]]=""),1, 0)))))</f>
        <v>0</v>
      </c>
      <c r="AO49" s="41">
        <f>IF(ISBLANK(Table2[[#This Row],[Need_EIS]]), 2,(IF(Table2[[#This Row],[Need_EIS]]="No", 0, (IF(AND(Table2[[#This Row],[Need_EIS]]="Yes",  Table2[[#This Row],[EIS_pub_date]]=""),1, 0)))))</f>
        <v>0</v>
      </c>
      <c r="AP49" s="41">
        <f>IF(ISBLANK(Table2[[#This Row],[Need_DON]]), 2,(IF(Table2[[#This Row],[Need_DON]]="No", 0, (IF(AND(Table2[[#This Row],[Need_DON]]="Yes",  Table2[[#This Row],[DON_pub_date]]=""),1, 0)))))</f>
        <v>0</v>
      </c>
      <c r="AQ49" s="41">
        <f>IF(ISBLANK(Table2[[#This Row],[Pending_question]]), 2,(IF(Table2[[#This Row],[Pending_question]]="Yes", 1, 0)))</f>
        <v>0</v>
      </c>
      <c r="AR49" s="42">
        <v>44473</v>
      </c>
    </row>
    <row r="50" spans="1:44" ht="15" customHeight="1">
      <c r="A50" s="63">
        <v>44473</v>
      </c>
      <c r="B50" s="24" t="s">
        <v>15</v>
      </c>
      <c r="C50" s="33" t="str" cm="1">
        <f t="array" ref="C5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0" s="27" t="s">
        <v>464</v>
      </c>
      <c r="E50" s="58" t="s">
        <v>110</v>
      </c>
      <c r="F50" s="29" t="s">
        <v>173</v>
      </c>
      <c r="G50" s="29" t="s">
        <v>34</v>
      </c>
      <c r="H50" s="59"/>
      <c r="I50" s="59"/>
      <c r="J50" s="59"/>
      <c r="K50" s="59"/>
      <c r="L50" s="60"/>
      <c r="M50" s="70" t="s">
        <v>19</v>
      </c>
      <c r="N50" s="55"/>
      <c r="O50" s="71"/>
      <c r="P50" s="83" t="s">
        <v>19</v>
      </c>
      <c r="Q50" s="82" t="s">
        <v>34</v>
      </c>
      <c r="R50" s="29" t="s">
        <v>19</v>
      </c>
      <c r="S50" s="29"/>
      <c r="T50" s="59"/>
      <c r="U50" s="29"/>
      <c r="V50" s="29"/>
      <c r="W50" s="29"/>
      <c r="X50" s="27"/>
      <c r="Y50" s="58" t="s">
        <v>471</v>
      </c>
      <c r="Z50" s="29"/>
      <c r="AA50" s="29"/>
      <c r="AB50" s="29" t="s">
        <v>602</v>
      </c>
      <c r="AC50" s="29"/>
      <c r="AD50" s="59"/>
      <c r="AE50" s="29"/>
      <c r="AF50" s="29"/>
      <c r="AG50" s="29"/>
      <c r="AH50" s="85">
        <v>44473</v>
      </c>
      <c r="AI50" s="58" t="s">
        <v>457</v>
      </c>
      <c r="AJ50" s="143"/>
      <c r="AK50" s="28"/>
      <c r="AL50" s="102" t="s">
        <v>603</v>
      </c>
      <c r="AM50" s="41" t="str">
        <f>VLOOKUP(Table2[[#This Row],[country]],Countrycode!A:B,2,FALSE)</f>
        <v>CHN</v>
      </c>
      <c r="AN50" s="41">
        <f>IF(ISBLANK(Table2[[#This Row],[Need_RRA]]), 2,(IF(Table2[[#This Row],[Need_RRA]]="No", 0, (IF(AND(Table2[[#This Row],[Need_RRA]]="Yes",  Table2[[#This Row],[RRA_pub_date]]=""),1, 0)))))</f>
        <v>0</v>
      </c>
      <c r="AO50" s="41">
        <f>IF(ISBLANK(Table2[[#This Row],[Need_EIS]]), 2,(IF(Table2[[#This Row],[Need_EIS]]="No", 0, (IF(AND(Table2[[#This Row],[Need_EIS]]="Yes",  Table2[[#This Row],[EIS_pub_date]]=""),1, 0)))))</f>
        <v>0</v>
      </c>
      <c r="AP50" s="41">
        <f>IF(ISBLANK(Table2[[#This Row],[Need_DON]]), 2,(IF(Table2[[#This Row],[Need_DON]]="No", 0, (IF(AND(Table2[[#This Row],[Need_DON]]="Yes",  Table2[[#This Row],[DON_pub_date]]=""),1, 0)))))</f>
        <v>0</v>
      </c>
      <c r="AQ50" s="41">
        <f>IF(ISBLANK(Table2[[#This Row],[Pending_question]]), 2,(IF(Table2[[#This Row],[Pending_question]]="Yes", 1, 0)))</f>
        <v>0</v>
      </c>
      <c r="AR50" s="42">
        <v>44473</v>
      </c>
    </row>
    <row r="51" spans="1:44" ht="15" customHeight="1">
      <c r="A51" s="63">
        <v>44474</v>
      </c>
      <c r="B51" s="24" t="s">
        <v>15</v>
      </c>
      <c r="C51" s="33" t="str" cm="1">
        <f t="array" ref="C5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1" s="27" t="s">
        <v>456</v>
      </c>
      <c r="E51" s="58" t="s">
        <v>252</v>
      </c>
      <c r="F51" s="29" t="s">
        <v>408</v>
      </c>
      <c r="G51" s="29" t="s">
        <v>34</v>
      </c>
      <c r="H51" s="59"/>
      <c r="I51" s="59"/>
      <c r="J51" s="59"/>
      <c r="K51" s="59" t="s">
        <v>604</v>
      </c>
      <c r="L51" s="60"/>
      <c r="M51" s="70" t="s">
        <v>19</v>
      </c>
      <c r="N51" s="55"/>
      <c r="O51" s="71"/>
      <c r="P51" s="83" t="s">
        <v>30</v>
      </c>
      <c r="Q51" s="186"/>
      <c r="R51" s="29" t="s">
        <v>605</v>
      </c>
      <c r="S51" s="59">
        <v>44474</v>
      </c>
      <c r="T51" s="59"/>
      <c r="U51" s="59">
        <v>44481</v>
      </c>
      <c r="V51" s="59"/>
      <c r="W51" s="59"/>
      <c r="X51" s="85"/>
      <c r="Y51" s="58" t="s">
        <v>471</v>
      </c>
      <c r="Z51" s="29"/>
      <c r="AA51" s="29"/>
      <c r="AB51" s="29" t="s">
        <v>606</v>
      </c>
      <c r="AC51" s="29"/>
      <c r="AD51" s="59"/>
      <c r="AE51" s="29"/>
      <c r="AF51" s="29"/>
      <c r="AG51" s="29"/>
      <c r="AH51" s="85">
        <v>44479</v>
      </c>
      <c r="AI51" s="58" t="s">
        <v>471</v>
      </c>
      <c r="AJ51" s="143"/>
      <c r="AK51" s="86">
        <v>44483</v>
      </c>
      <c r="AL51" s="102"/>
      <c r="AM51" s="41" t="str">
        <f>VLOOKUP(Table2[[#This Row],[country]],Countrycode!A:B,2,FALSE)</f>
        <v>VEN</v>
      </c>
      <c r="AN51" s="41">
        <f>IF(ISBLANK(Table2[[#This Row],[Need_RRA]]), 2,(IF(Table2[[#This Row],[Need_RRA]]="No", 0, (IF(AND(Table2[[#This Row],[Need_RRA]]="Yes",  Table2[[#This Row],[RRA_pub_date]]=""),1, 0)))))</f>
        <v>0</v>
      </c>
      <c r="AO51" s="41">
        <f>IF(ISBLANK(Table2[[#This Row],[Need_EIS]]), 2,(IF(Table2[[#This Row],[Need_EIS]]="No", 0, (IF(AND(Table2[[#This Row],[Need_EIS]]="Yes",  Table2[[#This Row],[EIS_pub_date]]=""),1, 0)))))</f>
        <v>0</v>
      </c>
      <c r="AP51" s="41">
        <f>IF(ISBLANK(Table2[[#This Row],[Need_DON]]), 2,(IF(Table2[[#This Row],[Need_DON]]="No", 0, (IF(AND(Table2[[#This Row],[Need_DON]]="Yes",  Table2[[#This Row],[DON_pub_date]]=""),1, 0)))))</f>
        <v>0</v>
      </c>
      <c r="AQ51" s="41">
        <f>IF(ISBLANK(Table2[[#This Row],[Pending_question]]), 2,(IF(Table2[[#This Row],[Pending_question]]="Yes", 1, 0)))</f>
        <v>0</v>
      </c>
      <c r="AR51" s="42"/>
    </row>
    <row r="52" spans="1:44" ht="15" customHeight="1">
      <c r="A52" s="63">
        <v>44477</v>
      </c>
      <c r="B52" s="24" t="s">
        <v>15</v>
      </c>
      <c r="C52" s="33" t="str" cm="1">
        <f t="array" ref="C5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2" s="27" t="s">
        <v>607</v>
      </c>
      <c r="E52" s="58" t="s">
        <v>608</v>
      </c>
      <c r="F52" s="29" t="s">
        <v>280</v>
      </c>
      <c r="G52" s="29" t="s">
        <v>34</v>
      </c>
      <c r="H52" s="59"/>
      <c r="I52" s="59"/>
      <c r="J52" s="59">
        <v>44477</v>
      </c>
      <c r="K52" s="59"/>
      <c r="L52" s="60"/>
      <c r="M52" s="70" t="s">
        <v>19</v>
      </c>
      <c r="N52" s="55"/>
      <c r="O52" s="71"/>
      <c r="P52" s="83" t="s">
        <v>19</v>
      </c>
      <c r="Q52" s="185" t="s">
        <v>34</v>
      </c>
      <c r="R52" s="29"/>
      <c r="S52" s="29"/>
      <c r="T52" s="59"/>
      <c r="U52" s="29"/>
      <c r="V52" s="29"/>
      <c r="W52" s="29"/>
      <c r="X52" s="27"/>
      <c r="Y52" s="58" t="s">
        <v>471</v>
      </c>
      <c r="Z52" s="29"/>
      <c r="AA52" s="29"/>
      <c r="AB52" s="29" t="s">
        <v>609</v>
      </c>
      <c r="AC52" s="29"/>
      <c r="AD52" s="59"/>
      <c r="AE52" s="29"/>
      <c r="AF52" s="29"/>
      <c r="AG52" s="29"/>
      <c r="AH52" s="85">
        <v>44487</v>
      </c>
      <c r="AI52" s="58" t="s">
        <v>457</v>
      </c>
      <c r="AJ52" s="143"/>
      <c r="AK52" s="28"/>
      <c r="AL52" s="102"/>
      <c r="AM52" s="41" t="str">
        <f>VLOOKUP(Table2[[#This Row],[country]],Countrycode!A:B,2,FALSE)</f>
        <v>ISR</v>
      </c>
      <c r="AN52" s="41">
        <f>IF(ISBLANK(Table2[[#This Row],[Need_RRA]]), 2,(IF(Table2[[#This Row],[Need_RRA]]="No", 0, (IF(AND(Table2[[#This Row],[Need_RRA]]="Yes",  Table2[[#This Row],[RRA_pub_date]]=""),1, 0)))))</f>
        <v>0</v>
      </c>
      <c r="AO52" s="41">
        <f>IF(ISBLANK(Table2[[#This Row],[Need_EIS]]), 2,(IF(Table2[[#This Row],[Need_EIS]]="No", 0, (IF(AND(Table2[[#This Row],[Need_EIS]]="Yes",  Table2[[#This Row],[EIS_pub_date]]=""),1, 0)))))</f>
        <v>0</v>
      </c>
      <c r="AP52" s="41">
        <f>IF(ISBLANK(Table2[[#This Row],[Need_DON]]), 2,(IF(Table2[[#This Row],[Need_DON]]="No", 0, (IF(AND(Table2[[#This Row],[Need_DON]]="Yes",  Table2[[#This Row],[DON_pub_date]]=""),1, 0)))))</f>
        <v>0</v>
      </c>
      <c r="AQ52" s="41">
        <f>IF(ISBLANK(Table2[[#This Row],[Pending_question]]), 2,(IF(Table2[[#This Row],[Pending_question]]="Yes", 1, 0)))</f>
        <v>0</v>
      </c>
      <c r="AR52" s="42"/>
    </row>
    <row r="53" spans="1:44" ht="15" customHeight="1">
      <c r="A53" s="63">
        <v>44479</v>
      </c>
      <c r="B53" s="24" t="s">
        <v>15</v>
      </c>
      <c r="C53" s="33" t="str" cm="1">
        <f t="array" ref="C5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3" s="27" t="s">
        <v>459</v>
      </c>
      <c r="E53" s="58" t="s">
        <v>140</v>
      </c>
      <c r="F53" s="29" t="s">
        <v>208</v>
      </c>
      <c r="G53" s="29" t="s">
        <v>34</v>
      </c>
      <c r="H53" s="59">
        <v>44479</v>
      </c>
      <c r="I53" s="59" t="s">
        <v>34</v>
      </c>
      <c r="J53" s="59">
        <v>44478</v>
      </c>
      <c r="K53" s="43" t="s">
        <v>610</v>
      </c>
      <c r="L53" s="60"/>
      <c r="M53" s="70" t="s">
        <v>19</v>
      </c>
      <c r="N53" s="55"/>
      <c r="O53" s="71"/>
      <c r="P53" s="83" t="s">
        <v>19</v>
      </c>
      <c r="Q53" s="186" t="s">
        <v>34</v>
      </c>
      <c r="R53" s="29"/>
      <c r="S53" s="29" t="s">
        <v>34</v>
      </c>
      <c r="T53" s="59"/>
      <c r="U53" s="29" t="s">
        <v>34</v>
      </c>
      <c r="V53" s="29" t="s">
        <v>34</v>
      </c>
      <c r="W53" s="29" t="s">
        <v>34</v>
      </c>
      <c r="X53" s="27" t="s">
        <v>34</v>
      </c>
      <c r="Y53" s="58" t="s">
        <v>30</v>
      </c>
      <c r="Z53" s="29" t="s">
        <v>21</v>
      </c>
      <c r="AA53" s="29"/>
      <c r="AB53" s="29" t="s">
        <v>611</v>
      </c>
      <c r="AC53" s="59">
        <v>44543</v>
      </c>
      <c r="AD53" s="59"/>
      <c r="AE53" s="59">
        <v>44545</v>
      </c>
      <c r="AF53" s="29"/>
      <c r="AG53" s="59">
        <v>44546</v>
      </c>
      <c r="AH53" s="85">
        <v>44546</v>
      </c>
      <c r="AI53" s="58" t="s">
        <v>30</v>
      </c>
      <c r="AJ53" s="143"/>
      <c r="AK53" s="86">
        <v>44546</v>
      </c>
      <c r="AL53" s="102"/>
      <c r="AM53" s="41" t="str">
        <f>VLOOKUP(Table2[[#This Row],[country]],Countrycode!A:B,2,FALSE)</f>
        <v>COD</v>
      </c>
      <c r="AN53" s="41">
        <f>IF(ISBLANK(Table2[[#This Row],[Need_RRA]]), 2,(IF(Table2[[#This Row],[Need_RRA]]="No", 0, (IF(AND(Table2[[#This Row],[Need_RRA]]="Yes",  Table2[[#This Row],[RRA_pub_date]]=""),1, 0)))))</f>
        <v>0</v>
      </c>
      <c r="AO53" s="41">
        <f>IF(ISBLANK(Table2[[#This Row],[Need_EIS]]), 2,(IF(Table2[[#This Row],[Need_EIS]]="No", 0, (IF(AND(Table2[[#This Row],[Need_EIS]]="Yes",  Table2[[#This Row],[EIS_pub_date]]=""),1, 0)))))</f>
        <v>0</v>
      </c>
      <c r="AP53" s="41">
        <f>IF(ISBLANK(Table2[[#This Row],[Need_DON]]), 2,(IF(Table2[[#This Row],[Need_DON]]="No", 0, (IF(AND(Table2[[#This Row],[Need_DON]]="Yes",  Table2[[#This Row],[DON_pub_date]]=""),1, 0)))))</f>
        <v>0</v>
      </c>
      <c r="AQ53" s="41">
        <f>IF(ISBLANK(Table2[[#This Row],[Pending_question]]), 2,(IF(Table2[[#This Row],[Pending_question]]="Yes", 1, 0)))</f>
        <v>0</v>
      </c>
      <c r="AR53" s="42"/>
    </row>
    <row r="54" spans="1:44" ht="15" customHeight="1">
      <c r="A54" s="63">
        <v>44479</v>
      </c>
      <c r="B54" s="24" t="s">
        <v>15</v>
      </c>
      <c r="C54" s="33" t="str" cm="1">
        <f t="array" ref="C5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4" s="27" t="s">
        <v>612</v>
      </c>
      <c r="E54" s="58" t="s">
        <v>140</v>
      </c>
      <c r="F54" s="29" t="s">
        <v>208</v>
      </c>
      <c r="G54" s="29" t="s">
        <v>34</v>
      </c>
      <c r="H54" s="59">
        <v>44479</v>
      </c>
      <c r="I54" s="59"/>
      <c r="J54" s="59"/>
      <c r="K54" s="59" t="s">
        <v>610</v>
      </c>
      <c r="L54" s="60"/>
      <c r="M54" s="70" t="s">
        <v>19</v>
      </c>
      <c r="N54" s="55"/>
      <c r="O54" s="71"/>
      <c r="P54" s="83" t="s">
        <v>30</v>
      </c>
      <c r="Q54" s="186"/>
      <c r="R54" s="29" t="s">
        <v>613</v>
      </c>
      <c r="S54" s="59">
        <v>44478</v>
      </c>
      <c r="T54" s="59"/>
      <c r="U54" s="59">
        <v>44479</v>
      </c>
      <c r="V54" s="59"/>
      <c r="W54" s="59"/>
      <c r="X54" s="85"/>
      <c r="Y54" s="58" t="s">
        <v>471</v>
      </c>
      <c r="Z54" s="29"/>
      <c r="AA54" s="29"/>
      <c r="AB54" s="29" t="s">
        <v>614</v>
      </c>
      <c r="AC54" s="29"/>
      <c r="AD54" s="59"/>
      <c r="AE54" s="29"/>
      <c r="AF54" s="29"/>
      <c r="AG54" s="29"/>
      <c r="AH54" s="85">
        <v>44479</v>
      </c>
      <c r="AI54" s="58" t="s">
        <v>471</v>
      </c>
      <c r="AJ54" s="143"/>
      <c r="AK54" s="86">
        <v>44479</v>
      </c>
      <c r="AL54" s="102"/>
      <c r="AM54" s="41" t="str">
        <f>VLOOKUP(Table2[[#This Row],[country]],Countrycode!A:B,2,FALSE)</f>
        <v>COD</v>
      </c>
      <c r="AN54" s="41">
        <f>IF(ISBLANK(Table2[[#This Row],[Need_RRA]]), 2,(IF(Table2[[#This Row],[Need_RRA]]="No", 0, (IF(AND(Table2[[#This Row],[Need_RRA]]="Yes",  Table2[[#This Row],[RRA_pub_date]]=""),1, 0)))))</f>
        <v>0</v>
      </c>
      <c r="AO54" s="41">
        <f>IF(ISBLANK(Table2[[#This Row],[Need_EIS]]), 2,(IF(Table2[[#This Row],[Need_EIS]]="No", 0, (IF(AND(Table2[[#This Row],[Need_EIS]]="Yes",  Table2[[#This Row],[EIS_pub_date]]=""),1, 0)))))</f>
        <v>0</v>
      </c>
      <c r="AP54" s="41">
        <f>IF(ISBLANK(Table2[[#This Row],[Need_DON]]), 2,(IF(Table2[[#This Row],[Need_DON]]="No", 0, (IF(AND(Table2[[#This Row],[Need_DON]]="Yes",  Table2[[#This Row],[DON_pub_date]]=""),1, 0)))))</f>
        <v>0</v>
      </c>
      <c r="AQ54" s="41">
        <f>IF(ISBLANK(Table2[[#This Row],[Pending_question]]), 2,(IF(Table2[[#This Row],[Pending_question]]="Yes", 1, 0)))</f>
        <v>0</v>
      </c>
      <c r="AR54" s="42">
        <v>44480</v>
      </c>
    </row>
    <row r="55" spans="1:44" ht="15" customHeight="1">
      <c r="A55" s="63">
        <v>44486</v>
      </c>
      <c r="B55" s="24" t="s">
        <v>15</v>
      </c>
      <c r="C55" s="33" t="str" cm="1">
        <f t="array" ref="C5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5" s="27" t="s">
        <v>464</v>
      </c>
      <c r="E55" s="58" t="s">
        <v>104</v>
      </c>
      <c r="F55" s="29" t="s">
        <v>173</v>
      </c>
      <c r="G55" s="29" t="s">
        <v>34</v>
      </c>
      <c r="H55" s="59">
        <v>44486</v>
      </c>
      <c r="I55" s="59"/>
      <c r="J55" s="59" t="s">
        <v>457</v>
      </c>
      <c r="K55" s="59"/>
      <c r="L55" s="60"/>
      <c r="M55" s="70" t="s">
        <v>19</v>
      </c>
      <c r="N55" s="55"/>
      <c r="O55" s="71"/>
      <c r="P55" s="83" t="s">
        <v>19</v>
      </c>
      <c r="Q55" s="82" t="s">
        <v>34</v>
      </c>
      <c r="R55" s="29" t="s">
        <v>19</v>
      </c>
      <c r="S55" s="29"/>
      <c r="T55" s="59"/>
      <c r="U55" s="29" t="s">
        <v>34</v>
      </c>
      <c r="V55" s="29"/>
      <c r="W55" s="29"/>
      <c r="X55" s="27"/>
      <c r="Y55" s="58" t="s">
        <v>471</v>
      </c>
      <c r="Z55" s="29"/>
      <c r="AA55" s="29"/>
      <c r="AB55" s="29" t="s">
        <v>615</v>
      </c>
      <c r="AC55" s="29"/>
      <c r="AD55" s="59"/>
      <c r="AE55" s="29"/>
      <c r="AF55" s="29"/>
      <c r="AG55" s="29"/>
      <c r="AH55" s="85">
        <v>44496</v>
      </c>
      <c r="AI55" s="58" t="s">
        <v>457</v>
      </c>
      <c r="AJ55" s="143"/>
      <c r="AK55" s="28"/>
      <c r="AL55" s="102"/>
      <c r="AM55" s="41" t="str">
        <f>VLOOKUP(Table2[[#This Row],[country]],Countrycode!A:B,2,FALSE)</f>
        <v>CHN</v>
      </c>
      <c r="AN55" s="41">
        <f>IF(ISBLANK(Table2[[#This Row],[Need_RRA]]), 2,(IF(Table2[[#This Row],[Need_RRA]]="No", 0, (IF(AND(Table2[[#This Row],[Need_RRA]]="Yes",  Table2[[#This Row],[RRA_pub_date]]=""),1, 0)))))</f>
        <v>0</v>
      </c>
      <c r="AO55" s="41">
        <f>IF(ISBLANK(Table2[[#This Row],[Need_EIS]]), 2,(IF(Table2[[#This Row],[Need_EIS]]="No", 0, (IF(AND(Table2[[#This Row],[Need_EIS]]="Yes",  Table2[[#This Row],[EIS_pub_date]]=""),1, 0)))))</f>
        <v>0</v>
      </c>
      <c r="AP55" s="41">
        <f>IF(ISBLANK(Table2[[#This Row],[Need_DON]]), 2,(IF(Table2[[#This Row],[Need_DON]]="No", 0, (IF(AND(Table2[[#This Row],[Need_DON]]="Yes",  Table2[[#This Row],[DON_pub_date]]=""),1, 0)))))</f>
        <v>0</v>
      </c>
      <c r="AQ55" s="41">
        <f>IF(ISBLANK(Table2[[#This Row],[Pending_question]]), 2,(IF(Table2[[#This Row],[Pending_question]]="Yes", 1, 0)))</f>
        <v>0</v>
      </c>
      <c r="AR55" s="42">
        <v>44486</v>
      </c>
    </row>
    <row r="56" spans="1:44" ht="15" customHeight="1">
      <c r="A56" s="63">
        <v>44487</v>
      </c>
      <c r="B56" s="24" t="s">
        <v>15</v>
      </c>
      <c r="C56" s="33" t="str" cm="1">
        <f t="array" ref="C5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6" s="26" t="s">
        <v>512</v>
      </c>
      <c r="E56" s="58" t="s">
        <v>104</v>
      </c>
      <c r="F56" s="29" t="s">
        <v>173</v>
      </c>
      <c r="G56" s="29" t="s">
        <v>34</v>
      </c>
      <c r="H56" s="55"/>
      <c r="I56" s="55"/>
      <c r="J56" s="55"/>
      <c r="K56" s="59"/>
      <c r="L56" s="60"/>
      <c r="M56" s="70" t="s">
        <v>19</v>
      </c>
      <c r="N56" s="55"/>
      <c r="O56" s="71"/>
      <c r="P56" s="87" t="s">
        <v>19</v>
      </c>
      <c r="Q56" s="82" t="s">
        <v>34</v>
      </c>
      <c r="R56" s="54"/>
      <c r="S56" s="29"/>
      <c r="T56" s="59"/>
      <c r="U56" s="29"/>
      <c r="V56" s="29"/>
      <c r="W56" s="29"/>
      <c r="X56" s="27"/>
      <c r="Y56" s="53" t="s">
        <v>471</v>
      </c>
      <c r="Z56" s="54"/>
      <c r="AA56" s="54"/>
      <c r="AB56" s="54" t="s">
        <v>616</v>
      </c>
      <c r="AC56" s="29"/>
      <c r="AD56" s="59"/>
      <c r="AE56" s="29"/>
      <c r="AF56" s="29"/>
      <c r="AG56" s="29"/>
      <c r="AH56" s="85">
        <v>44487</v>
      </c>
      <c r="AI56" s="53" t="s">
        <v>457</v>
      </c>
      <c r="AJ56" s="143"/>
      <c r="AK56" s="28"/>
      <c r="AL56" s="102"/>
      <c r="AM56" s="41" t="str">
        <f>VLOOKUP(Table2[[#This Row],[country]],Countrycode!A:B,2,FALSE)</f>
        <v>CHN</v>
      </c>
      <c r="AN56" s="41">
        <f>IF(ISBLANK(Table2[[#This Row],[Need_RRA]]), 2,(IF(Table2[[#This Row],[Need_RRA]]="No", 0, (IF(AND(Table2[[#This Row],[Need_RRA]]="Yes",  Table2[[#This Row],[RRA_pub_date]]=""),1, 0)))))</f>
        <v>0</v>
      </c>
      <c r="AO56" s="41">
        <f>IF(ISBLANK(Table2[[#This Row],[Need_EIS]]), 2,(IF(Table2[[#This Row],[Need_EIS]]="No", 0, (IF(AND(Table2[[#This Row],[Need_EIS]]="Yes",  Table2[[#This Row],[EIS_pub_date]]=""),1, 0)))))</f>
        <v>0</v>
      </c>
      <c r="AP56" s="41">
        <f>IF(ISBLANK(Table2[[#This Row],[Need_DON]]), 2,(IF(Table2[[#This Row],[Need_DON]]="No", 0, (IF(AND(Table2[[#This Row],[Need_DON]]="Yes",  Table2[[#This Row],[DON_pub_date]]=""),1, 0)))))</f>
        <v>0</v>
      </c>
      <c r="AQ56" s="41">
        <f>IF(ISBLANK(Table2[[#This Row],[Pending_question]]), 2,(IF(Table2[[#This Row],[Pending_question]]="Yes", 1, 0)))</f>
        <v>0</v>
      </c>
      <c r="AR56" s="40"/>
    </row>
    <row r="57" spans="1:44" ht="15" customHeight="1">
      <c r="A57" s="63">
        <v>44488</v>
      </c>
      <c r="B57" s="24" t="s">
        <v>15</v>
      </c>
      <c r="C57" s="33" t="str" cm="1">
        <f t="array" ref="C5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7" s="27" t="s">
        <v>617</v>
      </c>
      <c r="E57" s="58" t="s">
        <v>128</v>
      </c>
      <c r="F57" s="29" t="s">
        <v>127</v>
      </c>
      <c r="G57" s="29" t="s">
        <v>34</v>
      </c>
      <c r="H57" s="29"/>
      <c r="I57" s="59"/>
      <c r="J57" s="59">
        <v>44488</v>
      </c>
      <c r="K57" s="43" t="s">
        <v>618</v>
      </c>
      <c r="L57" s="179" t="s">
        <v>619</v>
      </c>
      <c r="M57" s="70" t="s">
        <v>19</v>
      </c>
      <c r="N57" s="74"/>
      <c r="O57" s="75"/>
      <c r="P57" s="83" t="s">
        <v>19</v>
      </c>
      <c r="Q57" s="84"/>
      <c r="R57" s="29" t="s">
        <v>620</v>
      </c>
      <c r="S57" s="29"/>
      <c r="T57" s="59"/>
      <c r="U57" s="29"/>
      <c r="V57" s="29"/>
      <c r="W57" s="29"/>
      <c r="X57" s="27"/>
      <c r="Y57" s="58" t="s">
        <v>30</v>
      </c>
      <c r="Z57" s="29" t="s">
        <v>42</v>
      </c>
      <c r="AA57" s="29"/>
      <c r="AB57" s="29" t="s">
        <v>621</v>
      </c>
      <c r="AC57" s="59">
        <v>44557</v>
      </c>
      <c r="AD57" s="59"/>
      <c r="AE57" s="59">
        <v>44567</v>
      </c>
      <c r="AF57" s="29"/>
      <c r="AG57" s="29"/>
      <c r="AH57" s="85">
        <v>44582</v>
      </c>
      <c r="AI57" s="58" t="s">
        <v>30</v>
      </c>
      <c r="AJ57" s="143"/>
      <c r="AK57" s="86">
        <v>44586</v>
      </c>
      <c r="AL57" s="102"/>
      <c r="AM57" s="41" t="str">
        <f>VLOOKUP(Table2[[#This Row],[country]],Countrycode!A:B,2,FALSE)</f>
        <v>BEN</v>
      </c>
      <c r="AN57" s="41">
        <f>IF(ISBLANK(Table2[[#This Row],[Need_RRA]]), 2,(IF(Table2[[#This Row],[Need_RRA]]="No", 0, (IF(AND(Table2[[#This Row],[Need_RRA]]="Yes",  Table2[[#This Row],[RRA_pub_date]]=""),1, 0)))))</f>
        <v>0</v>
      </c>
      <c r="AO57" s="41">
        <f>IF(ISBLANK(Table2[[#This Row],[Need_EIS]]), 2,(IF(Table2[[#This Row],[Need_EIS]]="No", 0, (IF(AND(Table2[[#This Row],[Need_EIS]]="Yes",  Table2[[#This Row],[EIS_pub_date]]=""),1, 0)))))</f>
        <v>0</v>
      </c>
      <c r="AP57" s="41">
        <f>IF(ISBLANK(Table2[[#This Row],[Need_DON]]), 2,(IF(Table2[[#This Row],[Need_DON]]="No", 0, (IF(AND(Table2[[#This Row],[Need_DON]]="Yes",  Table2[[#This Row],[DON_pub_date]]=""),1, 0)))))</f>
        <v>0</v>
      </c>
      <c r="AQ57" s="41">
        <f>IF(ISBLANK(Table2[[#This Row],[Pending_question]]), 2,(IF(Table2[[#This Row],[Pending_question]]="Yes", 1, 0)))</f>
        <v>0</v>
      </c>
      <c r="AR57" s="42"/>
    </row>
    <row r="58" spans="1:44" ht="15" customHeight="1">
      <c r="A58" s="63">
        <v>44489</v>
      </c>
      <c r="B58" s="24" t="s">
        <v>15</v>
      </c>
      <c r="C58" s="33" t="str" cm="1">
        <f t="array" ref="C5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8" s="27" t="s">
        <v>464</v>
      </c>
      <c r="E58" s="58" t="s">
        <v>136</v>
      </c>
      <c r="F58" s="29" t="s">
        <v>379</v>
      </c>
      <c r="G58" s="29" t="s">
        <v>34</v>
      </c>
      <c r="H58" s="59">
        <v>44489</v>
      </c>
      <c r="I58" s="29"/>
      <c r="J58" s="59">
        <v>44491</v>
      </c>
      <c r="K58" s="59" t="s">
        <v>622</v>
      </c>
      <c r="L58" s="60"/>
      <c r="M58" s="70" t="s">
        <v>19</v>
      </c>
      <c r="N58" s="55"/>
      <c r="O58" s="71"/>
      <c r="P58" s="83" t="s">
        <v>30</v>
      </c>
      <c r="Q58" s="84"/>
      <c r="R58" s="29" t="s">
        <v>623</v>
      </c>
      <c r="S58" s="358">
        <v>44503</v>
      </c>
      <c r="T58" s="358"/>
      <c r="U58" s="358">
        <v>44524</v>
      </c>
      <c r="V58" s="29" t="s">
        <v>20</v>
      </c>
      <c r="W58" s="29" t="s">
        <v>32</v>
      </c>
      <c r="X58" s="27" t="s">
        <v>51</v>
      </c>
      <c r="Y58" s="58" t="s">
        <v>19</v>
      </c>
      <c r="Z58" s="29"/>
      <c r="AA58" s="29"/>
      <c r="AB58" s="29" t="s">
        <v>624</v>
      </c>
      <c r="AC58" s="29"/>
      <c r="AD58" s="59"/>
      <c r="AE58" s="29"/>
      <c r="AF58" s="29"/>
      <c r="AG58" s="29"/>
      <c r="AH58" s="27"/>
      <c r="AI58" s="58" t="s">
        <v>19</v>
      </c>
      <c r="AJ58" s="143"/>
      <c r="AK58" s="28"/>
      <c r="AL58" s="102"/>
      <c r="AM58" s="41" t="str">
        <f>VLOOKUP(Table2[[#This Row],[country]],Countrycode!A:B,2,FALSE)</f>
        <v>SDN</v>
      </c>
      <c r="AN58" s="41">
        <f>IF(ISBLANK(Table2[[#This Row],[Need_RRA]]), 2,(IF(Table2[[#This Row],[Need_RRA]]="No", 0, (IF(AND(Table2[[#This Row],[Need_RRA]]="Yes",  Table2[[#This Row],[RRA_pub_date]]=""),1, 0)))))</f>
        <v>0</v>
      </c>
      <c r="AO58" s="41">
        <f>IF(ISBLANK(Table2[[#This Row],[Need_EIS]]), 2,(IF(Table2[[#This Row],[Need_EIS]]="No", 0, (IF(AND(Table2[[#This Row],[Need_EIS]]="Yes",  Table2[[#This Row],[EIS_pub_date]]=""),1, 0)))))</f>
        <v>0</v>
      </c>
      <c r="AP58" s="41">
        <f>IF(ISBLANK(Table2[[#This Row],[Need_DON]]), 2,(IF(Table2[[#This Row],[Need_DON]]="No", 0, (IF(AND(Table2[[#This Row],[Need_DON]]="Yes",  Table2[[#This Row],[DON_pub_date]]=""),1, 0)))))</f>
        <v>0</v>
      </c>
      <c r="AQ58" s="41">
        <f>IF(ISBLANK(Table2[[#This Row],[Pending_question]]), 2,(IF(Table2[[#This Row],[Pending_question]]="Yes", 1, 0)))</f>
        <v>0</v>
      </c>
      <c r="AR58" s="42">
        <v>44489</v>
      </c>
    </row>
    <row r="59" spans="1:44" ht="15" customHeight="1">
      <c r="A59" s="63">
        <v>44495</v>
      </c>
      <c r="B59" s="24" t="s">
        <v>15</v>
      </c>
      <c r="C59" s="33" t="str" cm="1">
        <f t="array" ref="C5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9" s="27" t="s">
        <v>456</v>
      </c>
      <c r="E59" s="67" t="s">
        <v>254</v>
      </c>
      <c r="F59" s="29" t="s">
        <v>274</v>
      </c>
      <c r="G59" s="29" t="s">
        <v>34</v>
      </c>
      <c r="H59" s="59">
        <v>44495</v>
      </c>
      <c r="I59" s="59"/>
      <c r="J59" s="59">
        <v>44387</v>
      </c>
      <c r="K59" s="29" t="s">
        <v>625</v>
      </c>
      <c r="L59" s="34"/>
      <c r="M59" s="70" t="s">
        <v>19</v>
      </c>
      <c r="N59" s="54"/>
      <c r="O59" s="26"/>
      <c r="P59" s="83" t="s">
        <v>471</v>
      </c>
      <c r="Q59" s="84"/>
      <c r="R59" s="29" t="s">
        <v>626</v>
      </c>
      <c r="S59" s="59">
        <v>44510</v>
      </c>
      <c r="T59" s="59"/>
      <c r="U59" s="59">
        <v>44533</v>
      </c>
      <c r="V59" s="29" t="s">
        <v>32</v>
      </c>
      <c r="W59" s="29" t="s">
        <v>51</v>
      </c>
      <c r="X59" s="27" t="s">
        <v>51</v>
      </c>
      <c r="Y59" s="58" t="s">
        <v>627</v>
      </c>
      <c r="Z59" s="29"/>
      <c r="AA59" s="29"/>
      <c r="AB59" s="29" t="s">
        <v>628</v>
      </c>
      <c r="AC59" s="29"/>
      <c r="AD59" s="59"/>
      <c r="AE59" s="29"/>
      <c r="AF59" s="29"/>
      <c r="AG59" s="29"/>
      <c r="AH59" s="85">
        <v>44515</v>
      </c>
      <c r="AI59" s="58" t="s">
        <v>19</v>
      </c>
      <c r="AJ59" s="143"/>
      <c r="AK59" s="28"/>
      <c r="AL59" s="102" t="s">
        <v>629</v>
      </c>
      <c r="AM59" s="41" t="str">
        <f>VLOOKUP(Table2[[#This Row],[country]],Countrycode!A:B,2,FALSE)</f>
        <v>IND</v>
      </c>
      <c r="AN59" s="41">
        <f>IF(ISBLANK(Table2[[#This Row],[Need_RRA]]), 2,(IF(Table2[[#This Row],[Need_RRA]]="No", 0, (IF(AND(Table2[[#This Row],[Need_RRA]]="Yes",  Table2[[#This Row],[RRA_pub_date]]=""),1, 0)))))</f>
        <v>0</v>
      </c>
      <c r="AO59" s="41">
        <f>IF(ISBLANK(Table2[[#This Row],[Need_EIS]]), 2,(IF(Table2[[#This Row],[Need_EIS]]="No", 0, (IF(AND(Table2[[#This Row],[Need_EIS]]="Yes",  Table2[[#This Row],[EIS_pub_date]]=""),1, 0)))))</f>
        <v>0</v>
      </c>
      <c r="AP59" s="41">
        <f>IF(ISBLANK(Table2[[#This Row],[Need_DON]]), 2,(IF(Table2[[#This Row],[Need_DON]]="No", 0, (IF(AND(Table2[[#This Row],[Need_DON]]="Yes",  Table2[[#This Row],[DON_pub_date]]=""),1, 0)))))</f>
        <v>0</v>
      </c>
      <c r="AQ59" s="41">
        <f>IF(ISBLANK(Table2[[#This Row],[Pending_question]]), 2,(IF(Table2[[#This Row],[Pending_question]]="Yes", 1, 0)))</f>
        <v>0</v>
      </c>
      <c r="AR59" s="42">
        <v>44495</v>
      </c>
    </row>
    <row r="60" spans="1:44" ht="15" customHeight="1">
      <c r="A60" s="63">
        <v>44496</v>
      </c>
      <c r="B60" s="29" t="s">
        <v>15</v>
      </c>
      <c r="C60" s="33" t="str" cm="1">
        <f t="array" ref="C6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0" s="27" t="s">
        <v>464</v>
      </c>
      <c r="E60" s="58" t="s">
        <v>80</v>
      </c>
      <c r="F60" s="29" t="s">
        <v>173</v>
      </c>
      <c r="G60" s="29" t="s">
        <v>34</v>
      </c>
      <c r="H60" s="59"/>
      <c r="I60" s="59"/>
      <c r="J60" s="59"/>
      <c r="K60" s="59"/>
      <c r="L60" s="60"/>
      <c r="M60" s="70" t="s">
        <v>19</v>
      </c>
      <c r="N60" s="55"/>
      <c r="O60" s="71"/>
      <c r="P60" s="83" t="s">
        <v>19</v>
      </c>
      <c r="Q60" s="185" t="s">
        <v>34</v>
      </c>
      <c r="R60" s="29"/>
      <c r="S60" s="29"/>
      <c r="T60" s="59"/>
      <c r="U60" s="29"/>
      <c r="V60" s="29"/>
      <c r="W60" s="29"/>
      <c r="X60" s="27"/>
      <c r="Y60" s="58" t="s">
        <v>471</v>
      </c>
      <c r="Z60" s="29"/>
      <c r="AA60" s="29"/>
      <c r="AB60" s="29" t="s">
        <v>630</v>
      </c>
      <c r="AC60" s="29"/>
      <c r="AD60" s="59"/>
      <c r="AE60" s="29"/>
      <c r="AF60" s="29"/>
      <c r="AG60" s="29"/>
      <c r="AH60" s="85">
        <v>44496</v>
      </c>
      <c r="AI60" s="58" t="s">
        <v>457</v>
      </c>
      <c r="AJ60" s="143"/>
      <c r="AK60" s="28"/>
      <c r="AL60" s="102"/>
      <c r="AM60" s="41" t="str">
        <f>VLOOKUP(Table2[[#This Row],[country]],Countrycode!A:B,2,FALSE)</f>
        <v>CHN</v>
      </c>
      <c r="AN60" s="41">
        <f>IF(ISBLANK(Table2[[#This Row],[Need_RRA]]), 2,(IF(Table2[[#This Row],[Need_RRA]]="No", 0, (IF(AND(Table2[[#This Row],[Need_RRA]]="Yes",  Table2[[#This Row],[RRA_pub_date]]=""),1, 0)))))</f>
        <v>0</v>
      </c>
      <c r="AO60" s="41">
        <f>IF(ISBLANK(Table2[[#This Row],[Need_EIS]]), 2,(IF(Table2[[#This Row],[Need_EIS]]="No", 0, (IF(AND(Table2[[#This Row],[Need_EIS]]="Yes",  Table2[[#This Row],[EIS_pub_date]]=""),1, 0)))))</f>
        <v>0</v>
      </c>
      <c r="AP60" s="41">
        <f>IF(ISBLANK(Table2[[#This Row],[Need_DON]]), 2,(IF(Table2[[#This Row],[Need_DON]]="No", 0, (IF(AND(Table2[[#This Row],[Need_DON]]="Yes",  Table2[[#This Row],[DON_pub_date]]=""),1, 0)))))</f>
        <v>0</v>
      </c>
      <c r="AQ60" s="41">
        <f>IF(ISBLANK(Table2[[#This Row],[Pending_question]]), 2,(IF(Table2[[#This Row],[Pending_question]]="Yes", 1, 0)))</f>
        <v>0</v>
      </c>
      <c r="AR60" s="42"/>
    </row>
    <row r="61" spans="1:44" ht="15" customHeight="1">
      <c r="A61" s="63">
        <v>44498</v>
      </c>
      <c r="B61" s="29" t="s">
        <v>15</v>
      </c>
      <c r="C61" s="33" t="str" cm="1">
        <f t="array" ref="C6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1" s="27" t="s">
        <v>464</v>
      </c>
      <c r="E61" s="58" t="s">
        <v>104</v>
      </c>
      <c r="F61" s="29" t="s">
        <v>173</v>
      </c>
      <c r="G61" s="29" t="s">
        <v>34</v>
      </c>
      <c r="H61" s="59">
        <v>44498</v>
      </c>
      <c r="I61" s="59"/>
      <c r="J61" s="59">
        <v>44471</v>
      </c>
      <c r="K61" s="59" t="s">
        <v>631</v>
      </c>
      <c r="L61" s="60"/>
      <c r="M61" s="70" t="s">
        <v>19</v>
      </c>
      <c r="N61" s="55"/>
      <c r="O61" s="71"/>
      <c r="P61" s="83" t="s">
        <v>19</v>
      </c>
      <c r="Q61" s="82" t="s">
        <v>34</v>
      </c>
      <c r="R61" s="29" t="s">
        <v>632</v>
      </c>
      <c r="S61" s="29" t="s">
        <v>34</v>
      </c>
      <c r="T61" s="59"/>
      <c r="U61" s="29" t="s">
        <v>34</v>
      </c>
      <c r="V61" s="29" t="s">
        <v>34</v>
      </c>
      <c r="W61" s="29" t="s">
        <v>34</v>
      </c>
      <c r="X61" s="27" t="s">
        <v>34</v>
      </c>
      <c r="Y61" s="58" t="s">
        <v>627</v>
      </c>
      <c r="Z61" s="29"/>
      <c r="AA61" s="29"/>
      <c r="AB61" s="29" t="s">
        <v>633</v>
      </c>
      <c r="AC61" s="29"/>
      <c r="AD61" s="59"/>
      <c r="AE61" s="29"/>
      <c r="AF61" s="29"/>
      <c r="AG61" s="29"/>
      <c r="AH61" s="85">
        <v>44510</v>
      </c>
      <c r="AI61" s="58" t="s">
        <v>19</v>
      </c>
      <c r="AJ61" s="143"/>
      <c r="AK61" s="28"/>
      <c r="AL61" s="102" t="s">
        <v>634</v>
      </c>
      <c r="AM61" s="41" t="str">
        <f>VLOOKUP(Table2[[#This Row],[country]],Countrycode!A:B,2,FALSE)</f>
        <v>CHN</v>
      </c>
      <c r="AN61" s="41">
        <f>IF(ISBLANK(Table2[[#This Row],[Need_RRA]]), 2,(IF(Table2[[#This Row],[Need_RRA]]="No", 0, (IF(AND(Table2[[#This Row],[Need_RRA]]="Yes",  Table2[[#This Row],[RRA_pub_date]]=""),1, 0)))))</f>
        <v>0</v>
      </c>
      <c r="AO61" s="41">
        <f>IF(ISBLANK(Table2[[#This Row],[Need_EIS]]), 2,(IF(Table2[[#This Row],[Need_EIS]]="No", 0, (IF(AND(Table2[[#This Row],[Need_EIS]]="Yes",  Table2[[#This Row],[EIS_pub_date]]=""),1, 0)))))</f>
        <v>0</v>
      </c>
      <c r="AP61" s="41">
        <f>IF(ISBLANK(Table2[[#This Row],[Need_DON]]), 2,(IF(Table2[[#This Row],[Need_DON]]="No", 0, (IF(AND(Table2[[#This Row],[Need_DON]]="Yes",  Table2[[#This Row],[DON_pub_date]]=""),1, 0)))))</f>
        <v>0</v>
      </c>
      <c r="AQ61" s="41">
        <f>IF(ISBLANK(Table2[[#This Row],[Pending_question]]), 2,(IF(Table2[[#This Row],[Pending_question]]="Yes", 1, 0)))</f>
        <v>0</v>
      </c>
      <c r="AR61" s="42">
        <v>44498</v>
      </c>
    </row>
    <row r="62" spans="1:44" ht="15" customHeight="1">
      <c r="A62" s="63">
        <v>44498</v>
      </c>
      <c r="B62" s="29" t="s">
        <v>15</v>
      </c>
      <c r="C62" s="33" t="str" cm="1">
        <f t="array" ref="C6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2" s="27" t="s">
        <v>635</v>
      </c>
      <c r="E62" s="58" t="s">
        <v>104</v>
      </c>
      <c r="F62" s="29" t="s">
        <v>173</v>
      </c>
      <c r="G62" s="29" t="s">
        <v>34</v>
      </c>
      <c r="H62" s="59">
        <v>44498</v>
      </c>
      <c r="I62" s="59"/>
      <c r="J62" s="59">
        <v>44498</v>
      </c>
      <c r="K62" s="59" t="s">
        <v>636</v>
      </c>
      <c r="L62" s="60"/>
      <c r="M62" s="70" t="s">
        <v>19</v>
      </c>
      <c r="N62" s="55"/>
      <c r="O62" s="71"/>
      <c r="P62" s="83" t="s">
        <v>19</v>
      </c>
      <c r="Q62" s="82" t="s">
        <v>34</v>
      </c>
      <c r="R62" s="29"/>
      <c r="S62" s="29" t="s">
        <v>34</v>
      </c>
      <c r="T62" s="59"/>
      <c r="U62" s="29" t="s">
        <v>34</v>
      </c>
      <c r="V62" s="29" t="s">
        <v>34</v>
      </c>
      <c r="W62" s="29" t="s">
        <v>34</v>
      </c>
      <c r="X62" s="27" t="s">
        <v>34</v>
      </c>
      <c r="Y62" s="58" t="s">
        <v>471</v>
      </c>
      <c r="Z62" s="29"/>
      <c r="AA62" s="29"/>
      <c r="AB62" s="29" t="s">
        <v>637</v>
      </c>
      <c r="AC62" s="29"/>
      <c r="AD62" s="59"/>
      <c r="AE62" s="29"/>
      <c r="AF62" s="29"/>
      <c r="AG62" s="29"/>
      <c r="AH62" s="85">
        <v>44504</v>
      </c>
      <c r="AI62" s="58" t="s">
        <v>19</v>
      </c>
      <c r="AJ62" s="143"/>
      <c r="AK62" s="28"/>
      <c r="AL62" s="102"/>
      <c r="AM62" s="41" t="str">
        <f>VLOOKUP(Table2[[#This Row],[country]],Countrycode!A:B,2,FALSE)</f>
        <v>CHN</v>
      </c>
      <c r="AN62" s="41">
        <f>IF(ISBLANK(Table2[[#This Row],[Need_RRA]]), 2,(IF(Table2[[#This Row],[Need_RRA]]="No", 0, (IF(AND(Table2[[#This Row],[Need_RRA]]="Yes",  Table2[[#This Row],[RRA_pub_date]]=""),1, 0)))))</f>
        <v>0</v>
      </c>
      <c r="AO62" s="41">
        <f>IF(ISBLANK(Table2[[#This Row],[Need_EIS]]), 2,(IF(Table2[[#This Row],[Need_EIS]]="No", 0, (IF(AND(Table2[[#This Row],[Need_EIS]]="Yes",  Table2[[#This Row],[EIS_pub_date]]=""),1, 0)))))</f>
        <v>0</v>
      </c>
      <c r="AP62" s="41">
        <f>IF(ISBLANK(Table2[[#This Row],[Need_DON]]), 2,(IF(Table2[[#This Row],[Need_DON]]="No", 0, (IF(AND(Table2[[#This Row],[Need_DON]]="Yes",  Table2[[#This Row],[DON_pub_date]]=""),1, 0)))))</f>
        <v>0</v>
      </c>
      <c r="AQ62" s="41">
        <f>IF(ISBLANK(Table2[[#This Row],[Pending_question]]), 2,(IF(Table2[[#This Row],[Pending_question]]="Yes", 1, 0)))</f>
        <v>0</v>
      </c>
      <c r="AR62" s="42">
        <v>44498</v>
      </c>
    </row>
    <row r="63" spans="1:44" ht="15" customHeight="1">
      <c r="A63" s="63">
        <v>44498</v>
      </c>
      <c r="B63" s="29" t="s">
        <v>15</v>
      </c>
      <c r="C63" s="33" t="str" cm="1">
        <f t="array" ref="C6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3" s="26" t="s">
        <v>456</v>
      </c>
      <c r="E63" s="58" t="s">
        <v>252</v>
      </c>
      <c r="F63" s="29" t="s">
        <v>256</v>
      </c>
      <c r="G63" s="29" t="s">
        <v>34</v>
      </c>
      <c r="H63" s="59">
        <v>44498</v>
      </c>
      <c r="I63" s="59"/>
      <c r="J63" s="59">
        <v>44503</v>
      </c>
      <c r="K63" s="59" t="s">
        <v>638</v>
      </c>
      <c r="L63" s="60"/>
      <c r="M63" s="70" t="s">
        <v>19</v>
      </c>
      <c r="N63" s="55"/>
      <c r="O63" s="71"/>
      <c r="P63" s="83" t="s">
        <v>30</v>
      </c>
      <c r="Q63" s="84"/>
      <c r="R63" s="29" t="s">
        <v>639</v>
      </c>
      <c r="S63" s="59">
        <v>44498</v>
      </c>
      <c r="T63" s="59"/>
      <c r="U63" s="59">
        <v>44506</v>
      </c>
      <c r="V63" s="29" t="s">
        <v>32</v>
      </c>
      <c r="W63" s="29" t="s">
        <v>32</v>
      </c>
      <c r="X63" s="27" t="s">
        <v>51</v>
      </c>
      <c r="Y63" s="58" t="s">
        <v>471</v>
      </c>
      <c r="Z63" s="29"/>
      <c r="AA63" s="29"/>
      <c r="AB63" s="29" t="s">
        <v>640</v>
      </c>
      <c r="AC63" s="29"/>
      <c r="AD63" s="59"/>
      <c r="AE63" s="29"/>
      <c r="AF63" s="29"/>
      <c r="AG63" s="29"/>
      <c r="AH63" s="85">
        <v>44529</v>
      </c>
      <c r="AI63" s="58" t="s">
        <v>471</v>
      </c>
      <c r="AJ63" s="143"/>
      <c r="AK63" s="86">
        <v>44531</v>
      </c>
      <c r="AL63" s="102"/>
      <c r="AM63" s="41" t="str">
        <f>VLOOKUP(Table2[[#This Row],[country]],Countrycode!A:B,2,FALSE)</f>
        <v>GHA</v>
      </c>
      <c r="AN63" s="41">
        <f>IF(ISBLANK(Table2[[#This Row],[Need_RRA]]), 2,(IF(Table2[[#This Row],[Need_RRA]]="No", 0, (IF(AND(Table2[[#This Row],[Need_RRA]]="Yes",  Table2[[#This Row],[RRA_pub_date]]=""),1, 0)))))</f>
        <v>0</v>
      </c>
      <c r="AO63" s="41">
        <f>IF(ISBLANK(Table2[[#This Row],[Need_EIS]]), 2,(IF(Table2[[#This Row],[Need_EIS]]="No", 0, (IF(AND(Table2[[#This Row],[Need_EIS]]="Yes",  Table2[[#This Row],[EIS_pub_date]]=""),1, 0)))))</f>
        <v>0</v>
      </c>
      <c r="AP63" s="41">
        <f>IF(ISBLANK(Table2[[#This Row],[Need_DON]]), 2,(IF(Table2[[#This Row],[Need_DON]]="No", 0, (IF(AND(Table2[[#This Row],[Need_DON]]="Yes",  Table2[[#This Row],[DON_pub_date]]=""),1, 0)))))</f>
        <v>0</v>
      </c>
      <c r="AQ63" s="41">
        <f>IF(ISBLANK(Table2[[#This Row],[Pending_question]]), 2,(IF(Table2[[#This Row],[Pending_question]]="Yes", 1, 0)))</f>
        <v>0</v>
      </c>
      <c r="AR63" s="42">
        <v>44498</v>
      </c>
    </row>
    <row r="64" spans="1:44" ht="15" customHeight="1">
      <c r="A64" s="63">
        <v>44502</v>
      </c>
      <c r="B64" s="29" t="s">
        <v>15</v>
      </c>
      <c r="C64" s="33" t="str" cm="1">
        <f t="array" ref="C6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4" s="27" t="s">
        <v>641</v>
      </c>
      <c r="E64" s="58" t="s">
        <v>128</v>
      </c>
      <c r="F64" s="29" t="s">
        <v>161</v>
      </c>
      <c r="G64" s="29" t="s">
        <v>34</v>
      </c>
      <c r="H64" s="59">
        <v>44502</v>
      </c>
      <c r="I64" s="59" t="s">
        <v>34</v>
      </c>
      <c r="J64" s="59">
        <v>44455</v>
      </c>
      <c r="K64" s="61" t="s">
        <v>642</v>
      </c>
      <c r="L64" s="34"/>
      <c r="M64" s="70" t="s">
        <v>19</v>
      </c>
      <c r="N64" s="54"/>
      <c r="O64" s="26"/>
      <c r="P64" s="83" t="s">
        <v>30</v>
      </c>
      <c r="Q64" s="84">
        <v>1</v>
      </c>
      <c r="R64" s="29" t="s">
        <v>643</v>
      </c>
      <c r="S64" s="59">
        <v>44503</v>
      </c>
      <c r="T64" s="59"/>
      <c r="U64" s="59">
        <v>44519</v>
      </c>
      <c r="V64" s="29" t="s">
        <v>20</v>
      </c>
      <c r="W64" s="29" t="s">
        <v>20</v>
      </c>
      <c r="X64" s="27" t="s">
        <v>51</v>
      </c>
      <c r="Y64" s="58" t="s">
        <v>627</v>
      </c>
      <c r="Z64" s="29" t="s">
        <v>42</v>
      </c>
      <c r="AA64" s="29"/>
      <c r="AB64" s="93" t="s">
        <v>644</v>
      </c>
      <c r="AC64" s="94">
        <v>44522</v>
      </c>
      <c r="AD64" s="94"/>
      <c r="AE64" s="94">
        <v>44526</v>
      </c>
      <c r="AF64" s="93"/>
      <c r="AG64" s="93"/>
      <c r="AH64" s="85">
        <v>44539</v>
      </c>
      <c r="AI64" s="58" t="s">
        <v>30</v>
      </c>
      <c r="AJ64" s="143"/>
      <c r="AK64" s="86">
        <v>44546</v>
      </c>
      <c r="AL64" s="102"/>
      <c r="AM64" s="41" t="str">
        <f>VLOOKUP(Table2[[#This Row],[country]],Countrycode!A:B,2,FALSE)</f>
        <v>CMR</v>
      </c>
      <c r="AN64" s="41">
        <f>IF(ISBLANK(Table2[[#This Row],[Need_RRA]]), 2,(IF(Table2[[#This Row],[Need_RRA]]="No", 0, (IF(AND(Table2[[#This Row],[Need_RRA]]="Yes",  Table2[[#This Row],[RRA_pub_date]]=""),1, 0)))))</f>
        <v>0</v>
      </c>
      <c r="AO64" s="41">
        <f>IF(ISBLANK(Table2[[#This Row],[Need_EIS]]), 2,(IF(Table2[[#This Row],[Need_EIS]]="No", 0, (IF(AND(Table2[[#This Row],[Need_EIS]]="Yes",  Table2[[#This Row],[EIS_pub_date]]=""),1, 0)))))</f>
        <v>0</v>
      </c>
      <c r="AP64" s="41">
        <f>IF(ISBLANK(Table2[[#This Row],[Need_DON]]), 2,(IF(Table2[[#This Row],[Need_DON]]="No", 0, (IF(AND(Table2[[#This Row],[Need_DON]]="Yes",  Table2[[#This Row],[DON_pub_date]]=""),1, 0)))))</f>
        <v>0</v>
      </c>
      <c r="AQ64" s="41">
        <f>IF(ISBLANK(Table2[[#This Row],[Pending_question]]), 2,(IF(Table2[[#This Row],[Pending_question]]="Yes", 1, 0)))</f>
        <v>0</v>
      </c>
      <c r="AR64" s="42">
        <v>44502</v>
      </c>
    </row>
    <row r="65" spans="1:44" ht="15" customHeight="1">
      <c r="A65" s="63">
        <v>44505</v>
      </c>
      <c r="B65" s="29" t="s">
        <v>15</v>
      </c>
      <c r="C65" s="33" t="str" cm="1">
        <f t="array" ref="C6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5" s="27" t="s">
        <v>456</v>
      </c>
      <c r="E65" s="58" t="s">
        <v>252</v>
      </c>
      <c r="F65" s="29" t="s">
        <v>169</v>
      </c>
      <c r="G65" s="29" t="s">
        <v>34</v>
      </c>
      <c r="H65" s="59">
        <v>44505</v>
      </c>
      <c r="I65" s="59" t="s">
        <v>34</v>
      </c>
      <c r="J65" s="59">
        <v>44510</v>
      </c>
      <c r="K65" s="59"/>
      <c r="L65" s="62" t="s">
        <v>645</v>
      </c>
      <c r="M65" s="70" t="s">
        <v>19</v>
      </c>
      <c r="N65" s="72"/>
      <c r="O65" s="73"/>
      <c r="P65" s="83" t="s">
        <v>19</v>
      </c>
      <c r="Q65" s="84">
        <v>1</v>
      </c>
      <c r="R65" s="29" t="s">
        <v>646</v>
      </c>
      <c r="S65" s="59">
        <v>44508</v>
      </c>
      <c r="T65" s="59"/>
      <c r="U65" s="59">
        <v>44529</v>
      </c>
      <c r="V65" s="29" t="s">
        <v>34</v>
      </c>
      <c r="W65" s="29" t="s">
        <v>20</v>
      </c>
      <c r="X65" s="27" t="s">
        <v>51</v>
      </c>
      <c r="Y65" s="58" t="s">
        <v>30</v>
      </c>
      <c r="Z65" s="29" t="s">
        <v>33</v>
      </c>
      <c r="AA65" s="29"/>
      <c r="AB65" s="29" t="s">
        <v>647</v>
      </c>
      <c r="AC65" s="59">
        <v>44508</v>
      </c>
      <c r="AD65" s="59"/>
      <c r="AE65" s="59">
        <v>44533</v>
      </c>
      <c r="AF65" s="29" t="s">
        <v>34</v>
      </c>
      <c r="AG65" s="29" t="s">
        <v>34</v>
      </c>
      <c r="AH65" s="85">
        <v>44538</v>
      </c>
      <c r="AI65" s="58" t="s">
        <v>30</v>
      </c>
      <c r="AJ65" s="143"/>
      <c r="AK65" s="86">
        <v>44553</v>
      </c>
      <c r="AL65" s="102" t="s">
        <v>648</v>
      </c>
      <c r="AM65" s="41" t="str">
        <f>VLOOKUP(Table2[[#This Row],[country]],Countrycode!A:B,2,FALSE)</f>
        <v>TCD</v>
      </c>
      <c r="AN65" s="41">
        <f>IF(ISBLANK(Table2[[#This Row],[Need_RRA]]), 2,(IF(Table2[[#This Row],[Need_RRA]]="No", 0, (IF(AND(Table2[[#This Row],[Need_RRA]]="Yes",  Table2[[#This Row],[RRA_pub_date]]=""),1, 0)))))</f>
        <v>0</v>
      </c>
      <c r="AO65" s="41">
        <f>IF(ISBLANK(Table2[[#This Row],[Need_EIS]]), 2,(IF(Table2[[#This Row],[Need_EIS]]="No", 0, (IF(AND(Table2[[#This Row],[Need_EIS]]="Yes",  Table2[[#This Row],[EIS_pub_date]]=""),1, 0)))))</f>
        <v>0</v>
      </c>
      <c r="AP65" s="41">
        <f>IF(ISBLANK(Table2[[#This Row],[Need_DON]]), 2,(IF(Table2[[#This Row],[Need_DON]]="No", 0, (IF(AND(Table2[[#This Row],[Need_DON]]="Yes",  Table2[[#This Row],[DON_pub_date]]=""),1, 0)))))</f>
        <v>0</v>
      </c>
      <c r="AQ65" s="41">
        <f>IF(ISBLANK(Table2[[#This Row],[Pending_question]]), 2,(IF(Table2[[#This Row],[Pending_question]]="Yes", 1, 0)))</f>
        <v>0</v>
      </c>
      <c r="AR65" s="42">
        <v>44505</v>
      </c>
    </row>
    <row r="66" spans="1:44" ht="15" customHeight="1">
      <c r="A66" s="63">
        <v>44507</v>
      </c>
      <c r="B66" s="29" t="s">
        <v>15</v>
      </c>
      <c r="C66" s="33" t="str" cm="1">
        <f t="array" ref="C6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6" s="27" t="s">
        <v>464</v>
      </c>
      <c r="E66" s="58" t="s">
        <v>80</v>
      </c>
      <c r="F66" s="29" t="s">
        <v>173</v>
      </c>
      <c r="G66" s="29" t="s">
        <v>34</v>
      </c>
      <c r="H66" s="59">
        <v>44507</v>
      </c>
      <c r="I66" s="63" t="s">
        <v>34</v>
      </c>
      <c r="J66" s="54"/>
      <c r="K66" s="59"/>
      <c r="L66" s="57"/>
      <c r="M66" s="70" t="s">
        <v>19</v>
      </c>
      <c r="N66" s="55"/>
      <c r="O66" s="71"/>
      <c r="P66" s="83" t="s">
        <v>19</v>
      </c>
      <c r="Q66" s="185" t="s">
        <v>34</v>
      </c>
      <c r="R66" s="29" t="s">
        <v>632</v>
      </c>
      <c r="S66" s="29" t="s">
        <v>34</v>
      </c>
      <c r="T66" s="59"/>
      <c r="U66" s="29" t="s">
        <v>34</v>
      </c>
      <c r="V66" s="29" t="s">
        <v>34</v>
      </c>
      <c r="W66" s="29" t="s">
        <v>34</v>
      </c>
      <c r="X66" s="27" t="s">
        <v>34</v>
      </c>
      <c r="Y66" s="58" t="s">
        <v>627</v>
      </c>
      <c r="Z66" s="29" t="s">
        <v>42</v>
      </c>
      <c r="AA66" s="29"/>
      <c r="AB66" s="29" t="s">
        <v>649</v>
      </c>
      <c r="AC66" s="59">
        <v>44507</v>
      </c>
      <c r="AD66" s="59"/>
      <c r="AE66" s="59">
        <v>44508</v>
      </c>
      <c r="AF66" s="29"/>
      <c r="AG66" s="29"/>
      <c r="AH66" s="85">
        <v>44512</v>
      </c>
      <c r="AI66" s="58" t="s">
        <v>19</v>
      </c>
      <c r="AJ66" s="143"/>
      <c r="AK66" s="28"/>
      <c r="AL66" s="102"/>
      <c r="AM66" s="41" t="str">
        <f>VLOOKUP(Table2[[#This Row],[country]],Countrycode!A:B,2,FALSE)</f>
        <v>CHN</v>
      </c>
      <c r="AN66" s="41">
        <f>IF(ISBLANK(Table2[[#This Row],[Need_RRA]]), 2,(IF(Table2[[#This Row],[Need_RRA]]="No", 0, (IF(AND(Table2[[#This Row],[Need_RRA]]="Yes",  Table2[[#This Row],[RRA_pub_date]]=""),1, 0)))))</f>
        <v>0</v>
      </c>
      <c r="AO66" s="41">
        <f>IF(ISBLANK(Table2[[#This Row],[Need_EIS]]), 2,(IF(Table2[[#This Row],[Need_EIS]]="No", 0, (IF(AND(Table2[[#This Row],[Need_EIS]]="Yes",  Table2[[#This Row],[EIS_pub_date]]=""),1, 0)))))</f>
        <v>0</v>
      </c>
      <c r="AP66" s="41">
        <f>IF(ISBLANK(Table2[[#This Row],[Need_DON]]), 2,(IF(Table2[[#This Row],[Need_DON]]="No", 0, (IF(AND(Table2[[#This Row],[Need_DON]]="Yes",  Table2[[#This Row],[DON_pub_date]]=""),1, 0)))))</f>
        <v>0</v>
      </c>
      <c r="AQ66" s="41">
        <f>IF(ISBLANK(Table2[[#This Row],[Pending_question]]), 2,(IF(Table2[[#This Row],[Pending_question]]="Yes", 1, 0)))</f>
        <v>0</v>
      </c>
      <c r="AR66" s="42">
        <v>44508</v>
      </c>
    </row>
    <row r="67" spans="1:44" ht="15" customHeight="1">
      <c r="A67" s="63">
        <v>44508</v>
      </c>
      <c r="B67" s="29" t="s">
        <v>15</v>
      </c>
      <c r="C67" s="33" t="str" cm="1">
        <f t="array" ref="C6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7" s="27" t="s">
        <v>650</v>
      </c>
      <c r="E67" s="58" t="s">
        <v>235</v>
      </c>
      <c r="F67" s="29" t="s">
        <v>364</v>
      </c>
      <c r="G67" s="29" t="s">
        <v>34</v>
      </c>
      <c r="H67" s="59">
        <v>44508</v>
      </c>
      <c r="I67" s="59" t="s">
        <v>34</v>
      </c>
      <c r="J67" s="29" t="s">
        <v>651</v>
      </c>
      <c r="K67" s="43"/>
      <c r="L67" s="60"/>
      <c r="M67" s="70" t="s">
        <v>19</v>
      </c>
      <c r="N67" s="55"/>
      <c r="O67" s="71"/>
      <c r="P67" s="83" t="s">
        <v>19</v>
      </c>
      <c r="Q67" s="82" t="s">
        <v>34</v>
      </c>
      <c r="R67" s="59" t="s">
        <v>652</v>
      </c>
      <c r="S67" s="29" t="s">
        <v>34</v>
      </c>
      <c r="T67" s="59"/>
      <c r="U67" s="29" t="s">
        <v>34</v>
      </c>
      <c r="V67" s="29" t="s">
        <v>34</v>
      </c>
      <c r="W67" s="29" t="s">
        <v>34</v>
      </c>
      <c r="X67" s="27" t="s">
        <v>34</v>
      </c>
      <c r="Y67" s="58" t="s">
        <v>19</v>
      </c>
      <c r="Z67" s="29" t="s">
        <v>34</v>
      </c>
      <c r="AA67" s="29"/>
      <c r="AB67" s="59" t="s">
        <v>652</v>
      </c>
      <c r="AC67" s="59" t="s">
        <v>34</v>
      </c>
      <c r="AD67" s="59"/>
      <c r="AE67" s="59" t="s">
        <v>34</v>
      </c>
      <c r="AF67" s="59" t="s">
        <v>34</v>
      </c>
      <c r="AG67" s="59" t="s">
        <v>34</v>
      </c>
      <c r="AH67" s="27" t="s">
        <v>34</v>
      </c>
      <c r="AI67" s="58" t="s">
        <v>19</v>
      </c>
      <c r="AJ67" s="143"/>
      <c r="AK67" s="28"/>
      <c r="AL67" s="102" t="s">
        <v>653</v>
      </c>
      <c r="AM67" s="41" t="str">
        <f>VLOOKUP(Table2[[#This Row],[country]],Countrycode!A:B,2,FALSE)</f>
        <v>SEN</v>
      </c>
      <c r="AN67" s="41">
        <f>IF(ISBLANK(Table2[[#This Row],[Need_RRA]]), 2,(IF(Table2[[#This Row],[Need_RRA]]="No", 0, (IF(AND(Table2[[#This Row],[Need_RRA]]="Yes",  Table2[[#This Row],[RRA_pub_date]]=""),1, 0)))))</f>
        <v>0</v>
      </c>
      <c r="AO67" s="41">
        <f>IF(ISBLANK(Table2[[#This Row],[Need_EIS]]), 2,(IF(Table2[[#This Row],[Need_EIS]]="No", 0, (IF(AND(Table2[[#This Row],[Need_EIS]]="Yes",  Table2[[#This Row],[EIS_pub_date]]=""),1, 0)))))</f>
        <v>0</v>
      </c>
      <c r="AP67" s="41">
        <f>IF(ISBLANK(Table2[[#This Row],[Need_DON]]), 2,(IF(Table2[[#This Row],[Need_DON]]="No", 0, (IF(AND(Table2[[#This Row],[Need_DON]]="Yes",  Table2[[#This Row],[DON_pub_date]]=""),1, 0)))))</f>
        <v>0</v>
      </c>
      <c r="AQ67" s="41">
        <f>IF(ISBLANK(Table2[[#This Row],[Pending_question]]), 2,(IF(Table2[[#This Row],[Pending_question]]="Yes", 1, 0)))</f>
        <v>0</v>
      </c>
      <c r="AR67" s="42">
        <v>44508</v>
      </c>
    </row>
    <row r="68" spans="1:44" ht="15" customHeight="1">
      <c r="A68" s="63">
        <v>44511</v>
      </c>
      <c r="B68" s="29" t="s">
        <v>15</v>
      </c>
      <c r="C68" s="33" t="str" cm="1">
        <f t="array" ref="C6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8" s="27" t="s">
        <v>654</v>
      </c>
      <c r="E68" s="58" t="s">
        <v>243</v>
      </c>
      <c r="F68" s="29" t="s">
        <v>167</v>
      </c>
      <c r="G68" s="29" t="s">
        <v>34</v>
      </c>
      <c r="H68" s="59">
        <v>44511</v>
      </c>
      <c r="I68" s="59" t="s">
        <v>34</v>
      </c>
      <c r="J68" s="29"/>
      <c r="K68" s="43"/>
      <c r="L68" s="60"/>
      <c r="M68" s="70" t="s">
        <v>19</v>
      </c>
      <c r="N68" s="55"/>
      <c r="O68" s="71"/>
      <c r="P68" s="83" t="s">
        <v>19</v>
      </c>
      <c r="Q68" s="186" t="s">
        <v>34</v>
      </c>
      <c r="R68" s="29"/>
      <c r="S68" s="29" t="s">
        <v>34</v>
      </c>
      <c r="T68" s="59"/>
      <c r="U68" s="29" t="s">
        <v>34</v>
      </c>
      <c r="V68" s="29" t="s">
        <v>34</v>
      </c>
      <c r="W68" s="29" t="s">
        <v>34</v>
      </c>
      <c r="X68" s="27" t="s">
        <v>34</v>
      </c>
      <c r="Y68" s="58" t="s">
        <v>19</v>
      </c>
      <c r="Z68" s="29"/>
      <c r="AA68" s="29"/>
      <c r="AB68" s="29"/>
      <c r="AC68" s="29"/>
      <c r="AD68" s="59"/>
      <c r="AE68" s="29"/>
      <c r="AF68" s="29"/>
      <c r="AG68" s="29"/>
      <c r="AH68" s="27"/>
      <c r="AI68" s="58" t="s">
        <v>19</v>
      </c>
      <c r="AJ68" s="143"/>
      <c r="AK68" s="28"/>
      <c r="AL68" s="102" t="s">
        <v>655</v>
      </c>
      <c r="AM68" s="41" t="str">
        <f>VLOOKUP(Table2[[#This Row],[country]],Countrycode!A:B,2,FALSE)</f>
        <v>CAF</v>
      </c>
      <c r="AN68" s="41">
        <f>IF(ISBLANK(Table2[[#This Row],[Need_RRA]]), 2,(IF(Table2[[#This Row],[Need_RRA]]="No", 0, (IF(AND(Table2[[#This Row],[Need_RRA]]="Yes",  Table2[[#This Row],[RRA_pub_date]]=""),1, 0)))))</f>
        <v>0</v>
      </c>
      <c r="AO68" s="41">
        <f>IF(ISBLANK(Table2[[#This Row],[Need_EIS]]), 2,(IF(Table2[[#This Row],[Need_EIS]]="No", 0, (IF(AND(Table2[[#This Row],[Need_EIS]]="Yes",  Table2[[#This Row],[EIS_pub_date]]=""),1, 0)))))</f>
        <v>0</v>
      </c>
      <c r="AP68" s="41">
        <f>IF(ISBLANK(Table2[[#This Row],[Need_DON]]), 2,(IF(Table2[[#This Row],[Need_DON]]="No", 0, (IF(AND(Table2[[#This Row],[Need_DON]]="Yes",  Table2[[#This Row],[DON_pub_date]]=""),1, 0)))))</f>
        <v>0</v>
      </c>
      <c r="AQ68" s="41">
        <f>IF(ISBLANK(Table2[[#This Row],[Pending_question]]), 2,(IF(Table2[[#This Row],[Pending_question]]="Yes", 1, 0)))</f>
        <v>0</v>
      </c>
      <c r="AR68" s="42">
        <v>44511</v>
      </c>
    </row>
    <row r="69" spans="1:44" ht="15" customHeight="1" thickBot="1">
      <c r="A69" s="63">
        <v>44512</v>
      </c>
      <c r="B69" s="29" t="s">
        <v>15</v>
      </c>
      <c r="C69" s="33" t="str" cm="1">
        <f t="array" ref="C6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9" s="27" t="s">
        <v>656</v>
      </c>
      <c r="E69" s="58" t="s">
        <v>172</v>
      </c>
      <c r="F69" s="29" t="s">
        <v>208</v>
      </c>
      <c r="G69" s="29" t="s">
        <v>34</v>
      </c>
      <c r="H69" s="59">
        <v>44512</v>
      </c>
      <c r="I69" s="59" t="s">
        <v>34</v>
      </c>
      <c r="J69" s="29" t="s">
        <v>651</v>
      </c>
      <c r="K69" s="43"/>
      <c r="L69" s="180"/>
      <c r="M69" s="70" t="s">
        <v>19</v>
      </c>
      <c r="N69" s="55"/>
      <c r="O69" s="71"/>
      <c r="P69" s="83" t="s">
        <v>19</v>
      </c>
      <c r="Q69" s="186"/>
      <c r="R69" s="59" t="s">
        <v>657</v>
      </c>
      <c r="S69" s="29"/>
      <c r="T69" s="59"/>
      <c r="U69" s="29"/>
      <c r="V69" s="29"/>
      <c r="W69" s="29"/>
      <c r="X69" s="27"/>
      <c r="Y69" s="83" t="s">
        <v>19</v>
      </c>
      <c r="Z69" s="59" t="s">
        <v>34</v>
      </c>
      <c r="AA69" s="59"/>
      <c r="AB69" s="59"/>
      <c r="AC69" s="59" t="s">
        <v>34</v>
      </c>
      <c r="AD69" s="59"/>
      <c r="AE69" s="59" t="s">
        <v>34</v>
      </c>
      <c r="AF69" s="59" t="s">
        <v>34</v>
      </c>
      <c r="AG69" s="59" t="s">
        <v>34</v>
      </c>
      <c r="AH69" s="27" t="s">
        <v>34</v>
      </c>
      <c r="AI69" s="83" t="s">
        <v>19</v>
      </c>
      <c r="AJ69" s="143"/>
      <c r="AK69" s="28"/>
      <c r="AL69" s="102" t="s">
        <v>658</v>
      </c>
      <c r="AM69" s="41" t="str">
        <f>VLOOKUP(Table2[[#This Row],[country]],Countrycode!A:B,2,FALSE)</f>
        <v>COD</v>
      </c>
      <c r="AN69" s="41">
        <f>IF(ISBLANK(Table2[[#This Row],[Need_RRA]]), 2,(IF(Table2[[#This Row],[Need_RRA]]="No", 0, (IF(AND(Table2[[#This Row],[Need_RRA]]="Yes",  Table2[[#This Row],[RRA_pub_date]]=""),1, 0)))))</f>
        <v>0</v>
      </c>
      <c r="AO69" s="41">
        <f>IF(ISBLANK(Table2[[#This Row],[Need_EIS]]), 2,(IF(Table2[[#This Row],[Need_EIS]]="No", 0, (IF(AND(Table2[[#This Row],[Need_EIS]]="Yes",  Table2[[#This Row],[EIS_pub_date]]=""),1, 0)))))</f>
        <v>0</v>
      </c>
      <c r="AP69" s="41">
        <f>IF(ISBLANK(Table2[[#This Row],[Need_DON]]), 2,(IF(Table2[[#This Row],[Need_DON]]="No", 0, (IF(AND(Table2[[#This Row],[Need_DON]]="Yes",  Table2[[#This Row],[DON_pub_date]]=""),1, 0)))))</f>
        <v>0</v>
      </c>
      <c r="AQ69" s="41">
        <f>IF(ISBLANK(Table2[[#This Row],[Pending_question]]), 2,(IF(Table2[[#This Row],[Pending_question]]="Yes", 1, 0)))</f>
        <v>0</v>
      </c>
      <c r="AR69" s="42">
        <v>44512</v>
      </c>
    </row>
    <row r="70" spans="1:44" ht="15" customHeight="1" thickTop="1">
      <c r="A70" s="63">
        <v>44516</v>
      </c>
      <c r="B70" s="29" t="s">
        <v>15</v>
      </c>
      <c r="C70" s="33" t="str" cm="1">
        <f t="array" ref="C7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70" s="27" t="s">
        <v>659</v>
      </c>
      <c r="E70" s="58" t="s">
        <v>252</v>
      </c>
      <c r="F70" s="29" t="s">
        <v>39</v>
      </c>
      <c r="G70" s="29" t="s">
        <v>660</v>
      </c>
      <c r="H70" s="59">
        <v>44516</v>
      </c>
      <c r="I70" s="59" t="s">
        <v>34</v>
      </c>
      <c r="J70" s="29"/>
      <c r="K70" s="43" t="s">
        <v>661</v>
      </c>
      <c r="L70" s="179" t="s">
        <v>645</v>
      </c>
      <c r="M70" s="70" t="s">
        <v>19</v>
      </c>
      <c r="N70" s="74"/>
      <c r="O70" s="75"/>
      <c r="P70" s="83" t="s">
        <v>30</v>
      </c>
      <c r="Q70" s="186">
        <v>1</v>
      </c>
      <c r="R70" s="29" t="s">
        <v>662</v>
      </c>
      <c r="S70" s="59">
        <v>44515</v>
      </c>
      <c r="T70" s="59"/>
      <c r="U70" s="59">
        <v>44529</v>
      </c>
      <c r="V70" s="29" t="s">
        <v>34</v>
      </c>
      <c r="W70" s="29" t="s">
        <v>20</v>
      </c>
      <c r="X70" s="27" t="s">
        <v>51</v>
      </c>
      <c r="Y70" s="58" t="s">
        <v>30</v>
      </c>
      <c r="Z70" s="29" t="s">
        <v>33</v>
      </c>
      <c r="AA70" s="29"/>
      <c r="AB70" s="29" t="s">
        <v>663</v>
      </c>
      <c r="AC70" s="59">
        <v>44511</v>
      </c>
      <c r="AD70" s="59"/>
      <c r="AE70" s="59">
        <v>44533</v>
      </c>
      <c r="AF70" s="29"/>
      <c r="AG70" s="29"/>
      <c r="AH70" s="85">
        <v>44538</v>
      </c>
      <c r="AI70" s="58" t="s">
        <v>30</v>
      </c>
      <c r="AJ70" s="143"/>
      <c r="AK70" s="86">
        <v>44553</v>
      </c>
      <c r="AL70" s="102"/>
      <c r="AM70" s="41" t="str">
        <f>VLOOKUP(Table2[[#This Row],[country]],Countrycode!A:B,2,FALSE)</f>
        <v>MLX</v>
      </c>
      <c r="AN70" s="41">
        <f>IF(ISBLANK(Table2[[#This Row],[Need_RRA]]), 2,(IF(Table2[[#This Row],[Need_RRA]]="No", 0, (IF(AND(Table2[[#This Row],[Need_RRA]]="Yes",  Table2[[#This Row],[RRA_pub_date]]=""),1, 0)))))</f>
        <v>0</v>
      </c>
      <c r="AO70" s="41">
        <f>IF(ISBLANK(Table2[[#This Row],[Need_EIS]]), 2,(IF(Table2[[#This Row],[Need_EIS]]="No", 0, (IF(AND(Table2[[#This Row],[Need_EIS]]="Yes",  Table2[[#This Row],[EIS_pub_date]]=""),1, 0)))))</f>
        <v>0</v>
      </c>
      <c r="AP70" s="41">
        <f>IF(ISBLANK(Table2[[#This Row],[Need_DON]]), 2,(IF(Table2[[#This Row],[Need_DON]]="No", 0, (IF(AND(Table2[[#This Row],[Need_DON]]="Yes",  Table2[[#This Row],[DON_pub_date]]=""),1, 0)))))</f>
        <v>0</v>
      </c>
      <c r="AQ70" s="41">
        <f>IF(ISBLANK(Table2[[#This Row],[Pending_question]]), 2,(IF(Table2[[#This Row],[Pending_question]]="Yes", 1, 0)))</f>
        <v>0</v>
      </c>
      <c r="AR70" s="42">
        <v>44505</v>
      </c>
    </row>
    <row r="71" spans="1:44" s="20" customFormat="1" ht="15" customHeight="1">
      <c r="A71" s="63">
        <v>44516</v>
      </c>
      <c r="B71" s="29" t="s">
        <v>15</v>
      </c>
      <c r="C71" s="33" t="str" cm="1">
        <f t="array" ref="C7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71" s="27" t="s">
        <v>664</v>
      </c>
      <c r="E71" s="58" t="s">
        <v>516</v>
      </c>
      <c r="F71" s="29" t="s">
        <v>403</v>
      </c>
      <c r="G71" s="29" t="s">
        <v>34</v>
      </c>
      <c r="H71" s="59">
        <v>44516</v>
      </c>
      <c r="I71" s="59" t="s">
        <v>34</v>
      </c>
      <c r="J71" s="59">
        <v>44516</v>
      </c>
      <c r="K71" s="64" t="s">
        <v>665</v>
      </c>
      <c r="L71" s="62"/>
      <c r="M71" s="70" t="s">
        <v>19</v>
      </c>
      <c r="N71" s="72"/>
      <c r="O71" s="73"/>
      <c r="P71" s="83" t="s">
        <v>19</v>
      </c>
      <c r="Q71" s="82" t="s">
        <v>34</v>
      </c>
      <c r="R71" s="29"/>
      <c r="S71" s="29" t="s">
        <v>34</v>
      </c>
      <c r="T71" s="59"/>
      <c r="U71" s="29" t="s">
        <v>34</v>
      </c>
      <c r="V71" s="29" t="s">
        <v>34</v>
      </c>
      <c r="W71" s="29" t="s">
        <v>34</v>
      </c>
      <c r="X71" s="27" t="s">
        <v>34</v>
      </c>
      <c r="Y71" s="58" t="s">
        <v>30</v>
      </c>
      <c r="Z71" s="29" t="s">
        <v>42</v>
      </c>
      <c r="AA71" s="29"/>
      <c r="AB71" s="29" t="s">
        <v>666</v>
      </c>
      <c r="AC71" s="29"/>
      <c r="AD71" s="59"/>
      <c r="AE71" s="29"/>
      <c r="AF71" s="29"/>
      <c r="AG71" s="29"/>
      <c r="AH71" s="85">
        <v>44522</v>
      </c>
      <c r="AI71" s="58" t="s">
        <v>30</v>
      </c>
      <c r="AJ71" s="143"/>
      <c r="AK71" s="86">
        <v>44525</v>
      </c>
      <c r="AL71" s="103"/>
      <c r="AM71" s="16" t="str">
        <f>VLOOKUP(Table2[[#This Row],[country]],Countrycode!A:B,2,FALSE)</f>
        <v>USA</v>
      </c>
      <c r="AN71" s="16">
        <f>IF(ISBLANK(Table2[[#This Row],[Need_RRA]]), 2,(IF(Table2[[#This Row],[Need_RRA]]="No", 0, (IF(AND(Table2[[#This Row],[Need_RRA]]="Yes",  Table2[[#This Row],[RRA_pub_date]]=""),1, 0)))))</f>
        <v>0</v>
      </c>
      <c r="AO71" s="16">
        <f>IF(ISBLANK(Table2[[#This Row],[Need_EIS]]), 2,(IF(Table2[[#This Row],[Need_EIS]]="No", 0, (IF(AND(Table2[[#This Row],[Need_EIS]]="Yes",  Table2[[#This Row],[EIS_pub_date]]=""),1, 0)))))</f>
        <v>0</v>
      </c>
      <c r="AP71" s="16">
        <f>IF(ISBLANK(Table2[[#This Row],[Need_DON]]), 2,(IF(Table2[[#This Row],[Need_DON]]="No", 0, (IF(AND(Table2[[#This Row],[Need_DON]]="Yes",  Table2[[#This Row],[DON_pub_date]]=""),1, 0)))))</f>
        <v>0</v>
      </c>
      <c r="AQ71" s="16">
        <f>IF(ISBLANK(Table2[[#This Row],[Pending_question]]), 2,(IF(Table2[[#This Row],[Pending_question]]="Yes", 1, 0)))</f>
        <v>0</v>
      </c>
      <c r="AR71" s="42">
        <v>44516</v>
      </c>
    </row>
    <row r="72" spans="1:44" ht="15" customHeight="1">
      <c r="A72" s="63">
        <v>44518</v>
      </c>
      <c r="B72" s="30" t="s">
        <v>15</v>
      </c>
      <c r="C72" s="33" t="str" cm="1">
        <f t="array" ref="C7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72" s="31" t="s">
        <v>656</v>
      </c>
      <c r="E72" s="291" t="s">
        <v>667</v>
      </c>
      <c r="F72" s="30" t="s">
        <v>208</v>
      </c>
      <c r="G72" s="30" t="s">
        <v>34</v>
      </c>
      <c r="H72" s="59">
        <v>44518</v>
      </c>
      <c r="I72" s="65" t="s">
        <v>34</v>
      </c>
      <c r="J72" s="30"/>
      <c r="K72" s="342"/>
      <c r="L72" s="374"/>
      <c r="M72" s="70" t="s">
        <v>19</v>
      </c>
      <c r="N72" s="342"/>
      <c r="O72" s="344"/>
      <c r="P72" s="356" t="s">
        <v>19</v>
      </c>
      <c r="Q72" s="82" t="s">
        <v>34</v>
      </c>
      <c r="R72" s="30"/>
      <c r="S72" s="30" t="s">
        <v>34</v>
      </c>
      <c r="T72" s="66"/>
      <c r="U72" s="30" t="s">
        <v>34</v>
      </c>
      <c r="V72" s="30" t="s">
        <v>34</v>
      </c>
      <c r="W72" s="30" t="s">
        <v>34</v>
      </c>
      <c r="X72" s="31" t="s">
        <v>34</v>
      </c>
      <c r="Y72" s="291" t="s">
        <v>19</v>
      </c>
      <c r="Z72" s="29" t="s">
        <v>34</v>
      </c>
      <c r="AA72" s="30"/>
      <c r="AB72" s="30"/>
      <c r="AC72" s="59" t="s">
        <v>34</v>
      </c>
      <c r="AD72" s="59"/>
      <c r="AE72" s="59" t="s">
        <v>34</v>
      </c>
      <c r="AF72" s="59" t="s">
        <v>34</v>
      </c>
      <c r="AG72" s="59" t="s">
        <v>34</v>
      </c>
      <c r="AH72" s="27" t="s">
        <v>34</v>
      </c>
      <c r="AI72" s="291" t="s">
        <v>19</v>
      </c>
      <c r="AJ72" s="143">
        <v>45023</v>
      </c>
      <c r="AK72" s="86">
        <v>45050</v>
      </c>
      <c r="AL72" s="189" t="s">
        <v>668</v>
      </c>
      <c r="AM72" s="195" t="str">
        <f>VLOOKUP(Table2[[#This Row],[country]],Countrycode!A:B,2,FALSE)</f>
        <v>COD</v>
      </c>
      <c r="AN72" s="195">
        <f>IF(ISBLANK(Table2[[#This Row],[Need_RRA]]), 2,(IF(Table2[[#This Row],[Need_RRA]]="No", 0, (IF(AND(Table2[[#This Row],[Need_RRA]]="Yes",  Table2[[#This Row],[RRA_pub_date]]=""),1, 0)))))</f>
        <v>0</v>
      </c>
      <c r="AO72" s="195">
        <f>IF(ISBLANK(Table2[[#This Row],[Need_EIS]]), 2,(IF(Table2[[#This Row],[Need_EIS]]="No", 0, (IF(AND(Table2[[#This Row],[Need_EIS]]="Yes",  Table2[[#This Row],[EIS_pub_date]]=""),1, 0)))))</f>
        <v>0</v>
      </c>
      <c r="AP72" s="195">
        <f>IF(ISBLANK(Table2[[#This Row],[Need_DON]]), 2,(IF(Table2[[#This Row],[Need_DON]]="No", 0, (IF(AND(Table2[[#This Row],[Need_DON]]="Yes",  Table2[[#This Row],[DON_pub_date]]=""),1, 0)))))</f>
        <v>0</v>
      </c>
      <c r="AQ72" s="195">
        <f>IF(ISBLANK(Table2[[#This Row],[Pending_question]]), 2,(IF(Table2[[#This Row],[Pending_question]]="Yes", 1, 0)))</f>
        <v>0</v>
      </c>
      <c r="AR72" s="364">
        <v>44518</v>
      </c>
    </row>
    <row r="73" spans="1:44" ht="15" customHeight="1">
      <c r="A73" s="63">
        <v>44518</v>
      </c>
      <c r="B73" s="29" t="s">
        <v>15</v>
      </c>
      <c r="C73" s="33" t="str" cm="1">
        <f t="array" ref="C7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73" s="27" t="s">
        <v>669</v>
      </c>
      <c r="E73" s="58" t="s">
        <v>136</v>
      </c>
      <c r="F73" s="29" t="s">
        <v>335</v>
      </c>
      <c r="G73" s="29" t="s">
        <v>34</v>
      </c>
      <c r="H73" s="59">
        <v>44518</v>
      </c>
      <c r="I73" s="59" t="s">
        <v>34</v>
      </c>
      <c r="J73" s="59">
        <v>44522</v>
      </c>
      <c r="K73" s="43" t="s">
        <v>670</v>
      </c>
      <c r="L73" s="60"/>
      <c r="M73" s="70" t="s">
        <v>19</v>
      </c>
      <c r="N73" s="55"/>
      <c r="O73" s="71"/>
      <c r="P73" s="83" t="s">
        <v>19</v>
      </c>
      <c r="Q73" s="82" t="s">
        <v>34</v>
      </c>
      <c r="R73" s="29"/>
      <c r="S73" s="29" t="s">
        <v>34</v>
      </c>
      <c r="T73" s="59"/>
      <c r="U73" s="29" t="s">
        <v>34</v>
      </c>
      <c r="V73" s="29" t="s">
        <v>34</v>
      </c>
      <c r="W73" s="29" t="s">
        <v>34</v>
      </c>
      <c r="X73" s="27" t="s">
        <v>34</v>
      </c>
      <c r="Y73" s="58" t="s">
        <v>627</v>
      </c>
      <c r="Z73" s="29"/>
      <c r="AA73" s="29"/>
      <c r="AB73" s="29" t="s">
        <v>671</v>
      </c>
      <c r="AC73" s="29"/>
      <c r="AD73" s="59"/>
      <c r="AE73" s="29"/>
      <c r="AF73" s="29"/>
      <c r="AG73" s="29"/>
      <c r="AH73" s="85">
        <v>44533</v>
      </c>
      <c r="AI73" s="58" t="s">
        <v>30</v>
      </c>
      <c r="AJ73" s="143"/>
      <c r="AK73" s="86">
        <v>44544</v>
      </c>
      <c r="AL73" s="102" t="s">
        <v>672</v>
      </c>
      <c r="AM73" s="41" t="str">
        <f>VLOOKUP(Table2[[#This Row],[country]],Countrycode!A:B,2,FALSE)</f>
        <v>PAK</v>
      </c>
      <c r="AN73" s="41">
        <f>IF(ISBLANK(Table2[[#This Row],[Need_RRA]]), 2,(IF(Table2[[#This Row],[Need_RRA]]="No", 0, (IF(AND(Table2[[#This Row],[Need_RRA]]="Yes",  Table2[[#This Row],[RRA_pub_date]]=""),1, 0)))))</f>
        <v>0</v>
      </c>
      <c r="AO73" s="41">
        <f>IF(ISBLANK(Table2[[#This Row],[Need_EIS]]), 2,(IF(Table2[[#This Row],[Need_EIS]]="No", 0, (IF(AND(Table2[[#This Row],[Need_EIS]]="Yes",  Table2[[#This Row],[EIS_pub_date]]=""),1, 0)))))</f>
        <v>0</v>
      </c>
      <c r="AP73" s="41">
        <f>IF(ISBLANK(Table2[[#This Row],[Need_DON]]), 2,(IF(Table2[[#This Row],[Need_DON]]="No", 0, (IF(AND(Table2[[#This Row],[Need_DON]]="Yes",  Table2[[#This Row],[DON_pub_date]]=""),1, 0)))))</f>
        <v>0</v>
      </c>
      <c r="AQ73" s="41">
        <f>IF(ISBLANK(Table2[[#This Row],[Pending_question]]), 2,(IF(Table2[[#This Row],[Pending_question]]="Yes", 1, 0)))</f>
        <v>0</v>
      </c>
      <c r="AR73" s="42">
        <v>44518</v>
      </c>
    </row>
    <row r="74" spans="1:44" ht="15" customHeight="1">
      <c r="A74" s="63">
        <v>44518</v>
      </c>
      <c r="B74" s="29" t="s">
        <v>15</v>
      </c>
      <c r="C74" s="33" t="str" cm="1">
        <f t="array" ref="C7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74" s="27" t="s">
        <v>464</v>
      </c>
      <c r="E74" s="58" t="s">
        <v>180</v>
      </c>
      <c r="F74" s="29" t="s">
        <v>399</v>
      </c>
      <c r="G74" s="29" t="s">
        <v>34</v>
      </c>
      <c r="H74" s="59">
        <v>44518</v>
      </c>
      <c r="I74" s="59" t="s">
        <v>34</v>
      </c>
      <c r="J74" s="59">
        <v>44518</v>
      </c>
      <c r="K74" s="43" t="s">
        <v>673</v>
      </c>
      <c r="L74" s="179" t="s">
        <v>674</v>
      </c>
      <c r="M74" s="70" t="s">
        <v>19</v>
      </c>
      <c r="N74" s="74"/>
      <c r="O74" s="75"/>
      <c r="P74" s="83" t="s">
        <v>19</v>
      </c>
      <c r="Q74" s="82" t="s">
        <v>34</v>
      </c>
      <c r="R74" s="29"/>
      <c r="S74" s="29" t="s">
        <v>34</v>
      </c>
      <c r="T74" s="59"/>
      <c r="U74" s="29" t="s">
        <v>34</v>
      </c>
      <c r="V74" s="29" t="s">
        <v>34</v>
      </c>
      <c r="W74" s="29" t="s">
        <v>34</v>
      </c>
      <c r="X74" s="27" t="s">
        <v>34</v>
      </c>
      <c r="Y74" s="58" t="s">
        <v>627</v>
      </c>
      <c r="Z74" s="29"/>
      <c r="AA74" s="29"/>
      <c r="AB74" s="29" t="s">
        <v>675</v>
      </c>
      <c r="AC74" s="29"/>
      <c r="AD74" s="59"/>
      <c r="AE74" s="29"/>
      <c r="AF74" s="29"/>
      <c r="AG74" s="29"/>
      <c r="AH74" s="59">
        <v>44526</v>
      </c>
      <c r="AI74" s="58" t="s">
        <v>30</v>
      </c>
      <c r="AJ74" s="143"/>
      <c r="AK74" s="86">
        <v>44543</v>
      </c>
      <c r="AL74" s="102" t="s">
        <v>676</v>
      </c>
      <c r="AM74" s="41" t="str">
        <f>VLOOKUP(Table2[[#This Row],[country]],Countrycode!A:B,2,FALSE)</f>
        <v>ARE</v>
      </c>
      <c r="AN74" s="41">
        <f>IF(ISBLANK(Table2[[#This Row],[Need_RRA]]), 2,(IF(Table2[[#This Row],[Need_RRA]]="No", 0, (IF(AND(Table2[[#This Row],[Need_RRA]]="Yes",  Table2[[#This Row],[RRA_pub_date]]=""),1, 0)))))</f>
        <v>0</v>
      </c>
      <c r="AO74" s="41">
        <f>IF(ISBLANK(Table2[[#This Row],[Need_EIS]]), 2,(IF(Table2[[#This Row],[Need_EIS]]="No", 0, (IF(AND(Table2[[#This Row],[Need_EIS]]="Yes",  Table2[[#This Row],[EIS_pub_date]]=""),1, 0)))))</f>
        <v>0</v>
      </c>
      <c r="AP74" s="41">
        <f>IF(ISBLANK(Table2[[#This Row],[Need_DON]]), 2,(IF(Table2[[#This Row],[Need_DON]]="No", 0, (IF(AND(Table2[[#This Row],[Need_DON]]="Yes",  Table2[[#This Row],[DON_pub_date]]=""),1, 0)))))</f>
        <v>0</v>
      </c>
      <c r="AQ74" s="41">
        <f>IF(ISBLANK(Table2[[#This Row],[Pending_question]]), 2,(IF(Table2[[#This Row],[Pending_question]]="Yes", 1, 0)))</f>
        <v>0</v>
      </c>
      <c r="AR74" s="42">
        <v>44518</v>
      </c>
    </row>
    <row r="75" spans="1:44" ht="15" customHeight="1">
      <c r="A75" s="63">
        <v>44523</v>
      </c>
      <c r="B75" s="29" t="s">
        <v>15</v>
      </c>
      <c r="C75" s="33" t="str" cm="1">
        <f t="array" ref="C7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75" s="27" t="s">
        <v>482</v>
      </c>
      <c r="E75" s="58" t="s">
        <v>677</v>
      </c>
      <c r="F75" s="29" t="s">
        <v>413</v>
      </c>
      <c r="G75" s="29" t="s">
        <v>34</v>
      </c>
      <c r="H75" s="59">
        <v>44523</v>
      </c>
      <c r="I75" s="59" t="s">
        <v>34</v>
      </c>
      <c r="J75" s="59">
        <v>44523</v>
      </c>
      <c r="K75" s="178" t="s">
        <v>678</v>
      </c>
      <c r="L75" s="183"/>
      <c r="M75" s="70" t="s">
        <v>19</v>
      </c>
      <c r="N75" s="314"/>
      <c r="O75" s="315"/>
      <c r="P75" s="83" t="s">
        <v>19</v>
      </c>
      <c r="Q75" s="185" t="s">
        <v>34</v>
      </c>
      <c r="R75" s="29"/>
      <c r="S75" s="29" t="s">
        <v>34</v>
      </c>
      <c r="T75" s="59"/>
      <c r="U75" s="29" t="s">
        <v>34</v>
      </c>
      <c r="V75" s="29" t="s">
        <v>34</v>
      </c>
      <c r="W75" s="29" t="s">
        <v>34</v>
      </c>
      <c r="X75" s="27" t="s">
        <v>34</v>
      </c>
      <c r="Y75" s="58" t="s">
        <v>627</v>
      </c>
      <c r="Z75" s="29"/>
      <c r="AA75" s="29"/>
      <c r="AB75" s="29" t="s">
        <v>679</v>
      </c>
      <c r="AC75" s="29"/>
      <c r="AD75" s="59"/>
      <c r="AE75" s="29"/>
      <c r="AF75" s="29"/>
      <c r="AG75" s="29"/>
      <c r="AH75" s="85">
        <v>44530</v>
      </c>
      <c r="AI75" s="58" t="s">
        <v>30</v>
      </c>
      <c r="AJ75" s="143"/>
      <c r="AK75" s="86">
        <v>44539</v>
      </c>
      <c r="AL75" s="102"/>
      <c r="AM75" s="41" t="str">
        <f>VLOOKUP(Table2[[#This Row],[country]],Countrycode!A:B,2,FALSE)</f>
        <v>YEM</v>
      </c>
      <c r="AN75" s="41">
        <f>IF(ISBLANK(Table2[[#This Row],[Need_RRA]]), 2,(IF(Table2[[#This Row],[Need_RRA]]="No", 0, (IF(AND(Table2[[#This Row],[Need_RRA]]="Yes",  Table2[[#This Row],[RRA_pub_date]]=""),1, 0)))))</f>
        <v>0</v>
      </c>
      <c r="AO75" s="41">
        <f>IF(ISBLANK(Table2[[#This Row],[Need_EIS]]), 2,(IF(Table2[[#This Row],[Need_EIS]]="No", 0, (IF(AND(Table2[[#This Row],[Need_EIS]]="Yes",  Table2[[#This Row],[EIS_pub_date]]=""),1, 0)))))</f>
        <v>0</v>
      </c>
      <c r="AP75" s="41">
        <f>IF(ISBLANK(Table2[[#This Row],[Need_DON]]), 2,(IF(Table2[[#This Row],[Need_DON]]="No", 0, (IF(AND(Table2[[#This Row],[Need_DON]]="Yes",  Table2[[#This Row],[DON_pub_date]]=""),1, 0)))))</f>
        <v>0</v>
      </c>
      <c r="AQ75" s="41">
        <f>IF(ISBLANK(Table2[[#This Row],[Pending_question]]), 2,(IF(Table2[[#This Row],[Pending_question]]="Yes", 1, 0)))</f>
        <v>0</v>
      </c>
      <c r="AR75" s="42">
        <v>44523</v>
      </c>
    </row>
    <row r="76" spans="1:44" ht="15" customHeight="1">
      <c r="A76" s="63">
        <v>44529</v>
      </c>
      <c r="B76" s="29" t="s">
        <v>15</v>
      </c>
      <c r="C76" s="33" t="str" cm="1">
        <f t="array" ref="C7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76" s="27" t="s">
        <v>635</v>
      </c>
      <c r="E76" s="58" t="s">
        <v>104</v>
      </c>
      <c r="F76" s="29" t="s">
        <v>173</v>
      </c>
      <c r="G76" s="29" t="s">
        <v>34</v>
      </c>
      <c r="H76" s="59">
        <v>44529</v>
      </c>
      <c r="I76" s="59" t="s">
        <v>34</v>
      </c>
      <c r="J76" s="59">
        <v>44528</v>
      </c>
      <c r="K76" s="43" t="s">
        <v>636</v>
      </c>
      <c r="L76" s="60"/>
      <c r="M76" s="70" t="s">
        <v>19</v>
      </c>
      <c r="N76" s="55"/>
      <c r="O76" s="71"/>
      <c r="P76" s="83" t="s">
        <v>19</v>
      </c>
      <c r="Q76" s="82" t="s">
        <v>34</v>
      </c>
      <c r="R76" s="29"/>
      <c r="S76" s="29" t="s">
        <v>34</v>
      </c>
      <c r="T76" s="59"/>
      <c r="U76" s="29" t="s">
        <v>34</v>
      </c>
      <c r="V76" s="29" t="s">
        <v>34</v>
      </c>
      <c r="W76" s="29" t="s">
        <v>34</v>
      </c>
      <c r="X76" s="27" t="s">
        <v>34</v>
      </c>
      <c r="Y76" s="58" t="s">
        <v>30</v>
      </c>
      <c r="Z76" s="29"/>
      <c r="AA76" s="29"/>
      <c r="AB76" s="29" t="s">
        <v>680</v>
      </c>
      <c r="AC76" s="29"/>
      <c r="AD76" s="59"/>
      <c r="AE76" s="29"/>
      <c r="AF76" s="29"/>
      <c r="AG76" s="29"/>
      <c r="AH76" s="85">
        <v>44535</v>
      </c>
      <c r="AI76" s="58" t="s">
        <v>19</v>
      </c>
      <c r="AJ76" s="143"/>
      <c r="AK76" s="28"/>
      <c r="AL76" s="102"/>
      <c r="AM76" s="41" t="str">
        <f>VLOOKUP(Table2[[#This Row],[country]],Countrycode!A:B,2,FALSE)</f>
        <v>CHN</v>
      </c>
      <c r="AN76" s="41">
        <f>IF(ISBLANK(Table2[[#This Row],[Need_RRA]]), 2,(IF(Table2[[#This Row],[Need_RRA]]="No", 0, (IF(AND(Table2[[#This Row],[Need_RRA]]="Yes",  Table2[[#This Row],[RRA_pub_date]]=""),1, 0)))))</f>
        <v>0</v>
      </c>
      <c r="AO76" s="41">
        <f>IF(ISBLANK(Table2[[#This Row],[Need_EIS]]), 2,(IF(Table2[[#This Row],[Need_EIS]]="No", 0, (IF(AND(Table2[[#This Row],[Need_EIS]]="Yes",  Table2[[#This Row],[EIS_pub_date]]=""),1, 0)))))</f>
        <v>0</v>
      </c>
      <c r="AP76" s="41">
        <f>IF(ISBLANK(Table2[[#This Row],[Need_DON]]), 2,(IF(Table2[[#This Row],[Need_DON]]="No", 0, (IF(AND(Table2[[#This Row],[Need_DON]]="Yes",  Table2[[#This Row],[DON_pub_date]]=""),1, 0)))))</f>
        <v>0</v>
      </c>
      <c r="AQ76" s="41">
        <f>IF(ISBLANK(Table2[[#This Row],[Pending_question]]), 2,(IF(Table2[[#This Row],[Pending_question]]="Yes", 1, 0)))</f>
        <v>0</v>
      </c>
      <c r="AR76" s="42">
        <v>44529</v>
      </c>
    </row>
    <row r="77" spans="1:44" ht="15" customHeight="1">
      <c r="A77" s="63">
        <v>44529</v>
      </c>
      <c r="B77" s="29" t="s">
        <v>15</v>
      </c>
      <c r="C77" s="33" t="str" cm="1">
        <f t="array" ref="C7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77" s="27" t="s">
        <v>681</v>
      </c>
      <c r="E77" s="58" t="s">
        <v>104</v>
      </c>
      <c r="F77" s="29" t="s">
        <v>173</v>
      </c>
      <c r="G77" s="29" t="s">
        <v>34</v>
      </c>
      <c r="H77" s="59">
        <v>44529</v>
      </c>
      <c r="I77" s="59" t="s">
        <v>34</v>
      </c>
      <c r="J77" s="59">
        <v>44530</v>
      </c>
      <c r="K77" s="59" t="s">
        <v>636</v>
      </c>
      <c r="L77" s="60"/>
      <c r="M77" s="70" t="s">
        <v>19</v>
      </c>
      <c r="N77" s="55"/>
      <c r="O77" s="71"/>
      <c r="P77" s="83" t="s">
        <v>19</v>
      </c>
      <c r="Q77" s="82" t="s">
        <v>34</v>
      </c>
      <c r="R77" s="29"/>
      <c r="S77" s="29" t="s">
        <v>34</v>
      </c>
      <c r="T77" s="59"/>
      <c r="U77" s="29" t="s">
        <v>34</v>
      </c>
      <c r="V77" s="29" t="s">
        <v>34</v>
      </c>
      <c r="W77" s="29" t="s">
        <v>34</v>
      </c>
      <c r="X77" s="27" t="s">
        <v>34</v>
      </c>
      <c r="Y77" s="58" t="s">
        <v>30</v>
      </c>
      <c r="Z77" s="29"/>
      <c r="AA77" s="29"/>
      <c r="AB77" s="29" t="s">
        <v>682</v>
      </c>
      <c r="AC77" s="59">
        <v>44530</v>
      </c>
      <c r="AD77" s="59"/>
      <c r="AE77" s="59">
        <v>44531</v>
      </c>
      <c r="AF77" s="59">
        <v>44536</v>
      </c>
      <c r="AG77" s="29"/>
      <c r="AH77" s="85">
        <v>44536</v>
      </c>
      <c r="AI77" s="58" t="s">
        <v>19</v>
      </c>
      <c r="AJ77" s="143"/>
      <c r="AK77" s="28"/>
      <c r="AL77" s="102"/>
      <c r="AM77" s="41" t="str">
        <f>VLOOKUP(Table2[[#This Row],[country]],Countrycode!A:B,2,FALSE)</f>
        <v>CHN</v>
      </c>
      <c r="AN77" s="41">
        <f>IF(ISBLANK(Table2[[#This Row],[Need_RRA]]), 2,(IF(Table2[[#This Row],[Need_RRA]]="No", 0, (IF(AND(Table2[[#This Row],[Need_RRA]]="Yes",  Table2[[#This Row],[RRA_pub_date]]=""),1, 0)))))</f>
        <v>0</v>
      </c>
      <c r="AO77" s="41">
        <f>IF(ISBLANK(Table2[[#This Row],[Need_EIS]]), 2,(IF(Table2[[#This Row],[Need_EIS]]="No", 0, (IF(AND(Table2[[#This Row],[Need_EIS]]="Yes",  Table2[[#This Row],[EIS_pub_date]]=""),1, 0)))))</f>
        <v>0</v>
      </c>
      <c r="AP77" s="41">
        <f>IF(ISBLANK(Table2[[#This Row],[Need_DON]]), 2,(IF(Table2[[#This Row],[Need_DON]]="No", 0, (IF(AND(Table2[[#This Row],[Need_DON]]="Yes",  Table2[[#This Row],[DON_pub_date]]=""),1, 0)))))</f>
        <v>0</v>
      </c>
      <c r="AQ77" s="41">
        <f>IF(ISBLANK(Table2[[#This Row],[Pending_question]]), 2,(IF(Table2[[#This Row],[Pending_question]]="Yes", 1, 0)))</f>
        <v>0</v>
      </c>
      <c r="AR77" s="42">
        <v>44529</v>
      </c>
    </row>
    <row r="78" spans="1:44" ht="15" customHeight="1">
      <c r="A78" s="63">
        <v>44531</v>
      </c>
      <c r="B78" s="29" t="s">
        <v>15</v>
      </c>
      <c r="C78" s="33" t="str" cm="1">
        <f t="array" ref="C7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78" s="27" t="s">
        <v>683</v>
      </c>
      <c r="E78" s="58" t="s">
        <v>128</v>
      </c>
      <c r="F78" s="29" t="s">
        <v>39</v>
      </c>
      <c r="G78" s="29" t="s">
        <v>660</v>
      </c>
      <c r="H78" s="29"/>
      <c r="I78" s="29" t="s">
        <v>34</v>
      </c>
      <c r="J78" s="29"/>
      <c r="K78" s="43" t="s">
        <v>470</v>
      </c>
      <c r="L78" s="60"/>
      <c r="M78" s="70" t="s">
        <v>19</v>
      </c>
      <c r="N78" s="55"/>
      <c r="O78" s="71"/>
      <c r="P78" s="83" t="s">
        <v>30</v>
      </c>
      <c r="Q78" s="186">
        <v>1</v>
      </c>
      <c r="R78" s="29" t="s">
        <v>684</v>
      </c>
      <c r="S78" s="59">
        <v>44531</v>
      </c>
      <c r="T78" s="59"/>
      <c r="U78" s="59">
        <v>44557</v>
      </c>
      <c r="V78" s="29" t="s">
        <v>34</v>
      </c>
      <c r="W78" s="29" t="s">
        <v>20</v>
      </c>
      <c r="X78" s="27" t="s">
        <v>51</v>
      </c>
      <c r="Y78" s="58" t="s">
        <v>30</v>
      </c>
      <c r="Z78" s="29" t="s">
        <v>33</v>
      </c>
      <c r="AA78" s="29"/>
      <c r="AB78" s="54" t="s">
        <v>685</v>
      </c>
      <c r="AC78" s="59">
        <v>44566</v>
      </c>
      <c r="AD78" s="59"/>
      <c r="AE78" s="59">
        <v>44573</v>
      </c>
      <c r="AF78" s="29" t="s">
        <v>34</v>
      </c>
      <c r="AG78" s="29" t="s">
        <v>34</v>
      </c>
      <c r="AH78" s="85">
        <v>44579</v>
      </c>
      <c r="AI78" s="58" t="s">
        <v>19</v>
      </c>
      <c r="AJ78" s="143"/>
      <c r="AK78" s="28"/>
      <c r="AL78" s="102"/>
      <c r="AM78" s="41" t="str">
        <f>VLOOKUP(Table2[[#This Row],[country]],Countrycode!A:B,2,FALSE)</f>
        <v>MLX</v>
      </c>
      <c r="AN78" s="41">
        <f>IF(ISBLANK(Table2[[#This Row],[Need_RRA]]), 2,(IF(Table2[[#This Row],[Need_RRA]]="No", 0, (IF(AND(Table2[[#This Row],[Need_RRA]]="Yes",  Table2[[#This Row],[RRA_pub_date]]=""),1, 0)))))</f>
        <v>0</v>
      </c>
      <c r="AO78" s="41">
        <f>IF(ISBLANK(Table2[[#This Row],[Need_EIS]]), 2,(IF(Table2[[#This Row],[Need_EIS]]="No", 0, (IF(AND(Table2[[#This Row],[Need_EIS]]="Yes",  Table2[[#This Row],[EIS_pub_date]]=""),1, 0)))))</f>
        <v>0</v>
      </c>
      <c r="AP78" s="41">
        <f>IF(ISBLANK(Table2[[#This Row],[Need_DON]]), 2,(IF(Table2[[#This Row],[Need_DON]]="No", 0, (IF(AND(Table2[[#This Row],[Need_DON]]="Yes",  Table2[[#This Row],[DON_pub_date]]=""),1, 0)))))</f>
        <v>0</v>
      </c>
      <c r="AQ78" s="41">
        <f>IF(ISBLANK(Table2[[#This Row],[Pending_question]]), 2,(IF(Table2[[#This Row],[Pending_question]]="Yes", 1, 0)))</f>
        <v>0</v>
      </c>
      <c r="AR78" s="326"/>
    </row>
    <row r="79" spans="1:44" ht="15" customHeight="1">
      <c r="A79" s="63">
        <v>44532</v>
      </c>
      <c r="B79" s="29" t="s">
        <v>15</v>
      </c>
      <c r="C79" s="33" t="str" cm="1">
        <f t="array" ref="C7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79" s="27" t="s">
        <v>456</v>
      </c>
      <c r="E79" s="58" t="s">
        <v>154</v>
      </c>
      <c r="F79" s="29" t="s">
        <v>169</v>
      </c>
      <c r="G79" s="29" t="s">
        <v>34</v>
      </c>
      <c r="H79" s="59">
        <v>44532</v>
      </c>
      <c r="I79" s="59" t="s">
        <v>34</v>
      </c>
      <c r="J79" s="59">
        <v>44504</v>
      </c>
      <c r="K79" s="43" t="s">
        <v>686</v>
      </c>
      <c r="L79" s="62" t="s">
        <v>687</v>
      </c>
      <c r="M79" s="70" t="s">
        <v>19</v>
      </c>
      <c r="N79" s="72"/>
      <c r="O79" s="73"/>
      <c r="P79" s="83" t="s">
        <v>19</v>
      </c>
      <c r="Q79" s="82" t="s">
        <v>34</v>
      </c>
      <c r="R79" s="29" t="s">
        <v>34</v>
      </c>
      <c r="S79" s="29" t="s">
        <v>34</v>
      </c>
      <c r="T79" s="59"/>
      <c r="U79" s="29" t="s">
        <v>34</v>
      </c>
      <c r="V79" s="29" t="s">
        <v>34</v>
      </c>
      <c r="W79" s="29" t="s">
        <v>34</v>
      </c>
      <c r="X79" s="27" t="s">
        <v>34</v>
      </c>
      <c r="Y79" s="58" t="s">
        <v>627</v>
      </c>
      <c r="Z79" s="54" t="s">
        <v>42</v>
      </c>
      <c r="AB79" s="16" t="s">
        <v>688</v>
      </c>
      <c r="AC79" s="55">
        <v>44531</v>
      </c>
      <c r="AD79" s="55"/>
      <c r="AE79" s="55">
        <v>44543</v>
      </c>
      <c r="AF79" s="55">
        <v>44544</v>
      </c>
      <c r="AG79" s="55">
        <v>44553</v>
      </c>
      <c r="AH79" s="85">
        <v>44553</v>
      </c>
      <c r="AI79" s="58" t="s">
        <v>30</v>
      </c>
      <c r="AJ79" s="143"/>
      <c r="AK79" s="86">
        <v>44557</v>
      </c>
      <c r="AL79" s="102" t="s">
        <v>689</v>
      </c>
      <c r="AM79" s="41" t="str">
        <f>VLOOKUP(Table2[[#This Row],[country]],Countrycode!A:B,2,FALSE)</f>
        <v>TCD</v>
      </c>
      <c r="AN79" s="41">
        <f>IF(ISBLANK(Table2[[#This Row],[Need_RRA]]), 2,(IF(Table2[[#This Row],[Need_RRA]]="No", 0, (IF(AND(Table2[[#This Row],[Need_RRA]]="Yes",  Table2[[#This Row],[RRA_pub_date]]=""),1, 0)))))</f>
        <v>0</v>
      </c>
      <c r="AO79" s="41">
        <f>IF(ISBLANK(Table2[[#This Row],[Need_EIS]]), 2,(IF(Table2[[#This Row],[Need_EIS]]="No", 0, (IF(AND(Table2[[#This Row],[Need_EIS]]="Yes",  Table2[[#This Row],[EIS_pub_date]]=""),1, 0)))))</f>
        <v>0</v>
      </c>
      <c r="AP79" s="41">
        <f>IF(ISBLANK(Table2[[#This Row],[Need_DON]]), 2,(IF(Table2[[#This Row],[Need_DON]]="No", 0, (IF(AND(Table2[[#This Row],[Need_DON]]="Yes",  Table2[[#This Row],[DON_pub_date]]=""),1, 0)))))</f>
        <v>0</v>
      </c>
      <c r="AQ79" s="41">
        <f>IF(ISBLANK(Table2[[#This Row],[Pending_question]]), 2,(IF(Table2[[#This Row],[Pending_question]]="Yes", 1, 0)))</f>
        <v>0</v>
      </c>
      <c r="AR79" s="42">
        <v>44532</v>
      </c>
    </row>
    <row r="80" spans="1:44" ht="15" customHeight="1">
      <c r="A80" s="63">
        <v>44532</v>
      </c>
      <c r="B80" s="29" t="s">
        <v>15</v>
      </c>
      <c r="C80" s="33" t="str" cm="1">
        <f t="array" ref="C8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80" s="27" t="s">
        <v>456</v>
      </c>
      <c r="E80" s="58" t="s">
        <v>154</v>
      </c>
      <c r="F80" s="29" t="s">
        <v>376</v>
      </c>
      <c r="G80" s="29" t="s">
        <v>34</v>
      </c>
      <c r="H80" s="59">
        <v>44532</v>
      </c>
      <c r="I80" s="59" t="s">
        <v>34</v>
      </c>
      <c r="J80" s="59">
        <v>43245</v>
      </c>
      <c r="K80" s="43" t="s">
        <v>562</v>
      </c>
      <c r="L80" s="60"/>
      <c r="M80" s="70" t="s">
        <v>19</v>
      </c>
      <c r="N80" s="55"/>
      <c r="O80" s="71"/>
      <c r="P80" s="83" t="s">
        <v>19</v>
      </c>
      <c r="Q80" s="82" t="s">
        <v>34</v>
      </c>
      <c r="R80" s="29"/>
      <c r="S80" s="29" t="s">
        <v>34</v>
      </c>
      <c r="T80" s="59"/>
      <c r="U80" s="29" t="s">
        <v>34</v>
      </c>
      <c r="V80" s="29" t="s">
        <v>34</v>
      </c>
      <c r="W80" s="29" t="s">
        <v>34</v>
      </c>
      <c r="X80" s="27" t="s">
        <v>34</v>
      </c>
      <c r="Y80" s="58" t="s">
        <v>30</v>
      </c>
      <c r="Z80" s="29" t="s">
        <v>21</v>
      </c>
      <c r="AA80" s="29"/>
      <c r="AB80" s="29" t="s">
        <v>690</v>
      </c>
      <c r="AC80" s="59">
        <v>44529</v>
      </c>
      <c r="AD80" s="59"/>
      <c r="AE80" s="59">
        <v>44533</v>
      </c>
      <c r="AF80" s="59">
        <v>44536</v>
      </c>
      <c r="AG80" s="55">
        <v>44552</v>
      </c>
      <c r="AH80" s="85">
        <v>44552</v>
      </c>
      <c r="AI80" s="58" t="s">
        <v>30</v>
      </c>
      <c r="AJ80" s="143"/>
      <c r="AK80" s="86">
        <v>44553</v>
      </c>
      <c r="AL80" s="102" t="s">
        <v>691</v>
      </c>
      <c r="AM80" s="41" t="str">
        <f>VLOOKUP(Table2[[#This Row],[country]],Countrycode!A:B,2,FALSE)</f>
        <v>SSD</v>
      </c>
      <c r="AN80" s="41">
        <f>IF(ISBLANK(Table2[[#This Row],[Need_RRA]]), 2,(IF(Table2[[#This Row],[Need_RRA]]="No", 0, (IF(AND(Table2[[#This Row],[Need_RRA]]="Yes",  Table2[[#This Row],[RRA_pub_date]]=""),1, 0)))))</f>
        <v>0</v>
      </c>
      <c r="AO80" s="41">
        <f>IF(ISBLANK(Table2[[#This Row],[Need_EIS]]), 2,(IF(Table2[[#This Row],[Need_EIS]]="No", 0, (IF(AND(Table2[[#This Row],[Need_EIS]]="Yes",  Table2[[#This Row],[EIS_pub_date]]=""),1, 0)))))</f>
        <v>0</v>
      </c>
      <c r="AP80" s="41">
        <f>IF(ISBLANK(Table2[[#This Row],[Need_DON]]), 2,(IF(Table2[[#This Row],[Need_DON]]="No", 0, (IF(AND(Table2[[#This Row],[Need_DON]]="Yes",  Table2[[#This Row],[DON_pub_date]]=""),1, 0)))))</f>
        <v>0</v>
      </c>
      <c r="AQ80" s="41">
        <f>IF(ISBLANK(Table2[[#This Row],[Pending_question]]), 2,(IF(Table2[[#This Row],[Pending_question]]="Yes", 1, 0)))</f>
        <v>0</v>
      </c>
      <c r="AR80" s="42">
        <v>44532</v>
      </c>
    </row>
    <row r="81" spans="1:44" ht="15" customHeight="1">
      <c r="A81" s="63">
        <v>44533</v>
      </c>
      <c r="B81" s="29" t="s">
        <v>15</v>
      </c>
      <c r="C81" s="33" t="str" cm="1">
        <f t="array" ref="C8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81" s="27" t="s">
        <v>681</v>
      </c>
      <c r="E81" s="58" t="s">
        <v>594</v>
      </c>
      <c r="F81" s="29" t="s">
        <v>163</v>
      </c>
      <c r="G81" s="29" t="s">
        <v>34</v>
      </c>
      <c r="H81" s="59">
        <v>44533</v>
      </c>
      <c r="I81" s="59" t="s">
        <v>34</v>
      </c>
      <c r="J81" s="59">
        <v>44532</v>
      </c>
      <c r="K81" s="59" t="s">
        <v>692</v>
      </c>
      <c r="L81" s="60"/>
      <c r="M81" s="70" t="s">
        <v>19</v>
      </c>
      <c r="N81" s="55"/>
      <c r="O81" s="71"/>
      <c r="P81" s="83" t="s">
        <v>19</v>
      </c>
      <c r="Q81" s="82" t="s">
        <v>34</v>
      </c>
      <c r="R81" s="29"/>
      <c r="S81" s="29" t="s">
        <v>34</v>
      </c>
      <c r="T81" s="59"/>
      <c r="U81" s="29" t="s">
        <v>34</v>
      </c>
      <c r="V81" s="29" t="s">
        <v>34</v>
      </c>
      <c r="W81" s="29" t="s">
        <v>34</v>
      </c>
      <c r="X81" s="27" t="s">
        <v>34</v>
      </c>
      <c r="Y81" s="58" t="s">
        <v>627</v>
      </c>
      <c r="Z81" s="29"/>
      <c r="AA81" s="29"/>
      <c r="AB81" s="93" t="s">
        <v>693</v>
      </c>
      <c r="AC81" s="29"/>
      <c r="AD81" s="59"/>
      <c r="AE81" s="29"/>
      <c r="AF81" s="29"/>
      <c r="AG81" s="29"/>
      <c r="AH81" s="85">
        <v>44535</v>
      </c>
      <c r="AI81" s="58" t="s">
        <v>19</v>
      </c>
      <c r="AJ81" s="143"/>
      <c r="AK81" s="28"/>
      <c r="AL81" s="102"/>
      <c r="AM81" s="41" t="str">
        <f>VLOOKUP(Table2[[#This Row],[country]],Countrycode!A:B,2,FALSE)</f>
        <v>CAN</v>
      </c>
      <c r="AN81" s="41">
        <f>IF(ISBLANK(Table2[[#This Row],[Need_RRA]]), 2,(IF(Table2[[#This Row],[Need_RRA]]="No", 0, (IF(AND(Table2[[#This Row],[Need_RRA]]="Yes",  Table2[[#This Row],[RRA_pub_date]]=""),1, 0)))))</f>
        <v>0</v>
      </c>
      <c r="AO81" s="41">
        <f>IF(ISBLANK(Table2[[#This Row],[Need_EIS]]), 2,(IF(Table2[[#This Row],[Need_EIS]]="No", 0, (IF(AND(Table2[[#This Row],[Need_EIS]]="Yes",  Table2[[#This Row],[EIS_pub_date]]=""),1, 0)))))</f>
        <v>0</v>
      </c>
      <c r="AP81" s="41">
        <f>IF(ISBLANK(Table2[[#This Row],[Need_DON]]), 2,(IF(Table2[[#This Row],[Need_DON]]="No", 0, (IF(AND(Table2[[#This Row],[Need_DON]]="Yes",  Table2[[#This Row],[DON_pub_date]]=""),1, 0)))))</f>
        <v>0</v>
      </c>
      <c r="AQ81" s="41">
        <f>IF(ISBLANK(Table2[[#This Row],[Pending_question]]), 2,(IF(Table2[[#This Row],[Pending_question]]="Yes", 1, 0)))</f>
        <v>0</v>
      </c>
      <c r="AR81" s="42">
        <v>44533</v>
      </c>
    </row>
    <row r="82" spans="1:44" ht="15" customHeight="1">
      <c r="A82" s="63">
        <v>44536</v>
      </c>
      <c r="B82" s="29" t="s">
        <v>15</v>
      </c>
      <c r="C82" s="33" t="str" cm="1">
        <f t="array" ref="C8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82" s="27" t="s">
        <v>681</v>
      </c>
      <c r="E82" s="58" t="s">
        <v>110</v>
      </c>
      <c r="F82" s="29" t="s">
        <v>173</v>
      </c>
      <c r="G82" s="29" t="s">
        <v>34</v>
      </c>
      <c r="H82" s="59">
        <v>44536</v>
      </c>
      <c r="I82" s="59" t="s">
        <v>34</v>
      </c>
      <c r="J82" s="59">
        <v>44534</v>
      </c>
      <c r="K82" s="43" t="s">
        <v>694</v>
      </c>
      <c r="L82" s="60"/>
      <c r="M82" s="70" t="s">
        <v>19</v>
      </c>
      <c r="N82" s="55"/>
      <c r="O82" s="71"/>
      <c r="P82" s="83" t="s">
        <v>19</v>
      </c>
      <c r="Q82" s="82" t="s">
        <v>34</v>
      </c>
      <c r="R82" s="29"/>
      <c r="S82" s="29" t="s">
        <v>34</v>
      </c>
      <c r="T82" s="59"/>
      <c r="U82" s="29" t="s">
        <v>34</v>
      </c>
      <c r="V82" s="29" t="s">
        <v>34</v>
      </c>
      <c r="W82" s="29" t="s">
        <v>34</v>
      </c>
      <c r="X82" s="27" t="s">
        <v>34</v>
      </c>
      <c r="Y82" s="58" t="s">
        <v>627</v>
      </c>
      <c r="Z82" s="29" t="s">
        <v>21</v>
      </c>
      <c r="AA82" s="29"/>
      <c r="AB82" s="29"/>
      <c r="AC82" s="59">
        <v>44534</v>
      </c>
      <c r="AD82" s="59"/>
      <c r="AE82" s="59">
        <v>44535</v>
      </c>
      <c r="AF82" s="59">
        <v>44536</v>
      </c>
      <c r="AG82" s="320">
        <v>44542</v>
      </c>
      <c r="AH82" s="85">
        <v>44543</v>
      </c>
      <c r="AI82" s="58" t="s">
        <v>19</v>
      </c>
      <c r="AJ82" s="143"/>
      <c r="AK82" s="28"/>
      <c r="AL82" s="102"/>
      <c r="AM82" s="41" t="str">
        <f>VLOOKUP(Table2[[#This Row],[country]],Countrycode!A:B,2,FALSE)</f>
        <v>CHN</v>
      </c>
      <c r="AN82" s="41">
        <f>IF(ISBLANK(Table2[[#This Row],[Need_RRA]]), 2,(IF(Table2[[#This Row],[Need_RRA]]="No", 0, (IF(AND(Table2[[#This Row],[Need_RRA]]="Yes",  Table2[[#This Row],[RRA_pub_date]]=""),1, 0)))))</f>
        <v>0</v>
      </c>
      <c r="AO82" s="41">
        <f>IF(ISBLANK(Table2[[#This Row],[Need_EIS]]), 2,(IF(Table2[[#This Row],[Need_EIS]]="No", 0, (IF(AND(Table2[[#This Row],[Need_EIS]]="Yes",  Table2[[#This Row],[EIS_pub_date]]=""),1, 0)))))</f>
        <v>0</v>
      </c>
      <c r="AP82" s="41">
        <f>IF(ISBLANK(Table2[[#This Row],[Need_DON]]), 2,(IF(Table2[[#This Row],[Need_DON]]="No", 0, (IF(AND(Table2[[#This Row],[Need_DON]]="Yes",  Table2[[#This Row],[DON_pub_date]]=""),1, 0)))))</f>
        <v>0</v>
      </c>
      <c r="AQ82" s="41">
        <f>IF(ISBLANK(Table2[[#This Row],[Pending_question]]), 2,(IF(Table2[[#This Row],[Pending_question]]="Yes", 1, 0)))</f>
        <v>0</v>
      </c>
      <c r="AR82" s="42">
        <v>44536</v>
      </c>
    </row>
    <row r="83" spans="1:44" ht="15" customHeight="1">
      <c r="A83" s="63">
        <v>44536</v>
      </c>
      <c r="B83" s="29" t="s">
        <v>15</v>
      </c>
      <c r="C83" s="33" t="str" cm="1">
        <f t="array" ref="C8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83" s="27" t="s">
        <v>681</v>
      </c>
      <c r="E83" s="58" t="s">
        <v>104</v>
      </c>
      <c r="F83" s="29" t="s">
        <v>173</v>
      </c>
      <c r="G83" s="29" t="s">
        <v>34</v>
      </c>
      <c r="H83" s="59">
        <v>44536</v>
      </c>
      <c r="I83" s="59" t="s">
        <v>34</v>
      </c>
      <c r="J83" s="59">
        <v>44535</v>
      </c>
      <c r="K83" s="43" t="s">
        <v>636</v>
      </c>
      <c r="L83" s="60"/>
      <c r="M83" s="70" t="s">
        <v>19</v>
      </c>
      <c r="N83" s="55"/>
      <c r="O83" s="71"/>
      <c r="P83" s="83" t="s">
        <v>19</v>
      </c>
      <c r="Q83" s="82" t="s">
        <v>34</v>
      </c>
      <c r="R83" s="29"/>
      <c r="S83" s="29" t="s">
        <v>34</v>
      </c>
      <c r="T83" s="59"/>
      <c r="U83" s="29" t="s">
        <v>34</v>
      </c>
      <c r="V83" s="29" t="s">
        <v>34</v>
      </c>
      <c r="W83" s="29" t="s">
        <v>34</v>
      </c>
      <c r="X83" s="27" t="s">
        <v>34</v>
      </c>
      <c r="Y83" s="58" t="s">
        <v>627</v>
      </c>
      <c r="Z83" s="29" t="s">
        <v>21</v>
      </c>
      <c r="AA83" s="29"/>
      <c r="AB83" s="381" t="s">
        <v>695</v>
      </c>
      <c r="AC83" s="188">
        <v>44535</v>
      </c>
      <c r="AD83" s="188"/>
      <c r="AE83" s="188">
        <v>44536</v>
      </c>
      <c r="AF83" s="188">
        <v>44537</v>
      </c>
      <c r="AG83" s="188">
        <v>44542</v>
      </c>
      <c r="AH83" s="85">
        <v>44543</v>
      </c>
      <c r="AI83" s="58" t="s">
        <v>19</v>
      </c>
      <c r="AJ83" s="143"/>
      <c r="AK83" s="28"/>
      <c r="AL83" s="102"/>
      <c r="AM83" s="41" t="str">
        <f>VLOOKUP(Table2[[#This Row],[country]],Countrycode!A:B,2,FALSE)</f>
        <v>CHN</v>
      </c>
      <c r="AN83" s="41">
        <f>IF(ISBLANK(Table2[[#This Row],[Need_RRA]]), 2,(IF(Table2[[#This Row],[Need_RRA]]="No", 0, (IF(AND(Table2[[#This Row],[Need_RRA]]="Yes",  Table2[[#This Row],[RRA_pub_date]]=""),1, 0)))))</f>
        <v>0</v>
      </c>
      <c r="AO83" s="41">
        <f>IF(ISBLANK(Table2[[#This Row],[Need_EIS]]), 2,(IF(Table2[[#This Row],[Need_EIS]]="No", 0, (IF(AND(Table2[[#This Row],[Need_EIS]]="Yes",  Table2[[#This Row],[EIS_pub_date]]=""),1, 0)))))</f>
        <v>0</v>
      </c>
      <c r="AP83" s="41">
        <f>IF(ISBLANK(Table2[[#This Row],[Need_DON]]), 2,(IF(Table2[[#This Row],[Need_DON]]="No", 0, (IF(AND(Table2[[#This Row],[Need_DON]]="Yes",  Table2[[#This Row],[DON_pub_date]]=""),1, 0)))))</f>
        <v>0</v>
      </c>
      <c r="AQ83" s="41">
        <f>IF(ISBLANK(Table2[[#This Row],[Pending_question]]), 2,(IF(Table2[[#This Row],[Pending_question]]="Yes", 1, 0)))</f>
        <v>0</v>
      </c>
      <c r="AR83" s="42">
        <v>44536</v>
      </c>
    </row>
    <row r="84" spans="1:44" ht="15" customHeight="1">
      <c r="A84" s="63">
        <v>44536</v>
      </c>
      <c r="B84" s="29" t="s">
        <v>15</v>
      </c>
      <c r="C84" s="33" t="str" cm="1">
        <f t="array" ref="C8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84" s="27" t="s">
        <v>464</v>
      </c>
      <c r="E84" s="67" t="s">
        <v>104</v>
      </c>
      <c r="F84" s="29" t="s">
        <v>173</v>
      </c>
      <c r="G84" s="29" t="s">
        <v>34</v>
      </c>
      <c r="H84" s="59">
        <v>44536</v>
      </c>
      <c r="I84" s="59" t="s">
        <v>34</v>
      </c>
      <c r="J84" s="59">
        <v>44535</v>
      </c>
      <c r="K84" s="43" t="s">
        <v>636</v>
      </c>
      <c r="L84" s="60"/>
      <c r="M84" s="70" t="s">
        <v>19</v>
      </c>
      <c r="N84" s="55"/>
      <c r="O84" s="71"/>
      <c r="P84" s="83" t="s">
        <v>19</v>
      </c>
      <c r="Q84" s="185" t="s">
        <v>34</v>
      </c>
      <c r="R84" s="29"/>
      <c r="S84" s="29" t="s">
        <v>34</v>
      </c>
      <c r="T84" s="59"/>
      <c r="U84" s="29" t="s">
        <v>34</v>
      </c>
      <c r="V84" s="29" t="s">
        <v>34</v>
      </c>
      <c r="W84" s="29" t="s">
        <v>34</v>
      </c>
      <c r="X84" s="27" t="s">
        <v>34</v>
      </c>
      <c r="Y84" s="29" t="s">
        <v>30</v>
      </c>
      <c r="Z84" s="29" t="s">
        <v>21</v>
      </c>
      <c r="AA84" s="29"/>
      <c r="AB84" s="29" t="s">
        <v>696</v>
      </c>
      <c r="AC84" s="59">
        <v>44536</v>
      </c>
      <c r="AD84" s="59"/>
      <c r="AE84" s="59">
        <v>44537</v>
      </c>
      <c r="AF84" s="59">
        <v>44538</v>
      </c>
      <c r="AG84" s="124">
        <v>44542</v>
      </c>
      <c r="AH84" s="85">
        <v>44543</v>
      </c>
      <c r="AI84" s="29" t="s">
        <v>19</v>
      </c>
      <c r="AJ84" s="139"/>
      <c r="AK84" s="28"/>
      <c r="AL84" s="102"/>
      <c r="AM84" s="41" t="str">
        <f>VLOOKUP(Table2[[#This Row],[country]],Countrycode!A:B,2,FALSE)</f>
        <v>CHN</v>
      </c>
      <c r="AN84" s="34">
        <f>IF(ISBLANK(Table2[[#This Row],[Need_RRA]]), 2,(IF(Table2[[#This Row],[Need_RRA]]="No", 0, (IF(AND(Table2[[#This Row],[Need_RRA]]="Yes",  Table2[[#This Row],[RRA_pub_date]]=""),1, 0)))))</f>
        <v>0</v>
      </c>
      <c r="AO84" s="34">
        <f>IF(ISBLANK(Table2[[#This Row],[Need_EIS]]), 2,(IF(Table2[[#This Row],[Need_EIS]]="No", 0, (IF(AND(Table2[[#This Row],[Need_EIS]]="Yes",  Table2[[#This Row],[EIS_pub_date]]=""),1, 0)))))</f>
        <v>0</v>
      </c>
      <c r="AP84" s="34">
        <f>IF(ISBLANK(Table2[[#This Row],[Need_DON]]), 2,(IF(Table2[[#This Row],[Need_DON]]="No", 0, (IF(AND(Table2[[#This Row],[Need_DON]]="Yes",  Table2[[#This Row],[DON_pub_date]]=""),1, 0)))))</f>
        <v>0</v>
      </c>
      <c r="AQ84" s="34">
        <f>IF(ISBLANK(Table2[[#This Row],[Pending_question]]), 2,(IF(Table2[[#This Row],[Pending_question]]="Yes", 1, 0)))</f>
        <v>0</v>
      </c>
      <c r="AR84" s="43">
        <v>44536</v>
      </c>
    </row>
    <row r="85" spans="1:44" ht="15" customHeight="1">
      <c r="A85" s="63">
        <v>44536</v>
      </c>
      <c r="B85" s="29" t="s">
        <v>15</v>
      </c>
      <c r="C85" s="33" t="str" cm="1">
        <f t="array" ref="C8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85" s="27" t="s">
        <v>482</v>
      </c>
      <c r="E85" s="67" t="s">
        <v>237</v>
      </c>
      <c r="F85" s="29" t="s">
        <v>376</v>
      </c>
      <c r="G85" s="29" t="s">
        <v>34</v>
      </c>
      <c r="H85" s="59">
        <v>44536</v>
      </c>
      <c r="I85" s="59" t="s">
        <v>34</v>
      </c>
      <c r="J85" s="29"/>
      <c r="K85" s="43"/>
      <c r="L85" s="60"/>
      <c r="M85" s="70" t="s">
        <v>19</v>
      </c>
      <c r="N85" s="55"/>
      <c r="O85" s="71"/>
      <c r="P85" s="83" t="s">
        <v>19</v>
      </c>
      <c r="Q85" s="185" t="s">
        <v>34</v>
      </c>
      <c r="R85" s="29"/>
      <c r="S85" s="29" t="s">
        <v>34</v>
      </c>
      <c r="T85" s="59"/>
      <c r="U85" s="29" t="s">
        <v>34</v>
      </c>
      <c r="V85" s="29" t="s">
        <v>34</v>
      </c>
      <c r="W85" s="29" t="s">
        <v>34</v>
      </c>
      <c r="X85" s="27" t="s">
        <v>34</v>
      </c>
      <c r="Y85" s="29" t="s">
        <v>19</v>
      </c>
      <c r="Z85" s="29" t="s">
        <v>34</v>
      </c>
      <c r="AA85" s="29"/>
      <c r="AB85" s="29"/>
      <c r="AC85" s="59" t="s">
        <v>34</v>
      </c>
      <c r="AD85" s="59" t="s">
        <v>34</v>
      </c>
      <c r="AE85" s="59" t="s">
        <v>34</v>
      </c>
      <c r="AF85" s="59" t="s">
        <v>34</v>
      </c>
      <c r="AG85" s="59" t="s">
        <v>34</v>
      </c>
      <c r="AH85" s="27" t="s">
        <v>34</v>
      </c>
      <c r="AI85" s="29" t="s">
        <v>19</v>
      </c>
      <c r="AJ85" s="139"/>
      <c r="AK85" s="28"/>
      <c r="AL85" s="102" t="s">
        <v>697</v>
      </c>
      <c r="AM85" s="41" t="str">
        <f>VLOOKUP(Table2[[#This Row],[country]],Countrycode!A:B,2,FALSE)</f>
        <v>SSD</v>
      </c>
      <c r="AN85" s="34">
        <f>IF(ISBLANK(Table2[[#This Row],[Need_RRA]]), 2,(IF(Table2[[#This Row],[Need_RRA]]="No", 0, (IF(AND(Table2[[#This Row],[Need_RRA]]="Yes",  Table2[[#This Row],[RRA_pub_date]]=""),1, 0)))))</f>
        <v>0</v>
      </c>
      <c r="AO85" s="34">
        <f>IF(ISBLANK(Table2[[#This Row],[Need_EIS]]), 2,(IF(Table2[[#This Row],[Need_EIS]]="No", 0, (IF(AND(Table2[[#This Row],[Need_EIS]]="Yes",  Table2[[#This Row],[EIS_pub_date]]=""),1, 0)))))</f>
        <v>0</v>
      </c>
      <c r="AP85" s="34">
        <f>IF(ISBLANK(Table2[[#This Row],[Need_DON]]), 2,(IF(Table2[[#This Row],[Need_DON]]="No", 0, (IF(AND(Table2[[#This Row],[Need_DON]]="Yes",  Table2[[#This Row],[DON_pub_date]]=""),1, 0)))))</f>
        <v>0</v>
      </c>
      <c r="AQ85" s="34">
        <f>IF(ISBLANK(Table2[[#This Row],[Pending_question]]), 2,(IF(Table2[[#This Row],[Pending_question]]="Yes", 1, 0)))</f>
        <v>0</v>
      </c>
      <c r="AR85" s="43">
        <v>44536</v>
      </c>
    </row>
    <row r="86" spans="1:44" ht="15" customHeight="1">
      <c r="A86" s="63">
        <v>44543</v>
      </c>
      <c r="B86" s="29" t="s">
        <v>15</v>
      </c>
      <c r="C86" s="33" t="str" cm="1">
        <f t="array" ref="C8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86" s="27" t="s">
        <v>482</v>
      </c>
      <c r="E86" s="67" t="s">
        <v>667</v>
      </c>
      <c r="F86" s="29" t="s">
        <v>208</v>
      </c>
      <c r="G86" s="29" t="s">
        <v>34</v>
      </c>
      <c r="H86" s="59">
        <v>44543</v>
      </c>
      <c r="I86" s="59" t="s">
        <v>34</v>
      </c>
      <c r="J86" s="59">
        <v>43189</v>
      </c>
      <c r="K86" s="59" t="s">
        <v>698</v>
      </c>
      <c r="L86" s="60"/>
      <c r="M86" s="70" t="s">
        <v>19</v>
      </c>
      <c r="N86" s="55"/>
      <c r="O86" s="71"/>
      <c r="P86" s="83" t="s">
        <v>19</v>
      </c>
      <c r="Q86" s="84" t="s">
        <v>34</v>
      </c>
      <c r="R86" s="29" t="s">
        <v>699</v>
      </c>
      <c r="S86" s="29" t="s">
        <v>34</v>
      </c>
      <c r="T86" s="59"/>
      <c r="U86" s="29" t="s">
        <v>34</v>
      </c>
      <c r="V86" s="29" t="s">
        <v>34</v>
      </c>
      <c r="W86" s="29" t="s">
        <v>34</v>
      </c>
      <c r="X86" s="27" t="s">
        <v>34</v>
      </c>
      <c r="Y86" s="29" t="s">
        <v>19</v>
      </c>
      <c r="Z86" s="29" t="s">
        <v>34</v>
      </c>
      <c r="AA86" s="29"/>
      <c r="AB86" s="29"/>
      <c r="AC86" s="59" t="s">
        <v>34</v>
      </c>
      <c r="AD86" s="59" t="s">
        <v>34</v>
      </c>
      <c r="AE86" s="59" t="s">
        <v>34</v>
      </c>
      <c r="AF86" s="59" t="s">
        <v>34</v>
      </c>
      <c r="AG86" s="59" t="s">
        <v>34</v>
      </c>
      <c r="AH86" s="27" t="s">
        <v>34</v>
      </c>
      <c r="AI86" s="29" t="s">
        <v>19</v>
      </c>
      <c r="AJ86" s="139"/>
      <c r="AK86" s="28"/>
      <c r="AL86" s="102" t="s">
        <v>700</v>
      </c>
      <c r="AM86" s="41" t="str">
        <f>VLOOKUP(Table2[[#This Row],[country]],Countrycode!A:B,2,FALSE)</f>
        <v>COD</v>
      </c>
      <c r="AN86" s="34">
        <f>IF(ISBLANK(Table2[[#This Row],[Need_RRA]]), 2,(IF(Table2[[#This Row],[Need_RRA]]="No", 0, (IF(AND(Table2[[#This Row],[Need_RRA]]="Yes",  Table2[[#This Row],[RRA_pub_date]]=""),1, 0)))))</f>
        <v>0</v>
      </c>
      <c r="AO86" s="34">
        <f>IF(ISBLANK(Table2[[#This Row],[Need_EIS]]), 2,(IF(Table2[[#This Row],[Need_EIS]]="No", 0, (IF(AND(Table2[[#This Row],[Need_EIS]]="Yes",  Table2[[#This Row],[EIS_pub_date]]=""),1, 0)))))</f>
        <v>0</v>
      </c>
      <c r="AP86" s="34">
        <f>IF(ISBLANK(Table2[[#This Row],[Need_DON]]), 2,(IF(Table2[[#This Row],[Need_DON]]="No", 0, (IF(AND(Table2[[#This Row],[Need_DON]]="Yes",  Table2[[#This Row],[DON_pub_date]]=""),1, 0)))))</f>
        <v>0</v>
      </c>
      <c r="AQ86" s="34">
        <f>IF(ISBLANK(Table2[[#This Row],[Pending_question]]), 2,(IF(Table2[[#This Row],[Pending_question]]="Yes", 1, 0)))</f>
        <v>0</v>
      </c>
      <c r="AR86" s="43"/>
    </row>
    <row r="87" spans="1:44" ht="15" customHeight="1">
      <c r="A87" s="63">
        <v>44544</v>
      </c>
      <c r="B87" s="29" t="s">
        <v>15</v>
      </c>
      <c r="C87" s="33" t="str" cm="1">
        <f t="array" ref="C8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87" s="27" t="s">
        <v>635</v>
      </c>
      <c r="E87" s="58" t="s">
        <v>110</v>
      </c>
      <c r="F87" s="29" t="s">
        <v>173</v>
      </c>
      <c r="G87" s="29" t="s">
        <v>34</v>
      </c>
      <c r="H87" s="59">
        <v>44544</v>
      </c>
      <c r="I87" s="59" t="s">
        <v>34</v>
      </c>
      <c r="J87" s="59">
        <v>44543</v>
      </c>
      <c r="K87" s="43" t="s">
        <v>694</v>
      </c>
      <c r="L87" s="60"/>
      <c r="M87" s="70" t="s">
        <v>19</v>
      </c>
      <c r="N87" s="55"/>
      <c r="O87" s="71"/>
      <c r="P87" s="83" t="s">
        <v>19</v>
      </c>
      <c r="Q87" s="84" t="s">
        <v>34</v>
      </c>
      <c r="R87" s="29"/>
      <c r="S87" s="29" t="s">
        <v>34</v>
      </c>
      <c r="T87" s="59"/>
      <c r="U87" s="29" t="s">
        <v>34</v>
      </c>
      <c r="V87" s="29" t="s">
        <v>34</v>
      </c>
      <c r="W87" s="29" t="s">
        <v>34</v>
      </c>
      <c r="X87" s="27" t="s">
        <v>34</v>
      </c>
      <c r="Y87" s="29" t="s">
        <v>30</v>
      </c>
      <c r="Z87" s="29" t="s">
        <v>21</v>
      </c>
      <c r="AA87" s="29"/>
      <c r="AB87" s="29" t="s">
        <v>701</v>
      </c>
      <c r="AC87" s="59">
        <v>44543</v>
      </c>
      <c r="AD87" s="59"/>
      <c r="AE87" s="29"/>
      <c r="AF87" s="59">
        <v>44545</v>
      </c>
      <c r="AG87" s="59">
        <v>44547</v>
      </c>
      <c r="AH87" s="85">
        <v>44550</v>
      </c>
      <c r="AI87" s="29" t="s">
        <v>19</v>
      </c>
      <c r="AJ87" s="139"/>
      <c r="AK87" s="28"/>
      <c r="AL87" s="102" t="s">
        <v>702</v>
      </c>
      <c r="AM87" s="41" t="str">
        <f>VLOOKUP(Table2[[#This Row],[country]],Countrycode!A:B,2,FALSE)</f>
        <v>CHN</v>
      </c>
      <c r="AN87" s="34">
        <f>IF(ISBLANK(Table2[[#This Row],[Need_RRA]]), 2,(IF(Table2[[#This Row],[Need_RRA]]="No", 0, (IF(AND(Table2[[#This Row],[Need_RRA]]="Yes",  Table2[[#This Row],[RRA_pub_date]]=""),1, 0)))))</f>
        <v>0</v>
      </c>
      <c r="AO87" s="34">
        <f>IF(ISBLANK(Table2[[#This Row],[Need_EIS]]), 2,(IF(Table2[[#This Row],[Need_EIS]]="No", 0, (IF(AND(Table2[[#This Row],[Need_EIS]]="Yes",  Table2[[#This Row],[EIS_pub_date]]=""),1, 0)))))</f>
        <v>0</v>
      </c>
      <c r="AP87" s="34">
        <f>IF(ISBLANK(Table2[[#This Row],[Need_DON]]), 2,(IF(Table2[[#This Row],[Need_DON]]="No", 0, (IF(AND(Table2[[#This Row],[Need_DON]]="Yes",  Table2[[#This Row],[DON_pub_date]]=""),1, 0)))))</f>
        <v>0</v>
      </c>
      <c r="AQ87" s="34">
        <f>IF(ISBLANK(Table2[[#This Row],[Pending_question]]), 2,(IF(Table2[[#This Row],[Pending_question]]="Yes", 1, 0)))</f>
        <v>0</v>
      </c>
      <c r="AR87" s="43"/>
    </row>
    <row r="88" spans="1:44" ht="15" customHeight="1">
      <c r="A88" s="63">
        <v>44544</v>
      </c>
      <c r="B88" s="29" t="s">
        <v>15</v>
      </c>
      <c r="C88" s="33" t="str" cm="1">
        <f t="array" ref="C8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88" s="27" t="s">
        <v>635</v>
      </c>
      <c r="E88" s="58" t="s">
        <v>104</v>
      </c>
      <c r="F88" s="29" t="s">
        <v>173</v>
      </c>
      <c r="G88" s="29" t="s">
        <v>34</v>
      </c>
      <c r="H88" s="55">
        <v>44544</v>
      </c>
      <c r="I88" s="59" t="s">
        <v>34</v>
      </c>
      <c r="J88" s="55">
        <v>44543</v>
      </c>
      <c r="K88" s="59" t="s">
        <v>636</v>
      </c>
      <c r="L88" s="60"/>
      <c r="M88" s="70" t="s">
        <v>19</v>
      </c>
      <c r="N88" s="55"/>
      <c r="O88" s="71"/>
      <c r="P88" s="83" t="s">
        <v>19</v>
      </c>
      <c r="Q88" s="84" t="s">
        <v>34</v>
      </c>
      <c r="R88" s="54"/>
      <c r="S88" s="29" t="s">
        <v>34</v>
      </c>
      <c r="T88" s="59"/>
      <c r="U88" s="29" t="s">
        <v>34</v>
      </c>
      <c r="V88" s="29" t="s">
        <v>34</v>
      </c>
      <c r="W88" s="29" t="s">
        <v>34</v>
      </c>
      <c r="X88" s="27" t="s">
        <v>34</v>
      </c>
      <c r="Y88" s="29" t="s">
        <v>30</v>
      </c>
      <c r="Z88" s="29" t="s">
        <v>21</v>
      </c>
      <c r="AA88" s="29"/>
      <c r="AB88" s="29" t="s">
        <v>701</v>
      </c>
      <c r="AC88" s="59">
        <v>44543</v>
      </c>
      <c r="AD88" s="59"/>
      <c r="AE88" s="29"/>
      <c r="AF88" s="59">
        <v>44545</v>
      </c>
      <c r="AG88" s="59">
        <v>44547</v>
      </c>
      <c r="AH88" s="85">
        <v>44550</v>
      </c>
      <c r="AI88" s="29" t="s">
        <v>19</v>
      </c>
      <c r="AJ88" s="139"/>
      <c r="AK88" s="28"/>
      <c r="AL88" s="102" t="s">
        <v>703</v>
      </c>
      <c r="AM88" s="41" t="str">
        <f>VLOOKUP(Table2[[#This Row],[country]],Countrycode!A:B,2,FALSE)</f>
        <v>CHN</v>
      </c>
      <c r="AN88" s="34">
        <f>IF(ISBLANK(Table2[[#This Row],[Need_RRA]]), 2,(IF(Table2[[#This Row],[Need_RRA]]="No", 0, (IF(AND(Table2[[#This Row],[Need_RRA]]="Yes",  Table2[[#This Row],[RRA_pub_date]]=""),1, 0)))))</f>
        <v>0</v>
      </c>
      <c r="AO88" s="34">
        <f>IF(ISBLANK(Table2[[#This Row],[Need_EIS]]), 2,(IF(Table2[[#This Row],[Need_EIS]]="No", 0, (IF(AND(Table2[[#This Row],[Need_EIS]]="Yes",  Table2[[#This Row],[EIS_pub_date]]=""),1, 0)))))</f>
        <v>0</v>
      </c>
      <c r="AP88" s="34">
        <f>IF(ISBLANK(Table2[[#This Row],[Need_DON]]), 2,(IF(Table2[[#This Row],[Need_DON]]="No", 0, (IF(AND(Table2[[#This Row],[Need_DON]]="Yes",  Table2[[#This Row],[DON_pub_date]]=""),1, 0)))))</f>
        <v>0</v>
      </c>
      <c r="AQ88" s="34">
        <f>IF(ISBLANK(Table2[[#This Row],[Pending_question]]), 2,(IF(Table2[[#This Row],[Pending_question]]="Yes", 1, 0)))</f>
        <v>0</v>
      </c>
      <c r="AR88" s="43"/>
    </row>
    <row r="89" spans="1:44" ht="15" customHeight="1">
      <c r="A89" s="63">
        <v>44550</v>
      </c>
      <c r="B89" s="29" t="s">
        <v>15</v>
      </c>
      <c r="C89" s="33" t="str" cm="1">
        <f t="array" ref="C8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89" s="27" t="s">
        <v>456</v>
      </c>
      <c r="E89" s="67" t="s">
        <v>252</v>
      </c>
      <c r="F89" s="29" t="s">
        <v>408</v>
      </c>
      <c r="G89" s="29" t="s">
        <v>34</v>
      </c>
      <c r="H89" s="59">
        <v>44550</v>
      </c>
      <c r="I89" s="59">
        <v>44545</v>
      </c>
      <c r="J89" s="150">
        <v>44425</v>
      </c>
      <c r="K89" s="43" t="s">
        <v>604</v>
      </c>
      <c r="L89" s="60"/>
      <c r="M89" s="70" t="s">
        <v>19</v>
      </c>
      <c r="N89" s="55"/>
      <c r="O89" s="71"/>
      <c r="P89" s="83" t="s">
        <v>19</v>
      </c>
      <c r="Q89" s="84" t="s">
        <v>34</v>
      </c>
      <c r="R89" s="29"/>
      <c r="S89" s="29" t="s">
        <v>34</v>
      </c>
      <c r="T89" s="59"/>
      <c r="U89" s="29" t="s">
        <v>34</v>
      </c>
      <c r="V89" s="29" t="s">
        <v>34</v>
      </c>
      <c r="W89" s="29" t="s">
        <v>34</v>
      </c>
      <c r="X89" s="27" t="s">
        <v>34</v>
      </c>
      <c r="Y89" s="29" t="s">
        <v>19</v>
      </c>
      <c r="Z89" s="29"/>
      <c r="AA89" s="29"/>
      <c r="AB89" s="29"/>
      <c r="AC89" s="29"/>
      <c r="AD89" s="59"/>
      <c r="AE89" s="29"/>
      <c r="AF89" s="29"/>
      <c r="AG89" s="29"/>
      <c r="AH89" s="27"/>
      <c r="AI89" s="29" t="s">
        <v>19</v>
      </c>
      <c r="AJ89" s="139"/>
      <c r="AK89" s="28"/>
      <c r="AL89" s="102" t="s">
        <v>704</v>
      </c>
      <c r="AM89" s="41" t="str">
        <f>VLOOKUP(Table2[[#This Row],[country]],Countrycode!A:B,2,FALSE)</f>
        <v>VEN</v>
      </c>
      <c r="AN89" s="34">
        <f>IF(ISBLANK(Table2[[#This Row],[Need_RRA]]), 2,(IF(Table2[[#This Row],[Need_RRA]]="No", 0, (IF(AND(Table2[[#This Row],[Need_RRA]]="Yes",  Table2[[#This Row],[RRA_pub_date]]=""),1, 0)))))</f>
        <v>0</v>
      </c>
      <c r="AO89" s="34">
        <f>IF(ISBLANK(Table2[[#This Row],[Need_EIS]]), 2,(IF(Table2[[#This Row],[Need_EIS]]="No", 0, (IF(AND(Table2[[#This Row],[Need_EIS]]="Yes",  Table2[[#This Row],[EIS_pub_date]]=""),1, 0)))))</f>
        <v>0</v>
      </c>
      <c r="AP89" s="34">
        <f>IF(ISBLANK(Table2[[#This Row],[Need_DON]]), 2,(IF(Table2[[#This Row],[Need_DON]]="No", 0, (IF(AND(Table2[[#This Row],[Need_DON]]="Yes",  Table2[[#This Row],[DON_pub_date]]=""),1, 0)))))</f>
        <v>0</v>
      </c>
      <c r="AQ89" s="34">
        <f>IF(ISBLANK(Table2[[#This Row],[Pending_question]]), 2,(IF(Table2[[#This Row],[Pending_question]]="Yes", 1, 0)))</f>
        <v>0</v>
      </c>
      <c r="AR89" s="43"/>
    </row>
    <row r="90" spans="1:44" ht="15" customHeight="1">
      <c r="A90" s="63">
        <v>44559</v>
      </c>
      <c r="B90" s="29" t="s">
        <v>15</v>
      </c>
      <c r="C90" s="33" t="str" cm="1">
        <f t="array" ref="C9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90" s="27" t="s">
        <v>705</v>
      </c>
      <c r="E90" s="67" t="s">
        <v>104</v>
      </c>
      <c r="F90" s="29" t="s">
        <v>173</v>
      </c>
      <c r="G90" s="29" t="s">
        <v>34</v>
      </c>
      <c r="H90" s="59">
        <v>44559</v>
      </c>
      <c r="I90" s="59"/>
      <c r="J90" s="59">
        <v>44559</v>
      </c>
      <c r="K90" s="59" t="s">
        <v>636</v>
      </c>
      <c r="L90" s="57"/>
      <c r="M90" s="70" t="s">
        <v>19</v>
      </c>
      <c r="N90" s="55"/>
      <c r="O90" s="71"/>
      <c r="P90" s="83" t="s">
        <v>19</v>
      </c>
      <c r="Q90" s="84"/>
      <c r="R90" s="29"/>
      <c r="S90" s="29"/>
      <c r="T90" s="59"/>
      <c r="U90" s="29"/>
      <c r="V90" s="29"/>
      <c r="W90" s="29"/>
      <c r="X90" s="27"/>
      <c r="Y90" s="29" t="s">
        <v>30</v>
      </c>
      <c r="Z90" s="29" t="s">
        <v>21</v>
      </c>
      <c r="AA90" s="29"/>
      <c r="AB90" s="29"/>
      <c r="AC90" s="59">
        <v>44559</v>
      </c>
      <c r="AD90" s="59"/>
      <c r="AE90" s="59">
        <v>44559</v>
      </c>
      <c r="AF90" s="59">
        <v>44559</v>
      </c>
      <c r="AG90" s="59">
        <v>44572</v>
      </c>
      <c r="AH90" s="85">
        <v>44573</v>
      </c>
      <c r="AI90" s="29" t="s">
        <v>19</v>
      </c>
      <c r="AJ90" s="139"/>
      <c r="AK90" s="28"/>
      <c r="AL90" s="102"/>
      <c r="AM90" s="41" t="str">
        <f>VLOOKUP(Table2[[#This Row],[country]],Countrycode!A:B,2,FALSE)</f>
        <v>CHN</v>
      </c>
      <c r="AN90" s="34">
        <f>IF(ISBLANK(Table2[[#This Row],[Need_RRA]]), 2,(IF(Table2[[#This Row],[Need_RRA]]="No", 0, (IF(AND(Table2[[#This Row],[Need_RRA]]="Yes",  Table2[[#This Row],[RRA_pub_date]]=""),1, 0)))))</f>
        <v>0</v>
      </c>
      <c r="AO90" s="34">
        <f>IF(ISBLANK(Table2[[#This Row],[Need_EIS]]), 2,(IF(Table2[[#This Row],[Need_EIS]]="No", 0, (IF(AND(Table2[[#This Row],[Need_EIS]]="Yes",  Table2[[#This Row],[EIS_pub_date]]=""),1, 0)))))</f>
        <v>0</v>
      </c>
      <c r="AP90" s="34">
        <f>IF(ISBLANK(Table2[[#This Row],[Need_DON]]), 2,(IF(Table2[[#This Row],[Need_DON]]="No", 0, (IF(AND(Table2[[#This Row],[Need_DON]]="Yes",  Table2[[#This Row],[DON_pub_date]]=""),1, 0)))))</f>
        <v>0</v>
      </c>
      <c r="AQ90" s="34">
        <f>IF(ISBLANK(Table2[[#This Row],[Pending_question]]), 2,(IF(Table2[[#This Row],[Pending_question]]="Yes", 1, 0)))</f>
        <v>0</v>
      </c>
      <c r="AR90" s="43"/>
    </row>
    <row r="91" spans="1:44" ht="15" customHeight="1">
      <c r="A91" s="63">
        <v>44559</v>
      </c>
      <c r="B91" s="29" t="s">
        <v>15</v>
      </c>
      <c r="C91" s="33" t="str" cm="1">
        <f t="array" ref="C9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91" s="27" t="s">
        <v>635</v>
      </c>
      <c r="E91" s="67" t="s">
        <v>99</v>
      </c>
      <c r="F91" s="29" t="s">
        <v>400</v>
      </c>
      <c r="G91" s="29" t="s">
        <v>34</v>
      </c>
      <c r="H91" s="59">
        <v>44559</v>
      </c>
      <c r="I91" s="59">
        <v>44567</v>
      </c>
      <c r="J91" s="59">
        <v>44559</v>
      </c>
      <c r="K91" s="59" t="s">
        <v>706</v>
      </c>
      <c r="L91" s="62" t="s">
        <v>707</v>
      </c>
      <c r="M91" s="70" t="s">
        <v>19</v>
      </c>
      <c r="N91" s="72"/>
      <c r="O91" s="73"/>
      <c r="P91" s="83" t="s">
        <v>19</v>
      </c>
      <c r="Q91" s="84"/>
      <c r="R91" s="29"/>
      <c r="S91" s="29"/>
      <c r="T91" s="59"/>
      <c r="U91" s="29"/>
      <c r="V91" s="29"/>
      <c r="W91" s="29"/>
      <c r="X91" s="27"/>
      <c r="Y91" s="29" t="s">
        <v>30</v>
      </c>
      <c r="Z91" s="29" t="s">
        <v>42</v>
      </c>
      <c r="AA91" s="29"/>
      <c r="AB91" s="29" t="s">
        <v>708</v>
      </c>
      <c r="AC91" s="59">
        <v>44567</v>
      </c>
      <c r="AD91" s="59"/>
      <c r="AE91" s="59">
        <v>44568</v>
      </c>
      <c r="AF91" s="59">
        <v>44568</v>
      </c>
      <c r="AG91" s="59">
        <v>44571</v>
      </c>
      <c r="AH91" s="59">
        <v>44571</v>
      </c>
      <c r="AI91" s="29" t="s">
        <v>30</v>
      </c>
      <c r="AJ91" s="139"/>
      <c r="AK91" s="86">
        <v>44577</v>
      </c>
      <c r="AL91" s="102"/>
      <c r="AM91" s="41" t="str">
        <f>VLOOKUP(Table2[[#This Row],[country]],Countrycode!A:B,2,FALSE)</f>
        <v>GBR</v>
      </c>
      <c r="AN91" s="34">
        <f>IF(ISBLANK(Table2[[#This Row],[Need_RRA]]), 2,(IF(Table2[[#This Row],[Need_RRA]]="No", 0, (IF(AND(Table2[[#This Row],[Need_RRA]]="Yes",  Table2[[#This Row],[RRA_pub_date]]=""),1, 0)))))</f>
        <v>0</v>
      </c>
      <c r="AO91" s="34">
        <f>IF(ISBLANK(Table2[[#This Row],[Need_EIS]]), 2,(IF(Table2[[#This Row],[Need_EIS]]="No", 0, (IF(AND(Table2[[#This Row],[Need_EIS]]="Yes",  Table2[[#This Row],[EIS_pub_date]]=""),1, 0)))))</f>
        <v>0</v>
      </c>
      <c r="AP91" s="34">
        <f>IF(ISBLANK(Table2[[#This Row],[Need_DON]]), 2,(IF(Table2[[#This Row],[Need_DON]]="No", 0, (IF(AND(Table2[[#This Row],[Need_DON]]="Yes",  Table2[[#This Row],[DON_pub_date]]=""),1, 0)))))</f>
        <v>0</v>
      </c>
      <c r="AQ91" s="34">
        <f>IF(ISBLANK(Table2[[#This Row],[Pending_question]]), 2,(IF(Table2[[#This Row],[Pending_question]]="Yes", 1, 0)))</f>
        <v>0</v>
      </c>
      <c r="AR91" s="43"/>
    </row>
    <row r="92" spans="1:44" ht="15" customHeight="1">
      <c r="A92" s="63">
        <v>44560</v>
      </c>
      <c r="B92" s="29" t="s">
        <v>15</v>
      </c>
      <c r="C92" s="33" t="str" cm="1">
        <f t="array" ref="C9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92" s="27" t="s">
        <v>456</v>
      </c>
      <c r="E92" s="67" t="s">
        <v>132</v>
      </c>
      <c r="F92" s="29" t="s">
        <v>374</v>
      </c>
      <c r="G92" s="29" t="s">
        <v>34</v>
      </c>
      <c r="H92" s="29"/>
      <c r="I92" s="29"/>
      <c r="J92" s="29"/>
      <c r="K92" s="43"/>
      <c r="L92" s="60"/>
      <c r="M92" s="70" t="s">
        <v>19</v>
      </c>
      <c r="N92" s="55"/>
      <c r="O92" s="71"/>
      <c r="P92" s="83" t="s">
        <v>19</v>
      </c>
      <c r="Q92" s="185" t="s">
        <v>34</v>
      </c>
      <c r="R92" s="29" t="s">
        <v>709</v>
      </c>
      <c r="S92" s="29" t="s">
        <v>34</v>
      </c>
      <c r="T92" s="59"/>
      <c r="U92" s="29" t="s">
        <v>34</v>
      </c>
      <c r="V92" s="29" t="s">
        <v>34</v>
      </c>
      <c r="W92" s="29" t="s">
        <v>34</v>
      </c>
      <c r="X92" s="27" t="s">
        <v>34</v>
      </c>
      <c r="Y92" s="29" t="s">
        <v>627</v>
      </c>
      <c r="Z92" s="29"/>
      <c r="AA92" s="29"/>
      <c r="AB92" s="29" t="s">
        <v>710</v>
      </c>
      <c r="AC92" s="29"/>
      <c r="AD92" s="59"/>
      <c r="AE92" s="29"/>
      <c r="AF92" s="29"/>
      <c r="AG92" s="29"/>
      <c r="AH92" s="59">
        <v>44560</v>
      </c>
      <c r="AI92" s="29" t="s">
        <v>19</v>
      </c>
      <c r="AJ92" s="139"/>
      <c r="AK92" s="28"/>
      <c r="AL92" s="102"/>
      <c r="AM92" s="41" t="str">
        <f>VLOOKUP(Table2[[#This Row],[country]],Countrycode!A:B,2,FALSE)</f>
        <v>ZAF</v>
      </c>
      <c r="AN92" s="34">
        <f>IF(ISBLANK(Table2[[#This Row],[Need_RRA]]), 2,(IF(Table2[[#This Row],[Need_RRA]]="No", 0, (IF(AND(Table2[[#This Row],[Need_RRA]]="Yes",  Table2[[#This Row],[RRA_pub_date]]=""),1, 0)))))</f>
        <v>0</v>
      </c>
      <c r="AO92" s="34">
        <f>IF(ISBLANK(Table2[[#This Row],[Need_EIS]]), 2,(IF(Table2[[#This Row],[Need_EIS]]="No", 0, (IF(AND(Table2[[#This Row],[Need_EIS]]="Yes",  Table2[[#This Row],[EIS_pub_date]]=""),1, 0)))))</f>
        <v>0</v>
      </c>
      <c r="AP92" s="34">
        <f>IF(ISBLANK(Table2[[#This Row],[Need_DON]]), 2,(IF(Table2[[#This Row],[Need_DON]]="No", 0, (IF(AND(Table2[[#This Row],[Need_DON]]="Yes",  Table2[[#This Row],[DON_pub_date]]=""),1, 0)))))</f>
        <v>0</v>
      </c>
      <c r="AQ92" s="34">
        <f>IF(ISBLANK(Table2[[#This Row],[Pending_question]]), 2,(IF(Table2[[#This Row],[Pending_question]]="Yes", 1, 0)))</f>
        <v>0</v>
      </c>
      <c r="AR92" s="61"/>
    </row>
    <row r="93" spans="1:44" ht="15" customHeight="1">
      <c r="A93" s="63">
        <v>44564</v>
      </c>
      <c r="B93" s="29" t="s">
        <v>15</v>
      </c>
      <c r="C93" s="33" t="str" cm="1">
        <f t="array" ref="C9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93" s="27" t="s">
        <v>635</v>
      </c>
      <c r="E93" s="67" t="s">
        <v>110</v>
      </c>
      <c r="F93" s="29" t="s">
        <v>173</v>
      </c>
      <c r="G93" s="29" t="s">
        <v>34</v>
      </c>
      <c r="H93" s="59">
        <v>44564</v>
      </c>
      <c r="I93" s="59"/>
      <c r="J93" s="59">
        <v>44564</v>
      </c>
      <c r="K93" s="59" t="s">
        <v>694</v>
      </c>
      <c r="L93" s="62" t="s">
        <v>711</v>
      </c>
      <c r="M93" s="70" t="s">
        <v>19</v>
      </c>
      <c r="N93" s="72"/>
      <c r="O93" s="73"/>
      <c r="P93" s="83" t="s">
        <v>19</v>
      </c>
      <c r="Q93" s="84"/>
      <c r="R93" s="29"/>
      <c r="S93" s="29"/>
      <c r="T93" s="59"/>
      <c r="U93" s="29"/>
      <c r="V93" s="29"/>
      <c r="W93" s="29"/>
      <c r="X93" s="27"/>
      <c r="Y93" s="29" t="s">
        <v>30</v>
      </c>
      <c r="Z93" s="29" t="s">
        <v>21</v>
      </c>
      <c r="AA93" s="29"/>
      <c r="AB93" s="29"/>
      <c r="AC93" s="59">
        <v>44563</v>
      </c>
      <c r="AD93" s="59"/>
      <c r="AE93" s="59">
        <v>44564</v>
      </c>
      <c r="AF93" s="59">
        <v>44564</v>
      </c>
      <c r="AG93" s="59">
        <v>44572</v>
      </c>
      <c r="AH93" s="85">
        <v>44573</v>
      </c>
      <c r="AI93" s="29" t="s">
        <v>19</v>
      </c>
      <c r="AJ93" s="139"/>
      <c r="AK93" s="28"/>
      <c r="AL93" s="102"/>
      <c r="AM93" s="41" t="str">
        <f>VLOOKUP(Table2[[#This Row],[country]],Countrycode!A:B,2,FALSE)</f>
        <v>CHN</v>
      </c>
      <c r="AN93" s="34">
        <f>IF(ISBLANK(Table2[[#This Row],[Need_RRA]]), 2,(IF(Table2[[#This Row],[Need_RRA]]="No", 0, (IF(AND(Table2[[#This Row],[Need_RRA]]="Yes",  Table2[[#This Row],[RRA_pub_date]]=""),1, 0)))))</f>
        <v>0</v>
      </c>
      <c r="AO93" s="34">
        <f>IF(ISBLANK(Table2[[#This Row],[Need_EIS]]), 2,(IF(Table2[[#This Row],[Need_EIS]]="No", 0, (IF(AND(Table2[[#This Row],[Need_EIS]]="Yes",  Table2[[#This Row],[EIS_pub_date]]=""),1, 0)))))</f>
        <v>0</v>
      </c>
      <c r="AP93" s="34">
        <f>IF(ISBLANK(Table2[[#This Row],[Need_DON]]), 2,(IF(Table2[[#This Row],[Need_DON]]="No", 0, (IF(AND(Table2[[#This Row],[Need_DON]]="Yes",  Table2[[#This Row],[DON_pub_date]]=""),1, 0)))))</f>
        <v>0</v>
      </c>
      <c r="AQ93" s="34">
        <f>IF(ISBLANK(Table2[[#This Row],[Pending_question]]), 2,(IF(Table2[[#This Row],[Pending_question]]="Yes", 1, 0)))</f>
        <v>0</v>
      </c>
      <c r="AR93" s="43"/>
    </row>
    <row r="94" spans="1:44" ht="15" customHeight="1">
      <c r="A94" s="63">
        <v>44564</v>
      </c>
      <c r="B94" s="29" t="s">
        <v>15</v>
      </c>
      <c r="C94" s="33" t="str" cm="1">
        <f t="array" ref="C9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94" s="27" t="s">
        <v>635</v>
      </c>
      <c r="E94" s="67" t="s">
        <v>104</v>
      </c>
      <c r="F94" s="29" t="s">
        <v>173</v>
      </c>
      <c r="G94" s="29" t="s">
        <v>34</v>
      </c>
      <c r="H94" s="59">
        <v>44564</v>
      </c>
      <c r="I94" s="59"/>
      <c r="J94" s="29"/>
      <c r="K94" s="59" t="s">
        <v>636</v>
      </c>
      <c r="L94" s="62" t="s">
        <v>712</v>
      </c>
      <c r="M94" s="70" t="s">
        <v>19</v>
      </c>
      <c r="N94" s="72"/>
      <c r="O94" s="73"/>
      <c r="P94" s="83" t="s">
        <v>19</v>
      </c>
      <c r="Q94" s="84"/>
      <c r="R94" s="29"/>
      <c r="S94" s="29"/>
      <c r="T94" s="59"/>
      <c r="U94" s="29"/>
      <c r="V94" s="29"/>
      <c r="W94" s="29"/>
      <c r="X94" s="27"/>
      <c r="Y94" s="29" t="s">
        <v>30</v>
      </c>
      <c r="Z94" s="29" t="s">
        <v>21</v>
      </c>
      <c r="AA94" s="29"/>
      <c r="AB94" s="29"/>
      <c r="AC94" s="59">
        <v>44563</v>
      </c>
      <c r="AD94" s="59"/>
      <c r="AE94" s="59">
        <v>44564</v>
      </c>
      <c r="AF94" s="59">
        <v>44564</v>
      </c>
      <c r="AG94" s="59">
        <v>44573</v>
      </c>
      <c r="AH94" s="85">
        <v>44573</v>
      </c>
      <c r="AI94" s="29" t="s">
        <v>19</v>
      </c>
      <c r="AJ94" s="139"/>
      <c r="AK94" s="28"/>
      <c r="AL94" s="102"/>
      <c r="AM94" s="41" t="str">
        <f>VLOOKUP(Table2[[#This Row],[country]],Countrycode!A:B,2,FALSE)</f>
        <v>CHN</v>
      </c>
      <c r="AN94" s="34">
        <f>IF(ISBLANK(Table2[[#This Row],[Need_RRA]]), 2,(IF(Table2[[#This Row],[Need_RRA]]="No", 0, (IF(AND(Table2[[#This Row],[Need_RRA]]="Yes",  Table2[[#This Row],[RRA_pub_date]]=""),1, 0)))))</f>
        <v>0</v>
      </c>
      <c r="AO94" s="34">
        <f>IF(ISBLANK(Table2[[#This Row],[Need_EIS]]), 2,(IF(Table2[[#This Row],[Need_EIS]]="No", 0, (IF(AND(Table2[[#This Row],[Need_EIS]]="Yes",  Table2[[#This Row],[EIS_pub_date]]=""),1, 0)))))</f>
        <v>0</v>
      </c>
      <c r="AP94" s="34">
        <f>IF(ISBLANK(Table2[[#This Row],[Need_DON]]), 2,(IF(Table2[[#This Row],[Need_DON]]="No", 0, (IF(AND(Table2[[#This Row],[Need_DON]]="Yes",  Table2[[#This Row],[DON_pub_date]]=""),1, 0)))))</f>
        <v>0</v>
      </c>
      <c r="AQ94" s="34">
        <f>IF(ISBLANK(Table2[[#This Row],[Pending_question]]), 2,(IF(Table2[[#This Row],[Pending_question]]="Yes", 1, 0)))</f>
        <v>0</v>
      </c>
      <c r="AR94" s="43"/>
    </row>
    <row r="95" spans="1:44" ht="15" customHeight="1">
      <c r="A95" s="63">
        <v>44565</v>
      </c>
      <c r="B95" s="29" t="s">
        <v>15</v>
      </c>
      <c r="C95" s="33" t="str" cm="1">
        <f t="array" ref="C9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95" s="27" t="s">
        <v>713</v>
      </c>
      <c r="E95" s="67" t="s">
        <v>176</v>
      </c>
      <c r="F95" s="29" t="s">
        <v>16</v>
      </c>
      <c r="G95" s="29" t="s">
        <v>34</v>
      </c>
      <c r="H95" s="59">
        <v>44565</v>
      </c>
      <c r="I95" s="59"/>
      <c r="J95" s="59">
        <v>44305</v>
      </c>
      <c r="K95" s="59" t="s">
        <v>714</v>
      </c>
      <c r="L95" s="62" t="s">
        <v>715</v>
      </c>
      <c r="M95" s="70" t="s">
        <v>19</v>
      </c>
      <c r="N95" s="72"/>
      <c r="O95" s="73"/>
      <c r="P95" s="83" t="s">
        <v>30</v>
      </c>
      <c r="Q95" s="84"/>
      <c r="R95" s="29" t="s">
        <v>716</v>
      </c>
      <c r="S95" s="59">
        <v>44574</v>
      </c>
      <c r="T95" s="59"/>
      <c r="U95" s="59">
        <v>44603</v>
      </c>
      <c r="V95" s="29" t="s">
        <v>41</v>
      </c>
      <c r="W95" s="29" t="s">
        <v>32</v>
      </c>
      <c r="X95" s="27" t="s">
        <v>51</v>
      </c>
      <c r="Y95" s="29" t="s">
        <v>30</v>
      </c>
      <c r="Z95" s="29" t="s">
        <v>42</v>
      </c>
      <c r="AA95" s="29"/>
      <c r="AB95" s="29" t="s">
        <v>717</v>
      </c>
      <c r="AC95" s="59">
        <v>44566</v>
      </c>
      <c r="AD95" s="59"/>
      <c r="AE95" s="59">
        <v>44574</v>
      </c>
      <c r="AF95" s="29"/>
      <c r="AG95" s="29"/>
      <c r="AH95" s="85">
        <v>44588</v>
      </c>
      <c r="AI95" s="29" t="s">
        <v>30</v>
      </c>
      <c r="AJ95" s="139"/>
      <c r="AK95" s="86">
        <v>44602</v>
      </c>
      <c r="AL95" s="102" t="s">
        <v>718</v>
      </c>
      <c r="AM95" s="41" t="str">
        <f>VLOOKUP(Table2[[#This Row],[country]],Countrycode!A:B,2,FALSE)</f>
        <v>AFG</v>
      </c>
      <c r="AN95" s="34">
        <f>IF(ISBLANK(Table2[[#This Row],[Need_RRA]]), 2,(IF(Table2[[#This Row],[Need_RRA]]="No", 0, (IF(AND(Table2[[#This Row],[Need_RRA]]="Yes",  Table2[[#This Row],[RRA_pub_date]]=""),1, 0)))))</f>
        <v>0</v>
      </c>
      <c r="AO95" s="34">
        <f>IF(ISBLANK(Table2[[#This Row],[Need_EIS]]), 2,(IF(Table2[[#This Row],[Need_EIS]]="No", 0, (IF(AND(Table2[[#This Row],[Need_EIS]]="Yes",  Table2[[#This Row],[EIS_pub_date]]=""),1, 0)))))</f>
        <v>0</v>
      </c>
      <c r="AP95" s="34">
        <f>IF(ISBLANK(Table2[[#This Row],[Need_DON]]), 2,(IF(Table2[[#This Row],[Need_DON]]="No", 0, (IF(AND(Table2[[#This Row],[Need_DON]]="Yes",  Table2[[#This Row],[DON_pub_date]]=""),1, 0)))))</f>
        <v>0</v>
      </c>
      <c r="AQ95" s="34">
        <f>IF(ISBLANK(Table2[[#This Row],[Pending_question]]), 2,(IF(Table2[[#This Row],[Pending_question]]="Yes", 1, 0)))</f>
        <v>0</v>
      </c>
      <c r="AR95" s="43"/>
    </row>
    <row r="96" spans="1:44" ht="15" customHeight="1">
      <c r="A96" s="63">
        <v>44570</v>
      </c>
      <c r="B96" s="29" t="s">
        <v>15</v>
      </c>
      <c r="C96" s="33" t="str" cm="1">
        <f t="array" ref="C9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96" s="27" t="s">
        <v>635</v>
      </c>
      <c r="E96" s="67" t="s">
        <v>104</v>
      </c>
      <c r="F96" s="29" t="s">
        <v>173</v>
      </c>
      <c r="G96" s="29" t="s">
        <v>34</v>
      </c>
      <c r="H96" s="59">
        <v>44570</v>
      </c>
      <c r="I96" s="59"/>
      <c r="J96" s="59">
        <v>44570</v>
      </c>
      <c r="K96" s="59" t="s">
        <v>636</v>
      </c>
      <c r="L96" s="62" t="s">
        <v>712</v>
      </c>
      <c r="M96" s="70" t="s">
        <v>19</v>
      </c>
      <c r="N96" s="72"/>
      <c r="O96" s="73"/>
      <c r="P96" s="83" t="s">
        <v>19</v>
      </c>
      <c r="Q96" s="59"/>
      <c r="R96" s="29"/>
      <c r="S96" s="29"/>
      <c r="T96" s="59"/>
      <c r="U96" s="29"/>
      <c r="V96" s="29"/>
      <c r="W96" s="29"/>
      <c r="X96" s="27"/>
      <c r="Y96" s="29" t="s">
        <v>30</v>
      </c>
      <c r="Z96" s="29" t="s">
        <v>21</v>
      </c>
      <c r="AA96" s="29"/>
      <c r="AB96" s="29"/>
      <c r="AC96" s="59">
        <v>44568</v>
      </c>
      <c r="AD96" s="59"/>
      <c r="AE96" s="59">
        <v>44572</v>
      </c>
      <c r="AF96" s="59">
        <v>44572</v>
      </c>
      <c r="AG96" s="59">
        <v>44579</v>
      </c>
      <c r="AH96" s="85">
        <v>44579</v>
      </c>
      <c r="AI96" s="29" t="s">
        <v>19</v>
      </c>
      <c r="AJ96" s="139"/>
      <c r="AK96" s="28"/>
      <c r="AL96" s="102"/>
      <c r="AM96" s="41" t="str">
        <f>VLOOKUP(Table2[[#This Row],[country]],Countrycode!A:B,2,FALSE)</f>
        <v>CHN</v>
      </c>
      <c r="AN96" s="34">
        <f>IF(ISBLANK(Table2[[#This Row],[Need_RRA]]), 2,(IF(Table2[[#This Row],[Need_RRA]]="No", 0, (IF(AND(Table2[[#This Row],[Need_RRA]]="Yes",  Table2[[#This Row],[RRA_pub_date]]=""),1, 0)))))</f>
        <v>0</v>
      </c>
      <c r="AO96" s="34">
        <f>IF(ISBLANK(Table2[[#This Row],[Need_EIS]]), 2,(IF(Table2[[#This Row],[Need_EIS]]="No", 0, (IF(AND(Table2[[#This Row],[Need_EIS]]="Yes",  Table2[[#This Row],[EIS_pub_date]]=""),1, 0)))))</f>
        <v>0</v>
      </c>
      <c r="AP96" s="34">
        <f>IF(ISBLANK(Table2[[#This Row],[Need_DON]]), 2,(IF(Table2[[#This Row],[Need_DON]]="No", 0, (IF(AND(Table2[[#This Row],[Need_DON]]="Yes",  Table2[[#This Row],[DON_pub_date]]=""),1, 0)))))</f>
        <v>0</v>
      </c>
      <c r="AQ96" s="34">
        <f>IF(ISBLANK(Table2[[#This Row],[Pending_question]]), 2,(IF(Table2[[#This Row],[Pending_question]]="Yes", 1, 0)))</f>
        <v>0</v>
      </c>
      <c r="AR96" s="43"/>
    </row>
    <row r="97" spans="1:44" ht="15" customHeight="1">
      <c r="A97" s="63">
        <v>44570</v>
      </c>
      <c r="B97" s="29" t="s">
        <v>15</v>
      </c>
      <c r="C97" s="33" t="str" cm="1">
        <f t="array" ref="C9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97" s="27" t="s">
        <v>635</v>
      </c>
      <c r="E97" s="67" t="s">
        <v>110</v>
      </c>
      <c r="F97" s="29" t="s">
        <v>173</v>
      </c>
      <c r="G97" s="29" t="s">
        <v>34</v>
      </c>
      <c r="H97" s="55">
        <v>44570</v>
      </c>
      <c r="I97" s="59"/>
      <c r="J97" s="55">
        <v>44570</v>
      </c>
      <c r="K97" s="59" t="s">
        <v>694</v>
      </c>
      <c r="L97" s="62" t="s">
        <v>711</v>
      </c>
      <c r="M97" s="70" t="s">
        <v>19</v>
      </c>
      <c r="N97" s="72"/>
      <c r="O97" s="73"/>
      <c r="P97" s="87" t="s">
        <v>19</v>
      </c>
      <c r="Q97" s="80"/>
      <c r="R97" s="54"/>
      <c r="S97" s="29"/>
      <c r="T97" s="59"/>
      <c r="U97" s="29"/>
      <c r="V97" s="29"/>
      <c r="W97" s="29"/>
      <c r="X97" s="27"/>
      <c r="Y97" s="29" t="s">
        <v>30</v>
      </c>
      <c r="Z97" s="29" t="s">
        <v>21</v>
      </c>
      <c r="AA97" s="29"/>
      <c r="AB97" s="54"/>
      <c r="AC97" s="59">
        <v>44568</v>
      </c>
      <c r="AD97" s="59"/>
      <c r="AE97" s="59">
        <v>44572</v>
      </c>
      <c r="AF97" s="59">
        <v>44572</v>
      </c>
      <c r="AG97" s="59">
        <v>44579</v>
      </c>
      <c r="AH97" s="59">
        <v>44579</v>
      </c>
      <c r="AI97" s="54" t="s">
        <v>19</v>
      </c>
      <c r="AJ97" s="139"/>
      <c r="AK97" s="28"/>
      <c r="AL97" s="102"/>
      <c r="AM97" s="41" t="str">
        <f>VLOOKUP(Table2[[#This Row],[country]],Countrycode!A:B,2,FALSE)</f>
        <v>CHN</v>
      </c>
      <c r="AN97" s="34">
        <f>IF(ISBLANK(Table2[[#This Row],[Need_RRA]]), 2,(IF(Table2[[#This Row],[Need_RRA]]="No", 0, (IF(AND(Table2[[#This Row],[Need_RRA]]="Yes",  Table2[[#This Row],[RRA_pub_date]]=""),1, 0)))))</f>
        <v>0</v>
      </c>
      <c r="AO97" s="34">
        <f>IF(ISBLANK(Table2[[#This Row],[Need_EIS]]), 2,(IF(Table2[[#This Row],[Need_EIS]]="No", 0, (IF(AND(Table2[[#This Row],[Need_EIS]]="Yes",  Table2[[#This Row],[EIS_pub_date]]=""),1, 0)))))</f>
        <v>0</v>
      </c>
      <c r="AP97" s="34">
        <f>IF(ISBLANK(Table2[[#This Row],[Need_DON]]), 2,(IF(Table2[[#This Row],[Need_DON]]="No", 0, (IF(AND(Table2[[#This Row],[Need_DON]]="Yes",  Table2[[#This Row],[DON_pub_date]]=""),1, 0)))))</f>
        <v>0</v>
      </c>
      <c r="AQ97" s="34">
        <f>IF(ISBLANK(Table2[[#This Row],[Pending_question]]), 2,(IF(Table2[[#This Row],[Pending_question]]="Yes", 1, 0)))</f>
        <v>0</v>
      </c>
      <c r="AR97" s="43"/>
    </row>
    <row r="98" spans="1:44" ht="15" customHeight="1">
      <c r="A98" s="63">
        <v>44574</v>
      </c>
      <c r="B98" s="29" t="s">
        <v>15</v>
      </c>
      <c r="C98" s="33" t="str" cm="1">
        <f t="array" ref="C9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98" s="27" t="s">
        <v>459</v>
      </c>
      <c r="E98" s="67" t="s">
        <v>128</v>
      </c>
      <c r="F98" s="29" t="s">
        <v>161</v>
      </c>
      <c r="G98" s="29" t="s">
        <v>34</v>
      </c>
      <c r="H98" s="55">
        <v>44574</v>
      </c>
      <c r="I98" s="59">
        <v>44636</v>
      </c>
      <c r="J98" s="55">
        <v>44820</v>
      </c>
      <c r="K98" s="59" t="s">
        <v>642</v>
      </c>
      <c r="L98" s="62" t="s">
        <v>719</v>
      </c>
      <c r="M98" s="70" t="s">
        <v>19</v>
      </c>
      <c r="N98" s="55"/>
      <c r="O98" s="71"/>
      <c r="P98" s="83" t="s">
        <v>30</v>
      </c>
      <c r="Q98" s="154">
        <v>2</v>
      </c>
      <c r="R98" s="29" t="s">
        <v>720</v>
      </c>
      <c r="S98" s="59">
        <v>44648</v>
      </c>
      <c r="T98" s="59"/>
      <c r="U98" s="59">
        <v>44659</v>
      </c>
      <c r="V98" s="29" t="s">
        <v>20</v>
      </c>
      <c r="W98" s="29" t="s">
        <v>32</v>
      </c>
      <c r="X98" s="27" t="s">
        <v>51</v>
      </c>
      <c r="Y98" s="29" t="s">
        <v>30</v>
      </c>
      <c r="Z98" s="29" t="s">
        <v>21</v>
      </c>
      <c r="AA98" s="29"/>
      <c r="AB98" s="29" t="s">
        <v>721</v>
      </c>
      <c r="AC98" s="59">
        <v>44659</v>
      </c>
      <c r="AD98" s="59"/>
      <c r="AE98" s="59">
        <v>44665</v>
      </c>
      <c r="AF98" s="59">
        <v>44676</v>
      </c>
      <c r="AG98" s="59">
        <v>44687</v>
      </c>
      <c r="AH98" s="59">
        <v>44687</v>
      </c>
      <c r="AI98" s="29" t="s">
        <v>30</v>
      </c>
      <c r="AJ98" s="139"/>
      <c r="AK98" s="86">
        <v>44697</v>
      </c>
      <c r="AL98" s="102"/>
      <c r="AM98" s="41" t="str">
        <f>VLOOKUP(Table2[[#This Row],[country]],Countrycode!A:B,2,FALSE)</f>
        <v>CMR</v>
      </c>
      <c r="AN98" s="34">
        <f>IF(ISBLANK(Table2[[#This Row],[Need_RRA]]), 2,(IF(Table2[[#This Row],[Need_RRA]]="No", 0, (IF(AND(Table2[[#This Row],[Need_RRA]]="Yes",  Table2[[#This Row],[RRA_pub_date]]=""),1, 0)))))</f>
        <v>0</v>
      </c>
      <c r="AO98" s="34">
        <f>IF(ISBLANK(Table2[[#This Row],[Need_EIS]]), 2,(IF(Table2[[#This Row],[Need_EIS]]="No", 0, (IF(AND(Table2[[#This Row],[Need_EIS]]="Yes",  Table2[[#This Row],[EIS_pub_date]]=""),1, 0)))))</f>
        <v>0</v>
      </c>
      <c r="AP98" s="34">
        <f>IF(ISBLANK(Table2[[#This Row],[Need_DON]]), 2,(IF(Table2[[#This Row],[Need_DON]]="No", 0, (IF(AND(Table2[[#This Row],[Need_DON]]="Yes",  Table2[[#This Row],[DON_pub_date]]=""),1, 0)))))</f>
        <v>0</v>
      </c>
      <c r="AQ98" s="34">
        <f>IF(ISBLANK(Table2[[#This Row],[Pending_question]]), 2,(IF(Table2[[#This Row],[Pending_question]]="Yes", 1, 0)))</f>
        <v>0</v>
      </c>
      <c r="AR98" s="43"/>
    </row>
    <row r="99" spans="1:44" ht="15" customHeight="1">
      <c r="A99" s="63">
        <v>44579</v>
      </c>
      <c r="B99" s="29" t="s">
        <v>15</v>
      </c>
      <c r="C99" s="33" t="str" cm="1">
        <f t="array" ref="C9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99" s="27" t="s">
        <v>464</v>
      </c>
      <c r="E99" s="67" t="s">
        <v>166</v>
      </c>
      <c r="F99" s="29" t="s">
        <v>328</v>
      </c>
      <c r="G99" s="29" t="s">
        <v>34</v>
      </c>
      <c r="H99" s="59">
        <v>44579</v>
      </c>
      <c r="I99" s="59"/>
      <c r="J99" s="59">
        <v>44581</v>
      </c>
      <c r="K99" s="321" t="s">
        <v>722</v>
      </c>
      <c r="L99" s="62"/>
      <c r="M99" s="70" t="s">
        <v>19</v>
      </c>
      <c r="N99" s="59"/>
      <c r="O99" s="85"/>
      <c r="P99" s="83" t="s">
        <v>30</v>
      </c>
      <c r="Q99" s="84">
        <v>1</v>
      </c>
      <c r="R99" s="29" t="s">
        <v>723</v>
      </c>
      <c r="S99" s="59">
        <v>44580</v>
      </c>
      <c r="T99" s="59"/>
      <c r="U99" s="59">
        <v>44593</v>
      </c>
      <c r="V99" s="29" t="s">
        <v>20</v>
      </c>
      <c r="W99" s="29" t="s">
        <v>51</v>
      </c>
      <c r="X99" s="27" t="s">
        <v>51</v>
      </c>
      <c r="Y99" s="29" t="s">
        <v>30</v>
      </c>
      <c r="Z99" s="29" t="s">
        <v>42</v>
      </c>
      <c r="AA99" s="29"/>
      <c r="AB99" s="29" t="s">
        <v>724</v>
      </c>
      <c r="AC99" s="59">
        <v>44585</v>
      </c>
      <c r="AD99" s="59"/>
      <c r="AE99" s="59">
        <v>44587</v>
      </c>
      <c r="AF99" s="59">
        <v>44587</v>
      </c>
      <c r="AG99" s="59">
        <v>44596</v>
      </c>
      <c r="AH99" s="85">
        <v>44596</v>
      </c>
      <c r="AI99" s="29" t="s">
        <v>30</v>
      </c>
      <c r="AJ99" s="139"/>
      <c r="AK99" s="86">
        <v>44606</v>
      </c>
      <c r="AL99" s="102" t="s">
        <v>725</v>
      </c>
      <c r="AM99" s="41" t="str">
        <f>VLOOKUP(Table2[[#This Row],[country]],Countrycode!A:B,2,FALSE)</f>
        <v>NGA</v>
      </c>
      <c r="AN99" s="34">
        <f>IF(ISBLANK(Table2[[#This Row],[Need_RRA]]), 2,(IF(Table2[[#This Row],[Need_RRA]]="No", 0, (IF(AND(Table2[[#This Row],[Need_RRA]]="Yes",  Table2[[#This Row],[RRA_pub_date]]=""),1, 0)))))</f>
        <v>0</v>
      </c>
      <c r="AO99" s="34">
        <f>IF(ISBLANK(Table2[[#This Row],[Need_EIS]]), 2,(IF(Table2[[#This Row],[Need_EIS]]="No", 0, (IF(AND(Table2[[#This Row],[Need_EIS]]="Yes",  Table2[[#This Row],[EIS_pub_date]]=""),1, 0)))))</f>
        <v>0</v>
      </c>
      <c r="AP99" s="34">
        <f>IF(ISBLANK(Table2[[#This Row],[Need_DON]]), 2,(IF(Table2[[#This Row],[Need_DON]]="No", 0, (IF(AND(Table2[[#This Row],[Need_DON]]="Yes",  Table2[[#This Row],[DON_pub_date]]=""),1, 0)))))</f>
        <v>0</v>
      </c>
      <c r="AQ99" s="34">
        <f>IF(ISBLANK(Table2[[#This Row],[Pending_question]]), 2,(IF(Table2[[#This Row],[Pending_question]]="Yes", 1, 0)))</f>
        <v>0</v>
      </c>
      <c r="AR99" s="43"/>
    </row>
    <row r="100" spans="1:44" ht="15" customHeight="1">
      <c r="A100" s="63">
        <v>44580</v>
      </c>
      <c r="B100" s="29" t="s">
        <v>15</v>
      </c>
      <c r="C100" s="34" t="str" cm="1">
        <f t="array" ref="C10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00" s="27" t="s">
        <v>635</v>
      </c>
      <c r="E100" s="67" t="s">
        <v>104</v>
      </c>
      <c r="F100" s="29" t="s">
        <v>173</v>
      </c>
      <c r="G100" s="29" t="s">
        <v>34</v>
      </c>
      <c r="H100" s="59">
        <v>44580</v>
      </c>
      <c r="I100" s="59"/>
      <c r="J100" s="59">
        <v>44579</v>
      </c>
      <c r="K100" s="59" t="s">
        <v>636</v>
      </c>
      <c r="L100" s="62" t="s">
        <v>712</v>
      </c>
      <c r="M100" s="70" t="s">
        <v>19</v>
      </c>
      <c r="N100" s="59"/>
      <c r="O100" s="85"/>
      <c r="P100" s="59" t="s">
        <v>19</v>
      </c>
      <c r="Q100" s="84"/>
      <c r="R100" s="29"/>
      <c r="S100" s="29"/>
      <c r="T100" s="59"/>
      <c r="U100" s="29"/>
      <c r="V100" s="29"/>
      <c r="W100" s="29"/>
      <c r="X100" s="27"/>
      <c r="Y100" s="29" t="s">
        <v>30</v>
      </c>
      <c r="Z100" s="29" t="s">
        <v>21</v>
      </c>
      <c r="AA100" s="29"/>
      <c r="AB100" s="29"/>
      <c r="AC100" s="59">
        <v>44579</v>
      </c>
      <c r="AD100" s="59"/>
      <c r="AE100" s="59">
        <v>44580</v>
      </c>
      <c r="AF100" s="59">
        <v>44580</v>
      </c>
      <c r="AG100" s="59">
        <v>44586</v>
      </c>
      <c r="AH100" s="85">
        <v>44587</v>
      </c>
      <c r="AI100" s="29" t="s">
        <v>19</v>
      </c>
      <c r="AJ100" s="139"/>
      <c r="AK100" s="28"/>
      <c r="AL100" s="102"/>
      <c r="AM100" s="41" t="str">
        <f>VLOOKUP(Table2[[#This Row],[country]],Countrycode!A:B,2,FALSE)</f>
        <v>CHN</v>
      </c>
      <c r="AN100" s="34">
        <f>IF(ISBLANK(Table2[[#This Row],[Need_RRA]]), 2,(IF(Table2[[#This Row],[Need_RRA]]="No", 0, (IF(AND(Table2[[#This Row],[Need_RRA]]="Yes",  Table2[[#This Row],[RRA_pub_date]]=""),1, 0)))))</f>
        <v>0</v>
      </c>
      <c r="AO100" s="34">
        <f>IF(ISBLANK(Table2[[#This Row],[Need_EIS]]), 2,(IF(Table2[[#This Row],[Need_EIS]]="No", 0, (IF(AND(Table2[[#This Row],[Need_EIS]]="Yes",  Table2[[#This Row],[EIS_pub_date]]=""),1, 0)))))</f>
        <v>0</v>
      </c>
      <c r="AP100" s="34">
        <f>IF(ISBLANK(Table2[[#This Row],[Need_DON]]), 2,(IF(Table2[[#This Row],[Need_DON]]="No", 0, (IF(AND(Table2[[#This Row],[Need_DON]]="Yes",  Table2[[#This Row],[DON_pub_date]]=""),1, 0)))))</f>
        <v>0</v>
      </c>
      <c r="AQ100" s="34">
        <f>IF(ISBLANK(Table2[[#This Row],[Pending_question]]), 2,(IF(Table2[[#This Row],[Pending_question]]="Yes", 1, 0)))</f>
        <v>0</v>
      </c>
      <c r="AR100" s="43"/>
    </row>
    <row r="101" spans="1:44" ht="15" customHeight="1">
      <c r="A101" s="63">
        <v>44580</v>
      </c>
      <c r="B101" s="29" t="s">
        <v>15</v>
      </c>
      <c r="C101" s="34" t="str" cm="1">
        <f t="array" ref="C10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01" s="27" t="s">
        <v>726</v>
      </c>
      <c r="E101" s="67" t="s">
        <v>233</v>
      </c>
      <c r="F101" s="29" t="s">
        <v>210</v>
      </c>
      <c r="G101" s="29" t="s">
        <v>34</v>
      </c>
      <c r="H101" s="59">
        <v>44580</v>
      </c>
      <c r="I101" s="59"/>
      <c r="J101" s="59">
        <v>44580</v>
      </c>
      <c r="K101" s="59" t="s">
        <v>727</v>
      </c>
      <c r="L101" s="112" t="s">
        <v>728</v>
      </c>
      <c r="M101" s="70" t="s">
        <v>19</v>
      </c>
      <c r="N101" s="59"/>
      <c r="O101" s="85"/>
      <c r="P101" s="59" t="s">
        <v>19</v>
      </c>
      <c r="Q101" s="84"/>
      <c r="R101" s="29"/>
      <c r="S101" s="29"/>
      <c r="T101" s="59"/>
      <c r="U101" s="29"/>
      <c r="V101" s="29"/>
      <c r="W101" s="29"/>
      <c r="X101" s="27"/>
      <c r="Y101" s="29" t="s">
        <v>30</v>
      </c>
      <c r="Z101" s="29" t="s">
        <v>42</v>
      </c>
      <c r="AA101" s="29"/>
      <c r="AB101" s="29" t="s">
        <v>729</v>
      </c>
      <c r="AC101" s="59">
        <v>44580</v>
      </c>
      <c r="AD101" s="59"/>
      <c r="AE101" s="59">
        <v>44588</v>
      </c>
      <c r="AF101" s="85">
        <v>44589</v>
      </c>
      <c r="AG101" s="85">
        <v>44589</v>
      </c>
      <c r="AH101" s="85">
        <v>44589</v>
      </c>
      <c r="AI101" s="29" t="s">
        <v>19</v>
      </c>
      <c r="AJ101" s="139"/>
      <c r="AK101" s="28"/>
      <c r="AL101" s="102"/>
      <c r="AM101" s="41" t="str">
        <f>VLOOKUP(Table2[[#This Row],[country]],Countrycode!A:B,2,FALSE)</f>
        <v>DNK</v>
      </c>
      <c r="AN101" s="34">
        <f>IF(ISBLANK(Table2[[#This Row],[Need_RRA]]), 2,(IF(Table2[[#This Row],[Need_RRA]]="No", 0, (IF(AND(Table2[[#This Row],[Need_RRA]]="Yes",  Table2[[#This Row],[RRA_pub_date]]=""),1, 0)))))</f>
        <v>0</v>
      </c>
      <c r="AO101" s="34">
        <f>IF(ISBLANK(Table2[[#This Row],[Need_EIS]]), 2,(IF(Table2[[#This Row],[Need_EIS]]="No", 0, (IF(AND(Table2[[#This Row],[Need_EIS]]="Yes",  Table2[[#This Row],[EIS_pub_date]]=""),1, 0)))))</f>
        <v>0</v>
      </c>
      <c r="AP101" s="34">
        <f>IF(ISBLANK(Table2[[#This Row],[Need_DON]]), 2,(IF(Table2[[#This Row],[Need_DON]]="No", 0, (IF(AND(Table2[[#This Row],[Need_DON]]="Yes",  Table2[[#This Row],[DON_pub_date]]=""),1, 0)))))</f>
        <v>0</v>
      </c>
      <c r="AQ101" s="34">
        <f>IF(ISBLANK(Table2[[#This Row],[Pending_question]]), 2,(IF(Table2[[#This Row],[Pending_question]]="Yes", 1, 0)))</f>
        <v>0</v>
      </c>
      <c r="AR101" s="43"/>
    </row>
    <row r="102" spans="1:44" ht="15" customHeight="1">
      <c r="A102" s="63">
        <v>44580</v>
      </c>
      <c r="B102" s="29" t="s">
        <v>15</v>
      </c>
      <c r="C102" s="34" t="str" cm="1">
        <f t="array" ref="C10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02" s="27" t="s">
        <v>730</v>
      </c>
      <c r="E102" s="67" t="s">
        <v>136</v>
      </c>
      <c r="F102" s="29" t="s">
        <v>387</v>
      </c>
      <c r="G102" s="29" t="s">
        <v>34</v>
      </c>
      <c r="H102" s="59">
        <v>44580</v>
      </c>
      <c r="I102" s="59"/>
      <c r="J102" s="59">
        <v>44581</v>
      </c>
      <c r="K102" s="59" t="s">
        <v>731</v>
      </c>
      <c r="L102" s="112" t="s">
        <v>732</v>
      </c>
      <c r="M102" s="70" t="s">
        <v>19</v>
      </c>
      <c r="N102" s="59"/>
      <c r="O102" s="85"/>
      <c r="P102" s="59" t="s">
        <v>30</v>
      </c>
      <c r="Q102" s="84"/>
      <c r="R102" s="29" t="s">
        <v>733</v>
      </c>
      <c r="S102" s="59">
        <v>44602</v>
      </c>
      <c r="T102" s="59"/>
      <c r="U102" s="59">
        <v>44622</v>
      </c>
      <c r="V102" s="29" t="s">
        <v>20</v>
      </c>
      <c r="W102" s="29" t="s">
        <v>32</v>
      </c>
      <c r="X102" s="27" t="s">
        <v>51</v>
      </c>
      <c r="Y102" s="29" t="s">
        <v>30</v>
      </c>
      <c r="Z102" s="29" t="s">
        <v>42</v>
      </c>
      <c r="AA102" s="29"/>
      <c r="AB102" s="29" t="s">
        <v>734</v>
      </c>
      <c r="AC102" s="59">
        <v>44582</v>
      </c>
      <c r="AD102" s="59"/>
      <c r="AE102" s="59">
        <v>44585</v>
      </c>
      <c r="AF102" s="59">
        <v>44585</v>
      </c>
      <c r="AG102" s="29"/>
      <c r="AH102" s="85">
        <v>44593</v>
      </c>
      <c r="AI102" s="29" t="s">
        <v>30</v>
      </c>
      <c r="AJ102" s="139"/>
      <c r="AK102" s="86">
        <v>44596</v>
      </c>
      <c r="AL102" s="102"/>
      <c r="AM102" s="41" t="str">
        <f>VLOOKUP(Table2[[#This Row],[country]],Countrycode!A:B,2,FALSE)</f>
        <v>TLS</v>
      </c>
      <c r="AN102" s="34">
        <f>IF(ISBLANK(Table2[[#This Row],[Need_RRA]]), 2,(IF(Table2[[#This Row],[Need_RRA]]="No", 0, (IF(AND(Table2[[#This Row],[Need_RRA]]="Yes",  Table2[[#This Row],[RRA_pub_date]]=""),1, 0)))))</f>
        <v>0</v>
      </c>
      <c r="AO102" s="34">
        <f>IF(ISBLANK(Table2[[#This Row],[Need_EIS]]), 2,(IF(Table2[[#This Row],[Need_EIS]]="No", 0, (IF(AND(Table2[[#This Row],[Need_EIS]]="Yes",  Table2[[#This Row],[EIS_pub_date]]=""),1, 0)))))</f>
        <v>0</v>
      </c>
      <c r="AP102" s="34">
        <f>IF(ISBLANK(Table2[[#This Row],[Need_DON]]), 2,(IF(Table2[[#This Row],[Need_DON]]="No", 0, (IF(AND(Table2[[#This Row],[Need_DON]]="Yes",  Table2[[#This Row],[DON_pub_date]]=""),1, 0)))))</f>
        <v>0</v>
      </c>
      <c r="AQ102" s="34">
        <f>IF(ISBLANK(Table2[[#This Row],[Pending_question]]), 2,(IF(Table2[[#This Row],[Pending_question]]="Yes", 1, 0)))</f>
        <v>0</v>
      </c>
      <c r="AR102" s="43"/>
    </row>
    <row r="103" spans="1:44" ht="15" customHeight="1">
      <c r="A103" s="63">
        <v>44581</v>
      </c>
      <c r="B103" s="29" t="s">
        <v>15</v>
      </c>
      <c r="C103" s="34" t="str" cm="1">
        <f t="array" ref="C10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03" s="27" t="s">
        <v>735</v>
      </c>
      <c r="E103" s="67" t="s">
        <v>128</v>
      </c>
      <c r="F103" s="29" t="s">
        <v>736</v>
      </c>
      <c r="G103" s="29" t="s">
        <v>34</v>
      </c>
      <c r="H103" s="59">
        <v>44581</v>
      </c>
      <c r="I103" s="59"/>
      <c r="J103" s="29"/>
      <c r="K103" s="59"/>
      <c r="L103" s="60"/>
      <c r="M103" s="70" t="s">
        <v>19</v>
      </c>
      <c r="N103" s="59"/>
      <c r="O103" s="85"/>
      <c r="P103" s="59" t="s">
        <v>19</v>
      </c>
      <c r="Q103" s="84"/>
      <c r="R103" s="29"/>
      <c r="S103" s="29"/>
      <c r="T103" s="59"/>
      <c r="U103" s="29"/>
      <c r="V103" s="29"/>
      <c r="W103" s="29"/>
      <c r="X103" s="27"/>
      <c r="Y103" s="29" t="s">
        <v>19</v>
      </c>
      <c r="Z103" s="29"/>
      <c r="AA103" s="29"/>
      <c r="AB103" s="29"/>
      <c r="AC103" s="29"/>
      <c r="AD103" s="59"/>
      <c r="AE103" s="29"/>
      <c r="AF103" s="29"/>
      <c r="AG103" s="29"/>
      <c r="AH103" s="27"/>
      <c r="AI103" s="29" t="s">
        <v>19</v>
      </c>
      <c r="AJ103" s="139"/>
      <c r="AK103" s="28"/>
      <c r="AL103" s="102"/>
      <c r="AM103" s="41" t="str">
        <f>VLOOKUP(Table2[[#This Row],[country]],Countrycode!A:B,2,FALSE)</f>
        <v>TZA</v>
      </c>
      <c r="AN103" s="34">
        <f>IF(ISBLANK(Table2[[#This Row],[Need_RRA]]), 2,(IF(Table2[[#This Row],[Need_RRA]]="No", 0, (IF(AND(Table2[[#This Row],[Need_RRA]]="Yes",  Table2[[#This Row],[RRA_pub_date]]=""),1, 0)))))</f>
        <v>0</v>
      </c>
      <c r="AO103" s="34">
        <f>IF(ISBLANK(Table2[[#This Row],[Need_EIS]]), 2,(IF(Table2[[#This Row],[Need_EIS]]="No", 0, (IF(AND(Table2[[#This Row],[Need_EIS]]="Yes",  Table2[[#This Row],[EIS_pub_date]]=""),1, 0)))))</f>
        <v>0</v>
      </c>
      <c r="AP103" s="34">
        <f>IF(ISBLANK(Table2[[#This Row],[Need_DON]]), 2,(IF(Table2[[#This Row],[Need_DON]]="No", 0, (IF(AND(Table2[[#This Row],[Need_DON]]="Yes",  Table2[[#This Row],[DON_pub_date]]=""),1, 0)))))</f>
        <v>0</v>
      </c>
      <c r="AQ103" s="34">
        <f>IF(ISBLANK(Table2[[#This Row],[Pending_question]]), 2,(IF(Table2[[#This Row],[Pending_question]]="Yes", 1, 0)))</f>
        <v>0</v>
      </c>
      <c r="AR103" s="43"/>
    </row>
    <row r="104" spans="1:44" ht="15" customHeight="1">
      <c r="A104" s="63">
        <v>44586</v>
      </c>
      <c r="B104" s="29" t="s">
        <v>15</v>
      </c>
      <c r="C104" s="34" t="str" cm="1">
        <f t="array" ref="C10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04" s="27" t="s">
        <v>635</v>
      </c>
      <c r="E104" s="67" t="s">
        <v>104</v>
      </c>
      <c r="F104" s="29" t="s">
        <v>173</v>
      </c>
      <c r="G104" s="29" t="s">
        <v>34</v>
      </c>
      <c r="H104" s="59">
        <v>44586</v>
      </c>
      <c r="I104" s="59"/>
      <c r="J104" s="59">
        <v>44585</v>
      </c>
      <c r="K104" s="63" t="s">
        <v>636</v>
      </c>
      <c r="L104" s="112" t="s">
        <v>712</v>
      </c>
      <c r="M104" s="70" t="s">
        <v>19</v>
      </c>
      <c r="N104" s="59"/>
      <c r="O104" s="85"/>
      <c r="P104" s="59" t="s">
        <v>19</v>
      </c>
      <c r="Q104" s="84"/>
      <c r="R104" s="29"/>
      <c r="S104" s="29"/>
      <c r="T104" s="59"/>
      <c r="U104" s="29"/>
      <c r="V104" s="29"/>
      <c r="W104" s="29"/>
      <c r="X104" s="27"/>
      <c r="Y104" s="29" t="s">
        <v>30</v>
      </c>
      <c r="Z104" s="29" t="s">
        <v>21</v>
      </c>
      <c r="AA104" s="29"/>
      <c r="AB104" s="29" t="s">
        <v>737</v>
      </c>
      <c r="AC104" s="59">
        <v>44585</v>
      </c>
      <c r="AD104" s="59"/>
      <c r="AE104" s="59">
        <v>44586</v>
      </c>
      <c r="AF104" s="59">
        <v>44587</v>
      </c>
      <c r="AG104" s="59">
        <v>44604</v>
      </c>
      <c r="AH104" s="85">
        <v>44606</v>
      </c>
      <c r="AI104" s="29" t="s">
        <v>19</v>
      </c>
      <c r="AJ104" s="139"/>
      <c r="AK104" s="28"/>
      <c r="AL104" s="102"/>
      <c r="AM104" s="41" t="str">
        <f>VLOOKUP(Table2[[#This Row],[country]],Countrycode!A:B,2,FALSE)</f>
        <v>CHN</v>
      </c>
      <c r="AN104" s="34">
        <f>IF(ISBLANK(Table2[[#This Row],[Need_RRA]]), 2,(IF(Table2[[#This Row],[Need_RRA]]="No", 0, (IF(AND(Table2[[#This Row],[Need_RRA]]="Yes",  Table2[[#This Row],[RRA_pub_date]]=""),1, 0)))))</f>
        <v>0</v>
      </c>
      <c r="AO104" s="34">
        <f>IF(ISBLANK(Table2[[#This Row],[Need_EIS]]), 2,(IF(Table2[[#This Row],[Need_EIS]]="No", 0, (IF(AND(Table2[[#This Row],[Need_EIS]]="Yes",  Table2[[#This Row],[EIS_pub_date]]=""),1, 0)))))</f>
        <v>0</v>
      </c>
      <c r="AP104" s="34">
        <f>IF(ISBLANK(Table2[[#This Row],[Need_DON]]), 2,(IF(Table2[[#This Row],[Need_DON]]="No", 0, (IF(AND(Table2[[#This Row],[Need_DON]]="Yes",  Table2[[#This Row],[DON_pub_date]]=""),1, 0)))))</f>
        <v>0</v>
      </c>
      <c r="AQ104" s="34">
        <f>IF(ISBLANK(Table2[[#This Row],[Pending_question]]), 2,(IF(Table2[[#This Row],[Pending_question]]="Yes", 1, 0)))</f>
        <v>0</v>
      </c>
      <c r="AR104" s="43"/>
    </row>
    <row r="105" spans="1:44" ht="15" customHeight="1">
      <c r="A105" s="63">
        <v>44586</v>
      </c>
      <c r="B105" s="29" t="s">
        <v>15</v>
      </c>
      <c r="C105" s="34" t="str" cm="1">
        <f t="array" ref="C10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05" s="27" t="s">
        <v>738</v>
      </c>
      <c r="E105" s="67" t="s">
        <v>198</v>
      </c>
      <c r="F105" s="29" t="s">
        <v>398</v>
      </c>
      <c r="G105" s="29" t="s">
        <v>34</v>
      </c>
      <c r="H105" s="59">
        <v>44586</v>
      </c>
      <c r="I105" s="59"/>
      <c r="J105" s="59">
        <v>44586</v>
      </c>
      <c r="K105" s="265" t="s">
        <v>739</v>
      </c>
      <c r="L105" s="85" t="s">
        <v>740</v>
      </c>
      <c r="M105" s="70" t="s">
        <v>19</v>
      </c>
      <c r="N105" s="59" t="s">
        <v>741</v>
      </c>
      <c r="O105" s="85"/>
      <c r="P105" s="59" t="s">
        <v>19</v>
      </c>
      <c r="Q105" s="84"/>
      <c r="R105" s="29"/>
      <c r="S105" s="29"/>
      <c r="T105" s="59"/>
      <c r="U105" s="29"/>
      <c r="V105" s="29"/>
      <c r="W105" s="29"/>
      <c r="X105" s="27"/>
      <c r="Y105" s="29" t="s">
        <v>19</v>
      </c>
      <c r="Z105" s="29"/>
      <c r="AA105" s="29"/>
      <c r="AB105" s="29" t="s">
        <v>742</v>
      </c>
      <c r="AC105" s="29"/>
      <c r="AD105" s="59"/>
      <c r="AE105" s="29"/>
      <c r="AF105" s="29"/>
      <c r="AG105" s="29"/>
      <c r="AH105" s="27"/>
      <c r="AI105" s="29" t="s">
        <v>19</v>
      </c>
      <c r="AJ105" s="139"/>
      <c r="AK105" s="28"/>
      <c r="AL105" s="102"/>
      <c r="AM105" s="41" t="str">
        <f>VLOOKUP(Table2[[#This Row],[country]],Countrycode!A:B,2,FALSE)</f>
        <v>UKR</v>
      </c>
      <c r="AN105" s="34">
        <f>IF(ISBLANK(Table2[[#This Row],[Need_RRA]]), 2,(IF(Table2[[#This Row],[Need_RRA]]="No", 0, (IF(AND(Table2[[#This Row],[Need_RRA]]="Yes",  Table2[[#This Row],[RRA_pub_date]]=""),1, 0)))))</f>
        <v>0</v>
      </c>
      <c r="AO105" s="34">
        <f>IF(ISBLANK(Table2[[#This Row],[Need_EIS]]), 2,(IF(Table2[[#This Row],[Need_EIS]]="No", 0, (IF(AND(Table2[[#This Row],[Need_EIS]]="Yes",  Table2[[#This Row],[EIS_pub_date]]=""),1, 0)))))</f>
        <v>0</v>
      </c>
      <c r="AP105" s="34">
        <f>IF(ISBLANK(Table2[[#This Row],[Need_DON]]), 2,(IF(Table2[[#This Row],[Need_DON]]="No", 0, (IF(AND(Table2[[#This Row],[Need_DON]]="Yes",  Table2[[#This Row],[DON_pub_date]]=""),1, 0)))))</f>
        <v>0</v>
      </c>
      <c r="AQ105" s="34">
        <f>IF(ISBLANK(Table2[[#This Row],[Pending_question]]), 2,(IF(Table2[[#This Row],[Pending_question]]="Yes", 1, 0)))</f>
        <v>0</v>
      </c>
      <c r="AR105" s="43"/>
    </row>
    <row r="106" spans="1:44" ht="15" customHeight="1">
      <c r="A106" s="63">
        <v>44588</v>
      </c>
      <c r="B106" s="29" t="s">
        <v>15</v>
      </c>
      <c r="C106" s="34" t="str" cm="1">
        <f t="array" ref="C10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06" s="27" t="s">
        <v>635</v>
      </c>
      <c r="E106" s="67" t="s">
        <v>110</v>
      </c>
      <c r="F106" s="29" t="s">
        <v>173</v>
      </c>
      <c r="G106" s="29" t="s">
        <v>34</v>
      </c>
      <c r="H106" s="55">
        <v>44588</v>
      </c>
      <c r="I106" s="59"/>
      <c r="J106" s="55">
        <v>44587</v>
      </c>
      <c r="K106" s="59" t="s">
        <v>694</v>
      </c>
      <c r="L106" s="104"/>
      <c r="M106" s="70" t="s">
        <v>19</v>
      </c>
      <c r="N106" s="55"/>
      <c r="O106" s="71"/>
      <c r="P106" s="55" t="s">
        <v>19</v>
      </c>
      <c r="Q106" s="84"/>
      <c r="R106" s="54"/>
      <c r="S106" s="29"/>
      <c r="T106" s="59"/>
      <c r="U106" s="29"/>
      <c r="V106" s="29"/>
      <c r="W106" s="29"/>
      <c r="X106" s="27"/>
      <c r="Y106" s="54" t="s">
        <v>30</v>
      </c>
      <c r="Z106" s="29" t="s">
        <v>21</v>
      </c>
      <c r="AA106" s="29"/>
      <c r="AB106" s="54" t="s">
        <v>743</v>
      </c>
      <c r="AC106" s="59">
        <v>44587</v>
      </c>
      <c r="AD106" s="59"/>
      <c r="AE106" s="59">
        <v>44588</v>
      </c>
      <c r="AF106" s="59">
        <v>44588</v>
      </c>
      <c r="AG106" s="59">
        <v>44617</v>
      </c>
      <c r="AH106" s="85">
        <v>44617</v>
      </c>
      <c r="AI106" s="54" t="s">
        <v>19</v>
      </c>
      <c r="AJ106" s="139"/>
      <c r="AK106" s="28"/>
      <c r="AL106" s="102"/>
      <c r="AM106" s="41" t="str">
        <f>VLOOKUP(Table2[[#This Row],[country]],Countrycode!A:B,2,FALSE)</f>
        <v>CHN</v>
      </c>
      <c r="AN106" s="34">
        <f>IF(ISBLANK(Table2[[#This Row],[Need_RRA]]), 2,(IF(Table2[[#This Row],[Need_RRA]]="No", 0, (IF(AND(Table2[[#This Row],[Need_RRA]]="Yes",  Table2[[#This Row],[RRA_pub_date]]=""),1, 0)))))</f>
        <v>0</v>
      </c>
      <c r="AO106" s="34">
        <f>IF(ISBLANK(Table2[[#This Row],[Need_EIS]]), 2,(IF(Table2[[#This Row],[Need_EIS]]="No", 0, (IF(AND(Table2[[#This Row],[Need_EIS]]="Yes",  Table2[[#This Row],[EIS_pub_date]]=""),1, 0)))))</f>
        <v>0</v>
      </c>
      <c r="AP106" s="34">
        <f>IF(ISBLANK(Table2[[#This Row],[Need_DON]]), 2,(IF(Table2[[#This Row],[Need_DON]]="No", 0, (IF(AND(Table2[[#This Row],[Need_DON]]="Yes",  Table2[[#This Row],[DON_pub_date]]=""),1, 0)))))</f>
        <v>0</v>
      </c>
      <c r="AQ106" s="34">
        <f>IF(ISBLANK(Table2[[#This Row],[Pending_question]]), 2,(IF(Table2[[#This Row],[Pending_question]]="Yes", 1, 0)))</f>
        <v>0</v>
      </c>
      <c r="AR106" s="43"/>
    </row>
    <row r="107" spans="1:44" ht="15" customHeight="1">
      <c r="A107" s="63">
        <v>44592</v>
      </c>
      <c r="B107" s="29" t="s">
        <v>15</v>
      </c>
      <c r="C107" s="34" t="str" cm="1">
        <f t="array" ref="C10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07" s="27" t="s">
        <v>635</v>
      </c>
      <c r="E107" s="67" t="s">
        <v>110</v>
      </c>
      <c r="F107" s="29" t="s">
        <v>173</v>
      </c>
      <c r="G107" s="29" t="s">
        <v>34</v>
      </c>
      <c r="H107" s="59">
        <v>44592</v>
      </c>
      <c r="I107" s="59"/>
      <c r="J107" s="59">
        <v>44591</v>
      </c>
      <c r="K107" s="59" t="s">
        <v>694</v>
      </c>
      <c r="L107" s="85"/>
      <c r="M107" s="70" t="s">
        <v>19</v>
      </c>
      <c r="N107" s="59"/>
      <c r="O107" s="85"/>
      <c r="P107" s="59" t="s">
        <v>19</v>
      </c>
      <c r="Q107" s="84"/>
      <c r="R107" s="29"/>
      <c r="S107" s="29"/>
      <c r="T107" s="59"/>
      <c r="U107" s="29"/>
      <c r="V107" s="29"/>
      <c r="W107" s="29"/>
      <c r="X107" s="27"/>
      <c r="Y107" s="29" t="s">
        <v>30</v>
      </c>
      <c r="Z107" s="29" t="s">
        <v>21</v>
      </c>
      <c r="AB107" s="16" t="s">
        <v>744</v>
      </c>
      <c r="AC107" s="59">
        <v>44592</v>
      </c>
      <c r="AD107" s="59"/>
      <c r="AE107" s="29"/>
      <c r="AF107" s="29"/>
      <c r="AG107" s="59">
        <v>44606</v>
      </c>
      <c r="AH107" s="85">
        <v>44607</v>
      </c>
      <c r="AI107" s="29" t="s">
        <v>19</v>
      </c>
      <c r="AJ107" s="139"/>
      <c r="AK107" s="28"/>
      <c r="AL107" s="102"/>
      <c r="AM107" s="41" t="str">
        <f>VLOOKUP(Table2[[#This Row],[country]],Countrycode!A:B,2,FALSE)</f>
        <v>CHN</v>
      </c>
      <c r="AN107" s="34">
        <f>IF(ISBLANK(Table2[[#This Row],[Need_RRA]]), 2,(IF(Table2[[#This Row],[Need_RRA]]="No", 0, (IF(AND(Table2[[#This Row],[Need_RRA]]="Yes",  Table2[[#This Row],[RRA_pub_date]]=""),1, 0)))))</f>
        <v>0</v>
      </c>
      <c r="AO107" s="34">
        <f>IF(ISBLANK(Table2[[#This Row],[Need_EIS]]), 2,(IF(Table2[[#This Row],[Need_EIS]]="No", 0, (IF(AND(Table2[[#This Row],[Need_EIS]]="Yes",  Table2[[#This Row],[EIS_pub_date]]=""),1, 0)))))</f>
        <v>0</v>
      </c>
      <c r="AP107" s="34">
        <f>IF(ISBLANK(Table2[[#This Row],[Need_DON]]), 2,(IF(Table2[[#This Row],[Need_DON]]="No", 0, (IF(AND(Table2[[#This Row],[Need_DON]]="Yes",  Table2[[#This Row],[DON_pub_date]]=""),1, 0)))))</f>
        <v>0</v>
      </c>
      <c r="AQ107" s="34">
        <f>IF(ISBLANK(Table2[[#This Row],[Pending_question]]), 2,(IF(Table2[[#This Row],[Pending_question]]="Yes", 1, 0)))</f>
        <v>0</v>
      </c>
      <c r="AR107" s="43"/>
    </row>
    <row r="108" spans="1:44" ht="15" customHeight="1">
      <c r="A108" s="63">
        <v>44596</v>
      </c>
      <c r="B108" s="29" t="s">
        <v>15</v>
      </c>
      <c r="C108" s="34" t="str" cm="1">
        <f t="array" ref="C10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08" s="27" t="s">
        <v>456</v>
      </c>
      <c r="E108" s="67" t="s">
        <v>745</v>
      </c>
      <c r="F108" s="29" t="s">
        <v>39</v>
      </c>
      <c r="G108" s="29" t="s">
        <v>746</v>
      </c>
      <c r="H108" s="59">
        <v>44596</v>
      </c>
      <c r="I108" s="59">
        <v>44599</v>
      </c>
      <c r="J108" s="59">
        <v>44599</v>
      </c>
      <c r="K108" s="59" t="s">
        <v>747</v>
      </c>
      <c r="L108" s="112" t="s">
        <v>748</v>
      </c>
      <c r="M108" s="70" t="s">
        <v>19</v>
      </c>
      <c r="N108" s="59" t="s">
        <v>749</v>
      </c>
      <c r="O108" s="85"/>
      <c r="P108" s="59" t="s">
        <v>30</v>
      </c>
      <c r="Q108" s="84">
        <v>1</v>
      </c>
      <c r="R108" s="29" t="s">
        <v>750</v>
      </c>
      <c r="S108" s="59">
        <v>44599</v>
      </c>
      <c r="T108" s="59"/>
      <c r="U108" s="59">
        <v>44596</v>
      </c>
      <c r="V108" s="29" t="s">
        <v>20</v>
      </c>
      <c r="W108" s="29" t="s">
        <v>32</v>
      </c>
      <c r="X108" s="27" t="s">
        <v>32</v>
      </c>
      <c r="Y108" s="29" t="s">
        <v>30</v>
      </c>
      <c r="Z108" s="29" t="s">
        <v>33</v>
      </c>
      <c r="AA108" s="29"/>
      <c r="AB108" s="29" t="s">
        <v>751</v>
      </c>
      <c r="AC108" s="59">
        <v>44599</v>
      </c>
      <c r="AD108" s="59"/>
      <c r="AE108" s="59">
        <v>44602</v>
      </c>
      <c r="AF108" s="59">
        <v>44603</v>
      </c>
      <c r="AG108" s="59">
        <v>44627</v>
      </c>
      <c r="AH108" s="85">
        <v>44627</v>
      </c>
      <c r="AI108" s="29" t="s">
        <v>30</v>
      </c>
      <c r="AJ108" s="139"/>
      <c r="AK108" s="86">
        <v>44644</v>
      </c>
      <c r="AL108" s="102" t="s">
        <v>752</v>
      </c>
      <c r="AM108" s="41" t="str">
        <f>VLOOKUP(Table2[[#This Row],[country]],Countrycode!A:B,2,FALSE)</f>
        <v>MLX</v>
      </c>
      <c r="AN108" s="34">
        <f>IF(ISBLANK(Table2[[#This Row],[Need_RRA]]), 2,(IF(Table2[[#This Row],[Need_RRA]]="No", 0, (IF(AND(Table2[[#This Row],[Need_RRA]]="Yes",  Table2[[#This Row],[RRA_pub_date]]=""),1, 0)))))</f>
        <v>0</v>
      </c>
      <c r="AO108" s="34">
        <f>IF(ISBLANK(Table2[[#This Row],[Need_EIS]]), 2,(IF(Table2[[#This Row],[Need_EIS]]="No", 0, (IF(AND(Table2[[#This Row],[Need_EIS]]="Yes",  Table2[[#This Row],[EIS_pub_date]]=""),1, 0)))))</f>
        <v>0</v>
      </c>
      <c r="AP108" s="34">
        <f>IF(ISBLANK(Table2[[#This Row],[Need_DON]]), 2,(IF(Table2[[#This Row],[Need_DON]]="No", 0, (IF(AND(Table2[[#This Row],[Need_DON]]="Yes",  Table2[[#This Row],[DON_pub_date]]=""),1, 0)))))</f>
        <v>0</v>
      </c>
      <c r="AQ108" s="34">
        <f>IF(ISBLANK(Table2[[#This Row],[Pending_question]]), 2,(IF(Table2[[#This Row],[Pending_question]]="Yes", 1, 0)))</f>
        <v>0</v>
      </c>
      <c r="AR108" s="43"/>
    </row>
    <row r="109" spans="1:44" ht="15" customHeight="1">
      <c r="A109" s="63">
        <v>44599</v>
      </c>
      <c r="B109" s="29" t="s">
        <v>15</v>
      </c>
      <c r="C109" s="34" t="str" cm="1">
        <f t="array" ref="C10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09" s="27" t="s">
        <v>753</v>
      </c>
      <c r="E109" s="67" t="s">
        <v>239</v>
      </c>
      <c r="F109" s="29" t="s">
        <v>232</v>
      </c>
      <c r="G109" s="29" t="s">
        <v>34</v>
      </c>
      <c r="H109" s="59">
        <v>44599</v>
      </c>
      <c r="I109" s="59">
        <v>44607</v>
      </c>
      <c r="J109" s="59">
        <v>44605</v>
      </c>
      <c r="K109" s="59" t="s">
        <v>754</v>
      </c>
      <c r="L109" s="112" t="s">
        <v>755</v>
      </c>
      <c r="M109" s="67" t="s">
        <v>19</v>
      </c>
      <c r="N109" s="59" t="s">
        <v>756</v>
      </c>
      <c r="O109" s="85">
        <v>44641</v>
      </c>
      <c r="P109" s="59" t="s">
        <v>30</v>
      </c>
      <c r="Q109" s="84">
        <v>1</v>
      </c>
      <c r="R109" s="29" t="s">
        <v>757</v>
      </c>
      <c r="S109" s="59">
        <v>44601</v>
      </c>
      <c r="T109" s="59"/>
      <c r="U109" s="59">
        <v>44615</v>
      </c>
      <c r="V109" s="29" t="s">
        <v>20</v>
      </c>
      <c r="W109" s="29" t="s">
        <v>32</v>
      </c>
      <c r="X109" s="27" t="s">
        <v>51</v>
      </c>
      <c r="Y109" s="29" t="s">
        <v>19</v>
      </c>
      <c r="Z109" s="29"/>
      <c r="AA109" s="29"/>
      <c r="AB109" s="265" t="s">
        <v>758</v>
      </c>
      <c r="AC109" s="29"/>
      <c r="AD109" s="59"/>
      <c r="AE109" s="29"/>
      <c r="AF109" s="29"/>
      <c r="AG109" s="29"/>
      <c r="AH109" s="27"/>
      <c r="AI109" s="29" t="s">
        <v>19</v>
      </c>
      <c r="AJ109" s="139"/>
      <c r="AK109" s="28"/>
      <c r="AL109" s="102"/>
      <c r="AM109" s="41" t="str">
        <f>VLOOKUP(Table2[[#This Row],[country]],Countrycode!A:B,2,FALSE)</f>
        <v>ETH</v>
      </c>
      <c r="AN109" s="34">
        <f>IF(ISBLANK(Table2[[#This Row],[Need_RRA]]), 2,(IF(Table2[[#This Row],[Need_RRA]]="No", 0, (IF(AND(Table2[[#This Row],[Need_RRA]]="Yes",  Table2[[#This Row],[RRA_pub_date]]=""),1, 0)))))</f>
        <v>0</v>
      </c>
      <c r="AO109" s="34">
        <f>IF(ISBLANK(Table2[[#This Row],[Need_EIS]]), 2,(IF(Table2[[#This Row],[Need_EIS]]="No", 0, (IF(AND(Table2[[#This Row],[Need_EIS]]="Yes",  Table2[[#This Row],[EIS_pub_date]]=""),1, 0)))))</f>
        <v>0</v>
      </c>
      <c r="AP109" s="34">
        <f>IF(ISBLANK(Table2[[#This Row],[Need_DON]]), 2,(IF(Table2[[#This Row],[Need_DON]]="No", 0, (IF(AND(Table2[[#This Row],[Need_DON]]="Yes",  Table2[[#This Row],[DON_pub_date]]=""),1, 0)))))</f>
        <v>0</v>
      </c>
      <c r="AQ109" s="34">
        <f>IF(ISBLANK(Table2[[#This Row],[Pending_question]]), 2,(IF(Table2[[#This Row],[Pending_question]]="Yes", 1, 0)))</f>
        <v>0</v>
      </c>
      <c r="AR109" s="43"/>
    </row>
    <row r="110" spans="1:44" ht="15" customHeight="1">
      <c r="A110" s="63">
        <v>44600</v>
      </c>
      <c r="B110" s="29" t="s">
        <v>15</v>
      </c>
      <c r="C110" s="34" t="str" cm="1">
        <f t="array" ref="C11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10" s="27" t="s">
        <v>759</v>
      </c>
      <c r="E110" s="67" t="s">
        <v>178</v>
      </c>
      <c r="F110" s="29" t="s">
        <v>376</v>
      </c>
      <c r="G110" s="29" t="s">
        <v>34</v>
      </c>
      <c r="H110" s="59">
        <v>44600</v>
      </c>
      <c r="I110" s="59"/>
      <c r="J110" s="155" t="s">
        <v>19</v>
      </c>
      <c r="K110" s="156" t="s">
        <v>19</v>
      </c>
      <c r="L110" s="85"/>
      <c r="M110" s="70" t="s">
        <v>19</v>
      </c>
      <c r="N110" s="59"/>
      <c r="O110" s="85">
        <v>44600</v>
      </c>
      <c r="P110" s="59" t="s">
        <v>19</v>
      </c>
      <c r="Q110" s="84"/>
      <c r="R110" s="29"/>
      <c r="S110" s="29"/>
      <c r="T110" s="59"/>
      <c r="U110" s="29"/>
      <c r="V110" s="29"/>
      <c r="W110" s="29"/>
      <c r="X110" s="27"/>
      <c r="Y110" s="29" t="s">
        <v>19</v>
      </c>
      <c r="Z110" s="29"/>
      <c r="AA110" s="29"/>
      <c r="AB110" s="29"/>
      <c r="AC110" s="29"/>
      <c r="AD110" s="59"/>
      <c r="AE110" s="29"/>
      <c r="AF110" s="29"/>
      <c r="AG110" s="29"/>
      <c r="AH110" s="27"/>
      <c r="AI110" s="29" t="s">
        <v>19</v>
      </c>
      <c r="AJ110" s="139"/>
      <c r="AK110" s="28"/>
      <c r="AL110" s="102" t="s">
        <v>760</v>
      </c>
      <c r="AM110" s="41" t="str">
        <f>VLOOKUP(Table2[[#This Row],[country]],Countrycode!A:B,2,FALSE)</f>
        <v>SSD</v>
      </c>
      <c r="AN110" s="34">
        <f>IF(ISBLANK(Table2[[#This Row],[Need_RRA]]), 2,(IF(Table2[[#This Row],[Need_RRA]]="No", 0, (IF(AND(Table2[[#This Row],[Need_RRA]]="Yes",  Table2[[#This Row],[RRA_pub_date]]=""),1, 0)))))</f>
        <v>0</v>
      </c>
      <c r="AO110" s="34">
        <f>IF(ISBLANK(Table2[[#This Row],[Need_EIS]]), 2,(IF(Table2[[#This Row],[Need_EIS]]="No", 0, (IF(AND(Table2[[#This Row],[Need_EIS]]="Yes",  Table2[[#This Row],[EIS_pub_date]]=""),1, 0)))))</f>
        <v>0</v>
      </c>
      <c r="AP110" s="34">
        <f>IF(ISBLANK(Table2[[#This Row],[Need_DON]]), 2,(IF(Table2[[#This Row],[Need_DON]]="No", 0, (IF(AND(Table2[[#This Row],[Need_DON]]="Yes",  Table2[[#This Row],[DON_pub_date]]=""),1, 0)))))</f>
        <v>0</v>
      </c>
      <c r="AQ110" s="34">
        <f>IF(ISBLANK(Table2[[#This Row],[Pending_question]]), 2,(IF(Table2[[#This Row],[Pending_question]]="Yes", 1, 0)))</f>
        <v>0</v>
      </c>
      <c r="AR110" s="43"/>
    </row>
    <row r="111" spans="1:44" ht="15" customHeight="1">
      <c r="A111" s="63">
        <v>44601</v>
      </c>
      <c r="B111" s="29" t="s">
        <v>15</v>
      </c>
      <c r="C111" s="34" t="str" cm="1">
        <f t="array" ref="C11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11" s="27" t="s">
        <v>738</v>
      </c>
      <c r="E111" s="67" t="s">
        <v>176</v>
      </c>
      <c r="F111" s="29" t="s">
        <v>295</v>
      </c>
      <c r="G111" s="29" t="s">
        <v>34</v>
      </c>
      <c r="H111" s="59">
        <v>44601</v>
      </c>
      <c r="I111" s="59"/>
      <c r="J111" s="59">
        <v>44656</v>
      </c>
      <c r="K111" s="29" t="s">
        <v>761</v>
      </c>
      <c r="L111" s="184" t="s">
        <v>762</v>
      </c>
      <c r="M111" s="70" t="s">
        <v>19</v>
      </c>
      <c r="N111" s="59"/>
      <c r="O111" s="85"/>
      <c r="P111" s="59" t="s">
        <v>30</v>
      </c>
      <c r="Q111" s="84">
        <v>1</v>
      </c>
      <c r="R111" s="29" t="s">
        <v>763</v>
      </c>
      <c r="S111" s="59">
        <v>44679</v>
      </c>
      <c r="T111" s="59"/>
      <c r="U111" s="59">
        <v>44695</v>
      </c>
      <c r="V111" s="29" t="s">
        <v>20</v>
      </c>
      <c r="W111" s="29" t="s">
        <v>32</v>
      </c>
      <c r="X111" s="27" t="s">
        <v>51</v>
      </c>
      <c r="Y111" s="29" t="s">
        <v>19</v>
      </c>
      <c r="Z111" s="29" t="s">
        <v>34</v>
      </c>
      <c r="AA111" s="29"/>
      <c r="AB111" s="29" t="s">
        <v>764</v>
      </c>
      <c r="AC111" s="59">
        <v>44695</v>
      </c>
      <c r="AD111" s="59"/>
      <c r="AE111" s="59"/>
      <c r="AF111" s="29"/>
      <c r="AG111" s="29"/>
      <c r="AH111" s="27"/>
      <c r="AI111" s="29" t="s">
        <v>19</v>
      </c>
      <c r="AJ111" s="139"/>
      <c r="AK111" s="28"/>
      <c r="AL111" s="102"/>
      <c r="AM111" s="41" t="str">
        <f>VLOOKUP(Table2[[#This Row],[country]],Countrycode!A:B,2,FALSE)</f>
        <v>LBR</v>
      </c>
      <c r="AN111" s="34">
        <f>IF(ISBLANK(Table2[[#This Row],[Need_RRA]]), 2,(IF(Table2[[#This Row],[Need_RRA]]="No", 0, (IF(AND(Table2[[#This Row],[Need_RRA]]="Yes",  Table2[[#This Row],[RRA_pub_date]]=""),1, 0)))))</f>
        <v>0</v>
      </c>
      <c r="AO111" s="34">
        <f>IF(ISBLANK(Table2[[#This Row],[Need_EIS]]), 2,(IF(Table2[[#This Row],[Need_EIS]]="No", 0, (IF(AND(Table2[[#This Row],[Need_EIS]]="Yes",  Table2[[#This Row],[EIS_pub_date]]=""),1, 0)))))</f>
        <v>0</v>
      </c>
      <c r="AP111" s="34">
        <f>IF(ISBLANK(Table2[[#This Row],[Need_DON]]), 2,(IF(Table2[[#This Row],[Need_DON]]="No", 0, (IF(AND(Table2[[#This Row],[Need_DON]]="Yes",  Table2[[#This Row],[DON_pub_date]]=""),1, 0)))))</f>
        <v>0</v>
      </c>
      <c r="AQ111" s="34">
        <f>IF(ISBLANK(Table2[[#This Row],[Pending_question]]), 2,(IF(Table2[[#This Row],[Pending_question]]="Yes", 1, 0)))</f>
        <v>0</v>
      </c>
      <c r="AR111" s="43"/>
    </row>
    <row r="112" spans="1:44" ht="15" customHeight="1">
      <c r="A112" s="63">
        <v>44601</v>
      </c>
      <c r="B112" s="29" t="s">
        <v>15</v>
      </c>
      <c r="C112" s="34" t="str" cm="1">
        <f t="array" ref="C11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12" s="27" t="s">
        <v>765</v>
      </c>
      <c r="E112" s="67" t="s">
        <v>134</v>
      </c>
      <c r="F112" s="29" t="s">
        <v>308</v>
      </c>
      <c r="G112" s="29" t="s">
        <v>34</v>
      </c>
      <c r="H112" s="59">
        <v>44601</v>
      </c>
      <c r="I112" s="59">
        <v>44606</v>
      </c>
      <c r="J112" s="59">
        <v>44612</v>
      </c>
      <c r="K112" s="59" t="s">
        <v>766</v>
      </c>
      <c r="L112" s="104" t="s">
        <v>767</v>
      </c>
      <c r="M112" s="67" t="s">
        <v>19</v>
      </c>
      <c r="N112" s="59" t="s">
        <v>768</v>
      </c>
      <c r="O112" s="85"/>
      <c r="P112" s="59" t="s">
        <v>19</v>
      </c>
      <c r="Q112" s="84">
        <v>1</v>
      </c>
      <c r="R112" s="29" t="s">
        <v>769</v>
      </c>
      <c r="S112" s="59">
        <v>44621</v>
      </c>
      <c r="T112" s="59"/>
      <c r="U112" s="29"/>
      <c r="V112" s="29"/>
      <c r="W112" s="29"/>
      <c r="X112" s="27"/>
      <c r="Y112" s="29" t="s">
        <v>19</v>
      </c>
      <c r="Z112" s="29"/>
      <c r="AA112" s="29"/>
      <c r="AB112" s="29"/>
      <c r="AC112" s="59" t="s">
        <v>34</v>
      </c>
      <c r="AD112" s="59" t="s">
        <v>34</v>
      </c>
      <c r="AE112" s="59" t="s">
        <v>34</v>
      </c>
      <c r="AF112" s="59" t="s">
        <v>34</v>
      </c>
      <c r="AG112" s="59" t="s">
        <v>34</v>
      </c>
      <c r="AH112" s="27" t="s">
        <v>34</v>
      </c>
      <c r="AI112" s="29" t="s">
        <v>19</v>
      </c>
      <c r="AJ112" s="139"/>
      <c r="AK112" s="28"/>
      <c r="AL112" s="102"/>
      <c r="AM112" s="41" t="str">
        <f>VLOOKUP(Table2[[#This Row],[country]],Countrycode!A:B,2,FALSE)</f>
        <v>MRT</v>
      </c>
      <c r="AN112" s="34">
        <f>IF(ISBLANK(Table2[[#This Row],[Need_RRA]]), 2,(IF(Table2[[#This Row],[Need_RRA]]="No", 0, (IF(AND(Table2[[#This Row],[Need_RRA]]="Yes",  Table2[[#This Row],[RRA_pub_date]]=""),1, 0)))))</f>
        <v>0</v>
      </c>
      <c r="AO112" s="34">
        <f>IF(ISBLANK(Table2[[#This Row],[Need_EIS]]), 2,(IF(Table2[[#This Row],[Need_EIS]]="No", 0, (IF(AND(Table2[[#This Row],[Need_EIS]]="Yes",  Table2[[#This Row],[EIS_pub_date]]=""),1, 0)))))</f>
        <v>0</v>
      </c>
      <c r="AP112" s="34">
        <f>IF(ISBLANK(Table2[[#This Row],[Need_DON]]), 2,(IF(Table2[[#This Row],[Need_DON]]="No", 0, (IF(AND(Table2[[#This Row],[Need_DON]]="Yes",  Table2[[#This Row],[DON_pub_date]]=""),1, 0)))))</f>
        <v>0</v>
      </c>
      <c r="AQ112" s="34">
        <f>IF(ISBLANK(Table2[[#This Row],[Pending_question]]), 2,(IF(Table2[[#This Row],[Pending_question]]="Yes", 1, 0)))</f>
        <v>0</v>
      </c>
      <c r="AR112" s="43"/>
    </row>
    <row r="113" spans="1:44" ht="15" customHeight="1">
      <c r="A113" s="63">
        <v>44601</v>
      </c>
      <c r="B113" s="29" t="s">
        <v>15</v>
      </c>
      <c r="C113" s="34" t="str" cm="1">
        <f t="array" ref="C11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13" s="27" t="s">
        <v>770</v>
      </c>
      <c r="E113" s="67" t="s">
        <v>166</v>
      </c>
      <c r="F113" s="29" t="s">
        <v>400</v>
      </c>
      <c r="G113" s="29" t="s">
        <v>34</v>
      </c>
      <c r="H113" s="59">
        <v>44601</v>
      </c>
      <c r="I113" s="59"/>
      <c r="J113" s="29"/>
      <c r="K113" s="59" t="s">
        <v>771</v>
      </c>
      <c r="L113" s="112" t="s">
        <v>772</v>
      </c>
      <c r="M113" s="70" t="s">
        <v>19</v>
      </c>
      <c r="N113" s="59"/>
      <c r="O113" s="85"/>
      <c r="P113" s="59" t="s">
        <v>19</v>
      </c>
      <c r="Q113" s="84"/>
      <c r="R113" s="29"/>
      <c r="S113" s="29"/>
      <c r="T113" s="59"/>
      <c r="U113" s="29"/>
      <c r="V113" s="29"/>
      <c r="W113" s="29"/>
      <c r="X113" s="27"/>
      <c r="Y113" s="29" t="s">
        <v>30</v>
      </c>
      <c r="Z113" s="29" t="s">
        <v>42</v>
      </c>
      <c r="AA113" s="29"/>
      <c r="AB113" s="29" t="s">
        <v>773</v>
      </c>
      <c r="AC113" s="59">
        <v>44602</v>
      </c>
      <c r="AD113" s="59"/>
      <c r="AE113" s="59">
        <v>44603</v>
      </c>
      <c r="AF113" s="59">
        <v>44603</v>
      </c>
      <c r="AG113" s="59">
        <v>44604</v>
      </c>
      <c r="AH113" s="59">
        <v>44605</v>
      </c>
      <c r="AI113" s="29" t="s">
        <v>30</v>
      </c>
      <c r="AJ113" s="139"/>
      <c r="AK113" s="86">
        <v>44613</v>
      </c>
      <c r="AL113" s="102" t="s">
        <v>774</v>
      </c>
      <c r="AM113" s="41" t="str">
        <f>VLOOKUP(Table2[[#This Row],[country]],Countrycode!A:B,2,FALSE)</f>
        <v>GBR</v>
      </c>
      <c r="AN113" s="34">
        <f>IF(ISBLANK(Table2[[#This Row],[Need_RRA]]), 2,(IF(Table2[[#This Row],[Need_RRA]]="No", 0, (IF(AND(Table2[[#This Row],[Need_RRA]]="Yes",  Table2[[#This Row],[RRA_pub_date]]=""),1, 0)))))</f>
        <v>0</v>
      </c>
      <c r="AO113" s="34">
        <f>IF(ISBLANK(Table2[[#This Row],[Need_EIS]]), 2,(IF(Table2[[#This Row],[Need_EIS]]="No", 0, (IF(AND(Table2[[#This Row],[Need_EIS]]="Yes",  Table2[[#This Row],[EIS_pub_date]]=""),1, 0)))))</f>
        <v>0</v>
      </c>
      <c r="AP113" s="34">
        <f>IF(ISBLANK(Table2[[#This Row],[Need_DON]]), 2,(IF(Table2[[#This Row],[Need_DON]]="No", 0, (IF(AND(Table2[[#This Row],[Need_DON]]="Yes",  Table2[[#This Row],[DON_pub_date]]=""),1, 0)))))</f>
        <v>0</v>
      </c>
      <c r="AQ113" s="34">
        <f>IF(ISBLANK(Table2[[#This Row],[Pending_question]]), 2,(IF(Table2[[#This Row],[Pending_question]]="Yes", 1, 0)))</f>
        <v>0</v>
      </c>
      <c r="AR113" s="43"/>
    </row>
    <row r="114" spans="1:44" ht="15" customHeight="1">
      <c r="A114" s="63">
        <v>44602</v>
      </c>
      <c r="B114" s="29" t="s">
        <v>15</v>
      </c>
      <c r="C114" s="34" t="str" cm="1">
        <f t="array" ref="C11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14" s="27" t="s">
        <v>738</v>
      </c>
      <c r="E114" s="67" t="s">
        <v>176</v>
      </c>
      <c r="F114" s="29" t="s">
        <v>379</v>
      </c>
      <c r="G114" s="29" t="s">
        <v>34</v>
      </c>
      <c r="H114" s="59">
        <v>44602</v>
      </c>
      <c r="I114" s="59">
        <v>44602</v>
      </c>
      <c r="J114" s="59">
        <v>44614</v>
      </c>
      <c r="K114" s="59" t="s">
        <v>775</v>
      </c>
      <c r="L114" s="104" t="s">
        <v>776</v>
      </c>
      <c r="M114" s="70" t="s">
        <v>19</v>
      </c>
      <c r="N114" s="59"/>
      <c r="O114" s="85"/>
      <c r="P114" s="59" t="s">
        <v>30</v>
      </c>
      <c r="Q114" s="84">
        <v>1</v>
      </c>
      <c r="R114" s="29" t="s">
        <v>777</v>
      </c>
      <c r="S114" s="59">
        <v>44654</v>
      </c>
      <c r="T114" s="59"/>
      <c r="U114" s="59">
        <v>44707</v>
      </c>
      <c r="V114" s="29" t="s">
        <v>20</v>
      </c>
      <c r="W114" s="29" t="s">
        <v>32</v>
      </c>
      <c r="X114" s="27" t="s">
        <v>51</v>
      </c>
      <c r="Y114" s="29" t="s">
        <v>19</v>
      </c>
      <c r="Z114" s="29"/>
      <c r="AA114" s="29"/>
      <c r="AB114" s="29"/>
      <c r="AC114" s="29"/>
      <c r="AD114" s="59"/>
      <c r="AE114" s="29"/>
      <c r="AF114" s="29"/>
      <c r="AG114" s="29"/>
      <c r="AH114" s="27"/>
      <c r="AI114" s="29" t="s">
        <v>19</v>
      </c>
      <c r="AJ114" s="139"/>
      <c r="AK114" s="28"/>
      <c r="AL114" s="102"/>
      <c r="AM114" s="41" t="str">
        <f>VLOOKUP(Table2[[#This Row],[country]],Countrycode!A:B,2,FALSE)</f>
        <v>SDN</v>
      </c>
      <c r="AN114" s="34">
        <f>IF(ISBLANK(Table2[[#This Row],[Need_RRA]]), 2,(IF(Table2[[#This Row],[Need_RRA]]="No", 0, (IF(AND(Table2[[#This Row],[Need_RRA]]="Yes",  Table2[[#This Row],[RRA_pub_date]]=""),1, 0)))))</f>
        <v>0</v>
      </c>
      <c r="AO114" s="34">
        <f>IF(ISBLANK(Table2[[#This Row],[Need_EIS]]), 2,(IF(Table2[[#This Row],[Need_EIS]]="No", 0, (IF(AND(Table2[[#This Row],[Need_EIS]]="Yes",  Table2[[#This Row],[EIS_pub_date]]=""),1, 0)))))</f>
        <v>0</v>
      </c>
      <c r="AP114" s="34">
        <f>IF(ISBLANK(Table2[[#This Row],[Need_DON]]), 2,(IF(Table2[[#This Row],[Need_DON]]="No", 0, (IF(AND(Table2[[#This Row],[Need_DON]]="Yes",  Table2[[#This Row],[DON_pub_date]]=""),1, 0)))))</f>
        <v>0</v>
      </c>
      <c r="AQ114" s="34">
        <f>IF(ISBLANK(Table2[[#This Row],[Pending_question]]), 2,(IF(Table2[[#This Row],[Pending_question]]="Yes", 1, 0)))</f>
        <v>0</v>
      </c>
      <c r="AR114" s="43"/>
    </row>
    <row r="115" spans="1:44" ht="15" customHeight="1">
      <c r="A115" s="63">
        <v>44606</v>
      </c>
      <c r="B115" s="29" t="s">
        <v>15</v>
      </c>
      <c r="C115" s="34" t="str" cm="1">
        <f t="array" ref="C11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15" s="27" t="s">
        <v>635</v>
      </c>
      <c r="E115" s="67" t="s">
        <v>104</v>
      </c>
      <c r="F115" s="29" t="s">
        <v>173</v>
      </c>
      <c r="G115" s="29" t="s">
        <v>34</v>
      </c>
      <c r="H115" s="59">
        <v>44606</v>
      </c>
      <c r="I115" s="59"/>
      <c r="J115" s="59">
        <v>44606</v>
      </c>
      <c r="K115" s="59" t="s">
        <v>636</v>
      </c>
      <c r="L115" s="104" t="s">
        <v>712</v>
      </c>
      <c r="M115" s="70" t="s">
        <v>19</v>
      </c>
      <c r="N115" s="59"/>
      <c r="O115" s="85"/>
      <c r="P115" s="59" t="s">
        <v>19</v>
      </c>
      <c r="Q115" s="84"/>
      <c r="R115" s="29"/>
      <c r="S115" s="29"/>
      <c r="T115" s="59"/>
      <c r="U115" s="29"/>
      <c r="V115" s="29"/>
      <c r="W115" s="29"/>
      <c r="X115" s="27"/>
      <c r="Y115" s="29" t="s">
        <v>30</v>
      </c>
      <c r="Z115" s="29" t="s">
        <v>21</v>
      </c>
      <c r="AA115" s="29"/>
      <c r="AB115" s="29" t="s">
        <v>778</v>
      </c>
      <c r="AC115" s="59">
        <v>44606</v>
      </c>
      <c r="AD115" s="59"/>
      <c r="AE115" s="59">
        <v>44606</v>
      </c>
      <c r="AF115" s="59">
        <v>44613</v>
      </c>
      <c r="AG115" s="59">
        <v>44613</v>
      </c>
      <c r="AH115" s="85">
        <v>44615</v>
      </c>
      <c r="AI115" s="29" t="s">
        <v>19</v>
      </c>
      <c r="AJ115" s="139"/>
      <c r="AK115" s="28"/>
      <c r="AL115" s="102"/>
      <c r="AM115" s="41" t="str">
        <f>VLOOKUP(Table2[[#This Row],[country]],Countrycode!A:B,2,FALSE)</f>
        <v>CHN</v>
      </c>
      <c r="AN115" s="34">
        <f>IF(ISBLANK(Table2[[#This Row],[Need_RRA]]), 2,(IF(Table2[[#This Row],[Need_RRA]]="No", 0, (IF(AND(Table2[[#This Row],[Need_RRA]]="Yes",  Table2[[#This Row],[RRA_pub_date]]=""),1, 0)))))</f>
        <v>0</v>
      </c>
      <c r="AO115" s="34">
        <f>IF(ISBLANK(Table2[[#This Row],[Need_EIS]]), 2,(IF(Table2[[#This Row],[Need_EIS]]="No", 0, (IF(AND(Table2[[#This Row],[Need_EIS]]="Yes",  Table2[[#This Row],[EIS_pub_date]]=""),1, 0)))))</f>
        <v>0</v>
      </c>
      <c r="AP115" s="34">
        <f>IF(ISBLANK(Table2[[#This Row],[Need_DON]]), 2,(IF(Table2[[#This Row],[Need_DON]]="No", 0, (IF(AND(Table2[[#This Row],[Need_DON]]="Yes",  Table2[[#This Row],[DON_pub_date]]=""),1, 0)))))</f>
        <v>0</v>
      </c>
      <c r="AQ115" s="34">
        <f>IF(ISBLANK(Table2[[#This Row],[Pending_question]]), 2,(IF(Table2[[#This Row],[Pending_question]]="Yes", 1, 0)))</f>
        <v>0</v>
      </c>
      <c r="AR115" s="43"/>
    </row>
    <row r="116" spans="1:44" ht="15" customHeight="1">
      <c r="A116" s="63">
        <v>44607</v>
      </c>
      <c r="B116" s="29" t="s">
        <v>15</v>
      </c>
      <c r="C116" s="34" t="str" cm="1">
        <f t="array" ref="C11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16" s="27" t="s">
        <v>456</v>
      </c>
      <c r="E116" s="34" t="s">
        <v>184</v>
      </c>
      <c r="F116" s="29" t="s">
        <v>400</v>
      </c>
      <c r="G116" s="29" t="s">
        <v>34</v>
      </c>
      <c r="H116" s="59">
        <v>44607</v>
      </c>
      <c r="I116" s="59"/>
      <c r="J116" s="59">
        <v>44610</v>
      </c>
      <c r="K116" s="59" t="s">
        <v>779</v>
      </c>
      <c r="L116" s="112" t="s">
        <v>780</v>
      </c>
      <c r="M116" s="70" t="s">
        <v>19</v>
      </c>
      <c r="N116" s="59" t="s">
        <v>781</v>
      </c>
      <c r="O116" s="85"/>
      <c r="P116" s="59" t="s">
        <v>19</v>
      </c>
      <c r="Q116" s="84"/>
      <c r="R116" s="29"/>
      <c r="S116" s="29"/>
      <c r="T116" s="59"/>
      <c r="U116" s="29"/>
      <c r="V116" s="29"/>
      <c r="W116" s="29"/>
      <c r="X116" s="27"/>
      <c r="Y116" s="29" t="s">
        <v>30</v>
      </c>
      <c r="Z116" s="29" t="s">
        <v>42</v>
      </c>
      <c r="AA116" s="29"/>
      <c r="AB116" s="29" t="s">
        <v>782</v>
      </c>
      <c r="AC116" s="59">
        <v>44616</v>
      </c>
      <c r="AD116" s="59"/>
      <c r="AE116" s="59">
        <v>44629</v>
      </c>
      <c r="AF116" s="59">
        <v>44632</v>
      </c>
      <c r="AG116" s="59">
        <v>44634</v>
      </c>
      <c r="AH116" s="85">
        <v>44638</v>
      </c>
      <c r="AI116" s="29" t="s">
        <v>19</v>
      </c>
      <c r="AJ116" s="139"/>
      <c r="AK116" s="28"/>
      <c r="AL116" s="102"/>
      <c r="AM116" s="41" t="str">
        <f>VLOOKUP(Table2[[#This Row],[country]],Countrycode!A:B,2,FALSE)</f>
        <v>GBR</v>
      </c>
      <c r="AN116" s="34">
        <f>IF(ISBLANK(Table2[[#This Row],[Need_RRA]]), 2,(IF(Table2[[#This Row],[Need_RRA]]="No", 0, (IF(AND(Table2[[#This Row],[Need_RRA]]="Yes",  Table2[[#This Row],[RRA_pub_date]]=""),1, 0)))))</f>
        <v>0</v>
      </c>
      <c r="AO116" s="34">
        <f>IF(ISBLANK(Table2[[#This Row],[Need_EIS]]), 2,(IF(Table2[[#This Row],[Need_EIS]]="No", 0, (IF(AND(Table2[[#This Row],[Need_EIS]]="Yes",  Table2[[#This Row],[EIS_pub_date]]=""),1, 0)))))</f>
        <v>0</v>
      </c>
      <c r="AP116" s="34">
        <f>IF(ISBLANK(Table2[[#This Row],[Need_DON]]), 2,(IF(Table2[[#This Row],[Need_DON]]="No", 0, (IF(AND(Table2[[#This Row],[Need_DON]]="Yes",  Table2[[#This Row],[DON_pub_date]]=""),1, 0)))))</f>
        <v>0</v>
      </c>
      <c r="AQ116" s="34">
        <f>IF(ISBLANK(Table2[[#This Row],[Pending_question]]), 2,(IF(Table2[[#This Row],[Pending_question]]="Yes", 1, 0)))</f>
        <v>0</v>
      </c>
      <c r="AR116" s="43"/>
    </row>
    <row r="117" spans="1:44" ht="15" customHeight="1">
      <c r="A117" s="63">
        <v>44608</v>
      </c>
      <c r="B117" s="29" t="s">
        <v>15</v>
      </c>
      <c r="C117" s="34" t="str" cm="1">
        <f t="array" ref="C11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17" s="27" t="s">
        <v>783</v>
      </c>
      <c r="E117" s="67" t="s">
        <v>235</v>
      </c>
      <c r="F117" s="29" t="s">
        <v>72</v>
      </c>
      <c r="G117" s="29" t="s">
        <v>34</v>
      </c>
      <c r="H117" s="59">
        <v>44608</v>
      </c>
      <c r="I117" s="59"/>
      <c r="J117" s="29"/>
      <c r="K117" s="124" t="s">
        <v>784</v>
      </c>
      <c r="L117" s="112" t="s">
        <v>785</v>
      </c>
      <c r="M117" s="70" t="s">
        <v>19</v>
      </c>
      <c r="N117" s="59" t="s">
        <v>786</v>
      </c>
      <c r="O117" s="85"/>
      <c r="P117" s="59" t="s">
        <v>19</v>
      </c>
      <c r="Q117" s="84"/>
      <c r="R117" s="29"/>
      <c r="S117" s="29"/>
      <c r="T117" s="59"/>
      <c r="U117" s="29"/>
      <c r="V117" s="29"/>
      <c r="W117" s="29"/>
      <c r="X117" s="27"/>
      <c r="Y117" s="29" t="s">
        <v>19</v>
      </c>
      <c r="Z117" s="29"/>
      <c r="AA117" s="29"/>
      <c r="AB117" s="29"/>
      <c r="AC117" s="29"/>
      <c r="AD117" s="59"/>
      <c r="AE117" s="29"/>
      <c r="AF117" s="29"/>
      <c r="AG117" s="29"/>
      <c r="AH117" s="27"/>
      <c r="AI117" s="29" t="s">
        <v>19</v>
      </c>
      <c r="AJ117" s="139"/>
      <c r="AK117" s="28"/>
      <c r="AL117" s="102"/>
      <c r="AM117" s="41" t="str">
        <f>VLOOKUP(Table2[[#This Row],[country]],Countrycode!A:B,2,FALSE)</f>
        <v>AGO</v>
      </c>
      <c r="AN117" s="34">
        <f>IF(ISBLANK(Table2[[#This Row],[Need_RRA]]), 2,(IF(Table2[[#This Row],[Need_RRA]]="No", 0, (IF(AND(Table2[[#This Row],[Need_RRA]]="Yes",  Table2[[#This Row],[RRA_pub_date]]=""),1, 0)))))</f>
        <v>0</v>
      </c>
      <c r="AO117" s="34">
        <f>IF(ISBLANK(Table2[[#This Row],[Need_EIS]]), 2,(IF(Table2[[#This Row],[Need_EIS]]="No", 0, (IF(AND(Table2[[#This Row],[Need_EIS]]="Yes",  Table2[[#This Row],[EIS_pub_date]]=""),1, 0)))))</f>
        <v>0</v>
      </c>
      <c r="AP117" s="34">
        <f>IF(ISBLANK(Table2[[#This Row],[Need_DON]]), 2,(IF(Table2[[#This Row],[Need_DON]]="No", 0, (IF(AND(Table2[[#This Row],[Need_DON]]="Yes",  Table2[[#This Row],[DON_pub_date]]=""),1, 0)))))</f>
        <v>0</v>
      </c>
      <c r="AQ117" s="34">
        <f>IF(ISBLANK(Table2[[#This Row],[Pending_question]]), 2,(IF(Table2[[#This Row],[Pending_question]]="Yes", 1, 0)))</f>
        <v>0</v>
      </c>
      <c r="AR117" s="43"/>
    </row>
    <row r="118" spans="1:44" ht="15" customHeight="1">
      <c r="A118" s="63">
        <v>44608</v>
      </c>
      <c r="B118" s="29" t="s">
        <v>15</v>
      </c>
      <c r="C118" s="34" t="str" cm="1">
        <f t="array" ref="C11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18" s="27" t="s">
        <v>635</v>
      </c>
      <c r="E118" s="67" t="s">
        <v>104</v>
      </c>
      <c r="F118" s="29" t="s">
        <v>173</v>
      </c>
      <c r="G118" s="29" t="s">
        <v>34</v>
      </c>
      <c r="H118" s="59">
        <v>44608</v>
      </c>
      <c r="I118" s="59"/>
      <c r="J118" s="59">
        <v>44608</v>
      </c>
      <c r="K118" s="59" t="s">
        <v>636</v>
      </c>
      <c r="L118" s="104" t="s">
        <v>712</v>
      </c>
      <c r="M118" s="70" t="s">
        <v>19</v>
      </c>
      <c r="N118" s="59"/>
      <c r="O118" s="85"/>
      <c r="P118" s="59" t="s">
        <v>19</v>
      </c>
      <c r="Q118" s="84"/>
      <c r="R118" s="29"/>
      <c r="S118" s="29"/>
      <c r="T118" s="59"/>
      <c r="U118" s="29"/>
      <c r="V118" s="29"/>
      <c r="W118" s="29"/>
      <c r="X118" s="27"/>
      <c r="Y118" s="29" t="s">
        <v>30</v>
      </c>
      <c r="Z118" s="29" t="s">
        <v>21</v>
      </c>
      <c r="AA118" s="29"/>
      <c r="AB118" s="29" t="s">
        <v>787</v>
      </c>
      <c r="AC118" s="59">
        <v>44608</v>
      </c>
      <c r="AD118" s="59"/>
      <c r="AE118" s="59">
        <v>44613</v>
      </c>
      <c r="AF118" s="59">
        <v>44613</v>
      </c>
      <c r="AG118" s="59">
        <v>44616</v>
      </c>
      <c r="AH118" s="85">
        <v>44617</v>
      </c>
      <c r="AI118" s="29" t="s">
        <v>19</v>
      </c>
      <c r="AJ118" s="139"/>
      <c r="AK118" s="28"/>
      <c r="AL118" s="102"/>
      <c r="AM118" s="41" t="str">
        <f>VLOOKUP(Table2[[#This Row],[country]],Countrycode!A:B,2,FALSE)</f>
        <v>CHN</v>
      </c>
      <c r="AN118" s="34">
        <f>IF(ISBLANK(Table2[[#This Row],[Need_RRA]]), 2,(IF(Table2[[#This Row],[Need_RRA]]="No", 0, (IF(AND(Table2[[#This Row],[Need_RRA]]="Yes",  Table2[[#This Row],[RRA_pub_date]]=""),1, 0)))))</f>
        <v>0</v>
      </c>
      <c r="AO118" s="34">
        <f>IF(ISBLANK(Table2[[#This Row],[Need_EIS]]), 2,(IF(Table2[[#This Row],[Need_EIS]]="No", 0, (IF(AND(Table2[[#This Row],[Need_EIS]]="Yes",  Table2[[#This Row],[EIS_pub_date]]=""),1, 0)))))</f>
        <v>0</v>
      </c>
      <c r="AP118" s="34">
        <f>IF(ISBLANK(Table2[[#This Row],[Need_DON]]), 2,(IF(Table2[[#This Row],[Need_DON]]="No", 0, (IF(AND(Table2[[#This Row],[Need_DON]]="Yes",  Table2[[#This Row],[DON_pub_date]]=""),1, 0)))))</f>
        <v>0</v>
      </c>
      <c r="AQ118" s="34">
        <f>IF(ISBLANK(Table2[[#This Row],[Pending_question]]), 2,(IF(Table2[[#This Row],[Pending_question]]="Yes", 1, 0)))</f>
        <v>0</v>
      </c>
      <c r="AR118" s="43"/>
    </row>
    <row r="119" spans="1:44" s="111" customFormat="1" ht="15" customHeight="1">
      <c r="A119" s="63">
        <v>44609</v>
      </c>
      <c r="B119" s="29" t="s">
        <v>15</v>
      </c>
      <c r="C119" s="34" t="str" cm="1">
        <f t="array" ref="C11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19" s="27" t="s">
        <v>482</v>
      </c>
      <c r="E119" s="67" t="s">
        <v>788</v>
      </c>
      <c r="F119" s="29" t="s">
        <v>301</v>
      </c>
      <c r="G119" s="29" t="s">
        <v>34</v>
      </c>
      <c r="H119" s="59">
        <v>44609</v>
      </c>
      <c r="I119" s="59"/>
      <c r="J119" s="29"/>
      <c r="K119" s="59"/>
      <c r="L119" s="85"/>
      <c r="M119" s="67" t="s">
        <v>19</v>
      </c>
      <c r="N119" s="59"/>
      <c r="O119" s="85"/>
      <c r="P119" s="59" t="s">
        <v>19</v>
      </c>
      <c r="Q119" s="84"/>
      <c r="R119" s="29"/>
      <c r="S119" s="29"/>
      <c r="T119" s="59"/>
      <c r="U119" s="29"/>
      <c r="V119" s="29"/>
      <c r="W119" s="29"/>
      <c r="X119" s="27"/>
      <c r="Y119" s="29" t="s">
        <v>30</v>
      </c>
      <c r="Z119" s="29" t="s">
        <v>42</v>
      </c>
      <c r="AA119" s="29"/>
      <c r="AB119" s="29" t="s">
        <v>789</v>
      </c>
      <c r="AC119" s="59">
        <v>44609</v>
      </c>
      <c r="AD119" s="59"/>
      <c r="AE119" s="59">
        <v>44610</v>
      </c>
      <c r="AF119" s="29"/>
      <c r="AG119" s="29"/>
      <c r="AH119" s="85">
        <v>44620</v>
      </c>
      <c r="AI119" s="29" t="s">
        <v>30</v>
      </c>
      <c r="AJ119" s="139"/>
      <c r="AK119" s="86">
        <v>44623</v>
      </c>
      <c r="AL119" s="102" t="s">
        <v>790</v>
      </c>
      <c r="AM119" s="41" t="str">
        <f>VLOOKUP(Table2[[#This Row],[country]],Countrycode!A:B,2,FALSE)</f>
        <v>MWI</v>
      </c>
      <c r="AN119" s="34">
        <f>IF(ISBLANK(Table2[[#This Row],[Need_RRA]]), 2,(IF(Table2[[#This Row],[Need_RRA]]="No", 0, (IF(AND(Table2[[#This Row],[Need_RRA]]="Yes",  Table2[[#This Row],[RRA_pub_date]]=""),1, 0)))))</f>
        <v>0</v>
      </c>
      <c r="AO119" s="34">
        <f>IF(ISBLANK(Table2[[#This Row],[Need_EIS]]), 2,(IF(Table2[[#This Row],[Need_EIS]]="No", 0, (IF(AND(Table2[[#This Row],[Need_EIS]]="Yes",  Table2[[#This Row],[EIS_pub_date]]=""),1, 0)))))</f>
        <v>0</v>
      </c>
      <c r="AP119" s="34">
        <f>IF(ISBLANK(Table2[[#This Row],[Need_DON]]), 2,(IF(Table2[[#This Row],[Need_DON]]="No", 0, (IF(AND(Table2[[#This Row],[Need_DON]]="Yes",  Table2[[#This Row],[DON_pub_date]]=""),1, 0)))))</f>
        <v>0</v>
      </c>
      <c r="AQ119" s="34">
        <f>IF(ISBLANK(Table2[[#This Row],[Pending_question]]), 2,(IF(Table2[[#This Row],[Pending_question]]="Yes", 1, 0)))</f>
        <v>0</v>
      </c>
      <c r="AR119" s="43"/>
    </row>
    <row r="120" spans="1:44" ht="15" customHeight="1">
      <c r="A120" s="63">
        <v>44614</v>
      </c>
      <c r="B120" s="29" t="s">
        <v>15</v>
      </c>
      <c r="C120" s="34" t="str" cm="1">
        <f t="array" ref="C12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20" s="27" t="s">
        <v>635</v>
      </c>
      <c r="E120" s="67" t="s">
        <v>594</v>
      </c>
      <c r="F120" s="29" t="s">
        <v>403</v>
      </c>
      <c r="G120" s="29" t="s">
        <v>34</v>
      </c>
      <c r="H120" s="59">
        <v>44614</v>
      </c>
      <c r="I120" s="59"/>
      <c r="J120" s="59">
        <v>44614</v>
      </c>
      <c r="K120" s="59" t="s">
        <v>791</v>
      </c>
      <c r="L120" s="104" t="s">
        <v>792</v>
      </c>
      <c r="M120" s="70" t="s">
        <v>19</v>
      </c>
      <c r="N120" s="59"/>
      <c r="O120" s="85"/>
      <c r="P120" s="59" t="s">
        <v>19</v>
      </c>
      <c r="Q120" s="84"/>
      <c r="R120" s="29"/>
      <c r="S120" s="29"/>
      <c r="T120" s="59"/>
      <c r="U120" s="29"/>
      <c r="V120" s="29"/>
      <c r="W120" s="29"/>
      <c r="X120" s="27"/>
      <c r="Y120" s="29" t="s">
        <v>30</v>
      </c>
      <c r="Z120" s="29" t="s">
        <v>42</v>
      </c>
      <c r="AA120" s="29"/>
      <c r="AB120" s="29"/>
      <c r="AC120" s="59">
        <v>44615</v>
      </c>
      <c r="AD120" s="59"/>
      <c r="AE120" s="59">
        <v>44617</v>
      </c>
      <c r="AF120" s="59">
        <v>44618</v>
      </c>
      <c r="AG120" s="59">
        <v>44619</v>
      </c>
      <c r="AH120" s="85">
        <v>44620</v>
      </c>
      <c r="AI120" s="29" t="s">
        <v>19</v>
      </c>
      <c r="AJ120" s="139"/>
      <c r="AK120" s="28"/>
      <c r="AL120" s="102"/>
      <c r="AM120" s="41" t="str">
        <f>VLOOKUP(Table2[[#This Row],[country]],Countrycode!A:B,2,FALSE)</f>
        <v>USA</v>
      </c>
      <c r="AN120" s="34">
        <f>IF(ISBLANK(Table2[[#This Row],[Need_RRA]]), 2,(IF(Table2[[#This Row],[Need_RRA]]="No", 0, (IF(AND(Table2[[#This Row],[Need_RRA]]="Yes",  Table2[[#This Row],[RRA_pub_date]]=""),1, 0)))))</f>
        <v>0</v>
      </c>
      <c r="AO120" s="34">
        <f>IF(ISBLANK(Table2[[#This Row],[Need_EIS]]), 2,(IF(Table2[[#This Row],[Need_EIS]]="No", 0, (IF(AND(Table2[[#This Row],[Need_EIS]]="Yes",  Table2[[#This Row],[EIS_pub_date]]=""),1, 0)))))</f>
        <v>0</v>
      </c>
      <c r="AP120" s="34">
        <f>IF(ISBLANK(Table2[[#This Row],[Need_DON]]), 2,(IF(Table2[[#This Row],[Need_DON]]="No", 0, (IF(AND(Table2[[#This Row],[Need_DON]]="Yes",  Table2[[#This Row],[DON_pub_date]]=""),1, 0)))))</f>
        <v>0</v>
      </c>
      <c r="AQ120" s="34">
        <f>IF(ISBLANK(Table2[[#This Row],[Pending_question]]), 2,(IF(Table2[[#This Row],[Pending_question]]="Yes", 1, 0)))</f>
        <v>0</v>
      </c>
      <c r="AR120" s="43"/>
    </row>
    <row r="121" spans="1:44" ht="15" customHeight="1">
      <c r="A121" s="63">
        <v>44617</v>
      </c>
      <c r="B121" s="29" t="s">
        <v>15</v>
      </c>
      <c r="C121" s="34" t="str" cm="1">
        <f t="array" ref="C12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21" s="27" t="s">
        <v>635</v>
      </c>
      <c r="E121" s="67" t="s">
        <v>104</v>
      </c>
      <c r="F121" s="29" t="s">
        <v>173</v>
      </c>
      <c r="G121" s="29" t="s">
        <v>34</v>
      </c>
      <c r="H121" s="59">
        <v>44617</v>
      </c>
      <c r="I121" s="59"/>
      <c r="J121" s="59">
        <v>44617</v>
      </c>
      <c r="K121" s="59" t="s">
        <v>636</v>
      </c>
      <c r="L121" s="85"/>
      <c r="M121" s="70" t="s">
        <v>19</v>
      </c>
      <c r="N121" s="59"/>
      <c r="O121" s="85"/>
      <c r="P121" s="59" t="s">
        <v>19</v>
      </c>
      <c r="Q121" s="84"/>
      <c r="R121" s="29"/>
      <c r="S121" s="29"/>
      <c r="T121" s="59"/>
      <c r="U121" s="29"/>
      <c r="V121" s="29"/>
      <c r="W121" s="29"/>
      <c r="X121" s="27"/>
      <c r="Y121" s="29" t="s">
        <v>30</v>
      </c>
      <c r="Z121" s="29" t="s">
        <v>21</v>
      </c>
      <c r="AA121" s="29"/>
      <c r="AB121" s="29" t="s">
        <v>793</v>
      </c>
      <c r="AC121" s="59">
        <v>44617</v>
      </c>
      <c r="AD121" s="59"/>
      <c r="AE121" s="59">
        <v>44621</v>
      </c>
      <c r="AF121" s="59">
        <v>44621</v>
      </c>
      <c r="AG121" s="59">
        <v>44626</v>
      </c>
      <c r="AH121" s="85">
        <v>44627</v>
      </c>
      <c r="AI121" s="29" t="s">
        <v>19</v>
      </c>
      <c r="AJ121" s="139"/>
      <c r="AK121" s="28"/>
      <c r="AL121" s="102"/>
      <c r="AM121" s="41" t="str">
        <f>VLOOKUP(Table2[[#This Row],[country]],Countrycode!A:B,2,FALSE)</f>
        <v>CHN</v>
      </c>
      <c r="AN121" s="34">
        <f>IF(ISBLANK(Table2[[#This Row],[Need_RRA]]), 2,(IF(Table2[[#This Row],[Need_RRA]]="No", 0, (IF(AND(Table2[[#This Row],[Need_RRA]]="Yes",  Table2[[#This Row],[RRA_pub_date]]=""),1, 0)))))</f>
        <v>0</v>
      </c>
      <c r="AO121" s="34">
        <f>IF(ISBLANK(Table2[[#This Row],[Need_EIS]]), 2,(IF(Table2[[#This Row],[Need_EIS]]="No", 0, (IF(AND(Table2[[#This Row],[Need_EIS]]="Yes",  Table2[[#This Row],[EIS_pub_date]]=""),1, 0)))))</f>
        <v>0</v>
      </c>
      <c r="AP121" s="34">
        <f>IF(ISBLANK(Table2[[#This Row],[Need_DON]]), 2,(IF(Table2[[#This Row],[Need_DON]]="No", 0, (IF(AND(Table2[[#This Row],[Need_DON]]="Yes",  Table2[[#This Row],[DON_pub_date]]=""),1, 0)))))</f>
        <v>0</v>
      </c>
      <c r="AQ121" s="34">
        <f>IF(ISBLANK(Table2[[#This Row],[Pending_question]]), 2,(IF(Table2[[#This Row],[Pending_question]]="Yes", 1, 0)))</f>
        <v>0</v>
      </c>
      <c r="AR121" s="43"/>
    </row>
    <row r="122" spans="1:44" ht="15" customHeight="1">
      <c r="A122" s="63">
        <v>44617</v>
      </c>
      <c r="B122" s="113" t="s">
        <v>15</v>
      </c>
      <c r="C122" s="110" t="str" cm="1">
        <f t="array" ref="C12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22" s="114" t="s">
        <v>794</v>
      </c>
      <c r="E122" s="115" t="s">
        <v>110</v>
      </c>
      <c r="F122" s="113" t="s">
        <v>173</v>
      </c>
      <c r="G122" s="113" t="s">
        <v>34</v>
      </c>
      <c r="H122" s="116">
        <v>44617</v>
      </c>
      <c r="I122" s="116"/>
      <c r="J122" s="116">
        <v>44617</v>
      </c>
      <c r="K122" s="116" t="s">
        <v>694</v>
      </c>
      <c r="L122" s="323" t="s">
        <v>795</v>
      </c>
      <c r="M122" s="306" t="s">
        <v>30</v>
      </c>
      <c r="N122" s="116" t="s">
        <v>796</v>
      </c>
      <c r="O122" s="117">
        <v>44636</v>
      </c>
      <c r="P122" s="116" t="s">
        <v>19</v>
      </c>
      <c r="Q122" s="118"/>
      <c r="R122" s="113"/>
      <c r="S122" s="113"/>
      <c r="T122" s="116"/>
      <c r="U122" s="113"/>
      <c r="V122" s="113"/>
      <c r="W122" s="113"/>
      <c r="X122" s="114"/>
      <c r="Y122" s="113" t="s">
        <v>30</v>
      </c>
      <c r="Z122" s="113" t="s">
        <v>21</v>
      </c>
      <c r="AA122" s="113"/>
      <c r="AB122" s="113" t="s">
        <v>797</v>
      </c>
      <c r="AC122" s="116">
        <v>44617</v>
      </c>
      <c r="AD122" s="116"/>
      <c r="AE122" s="116">
        <v>44621</v>
      </c>
      <c r="AF122" s="116">
        <v>44621</v>
      </c>
      <c r="AG122" s="116">
        <v>44626</v>
      </c>
      <c r="AH122" s="117">
        <v>44636</v>
      </c>
      <c r="AI122" s="113" t="s">
        <v>19</v>
      </c>
      <c r="AJ122" s="144"/>
      <c r="AK122" s="147"/>
      <c r="AL122" s="119"/>
      <c r="AM122" s="193" t="str">
        <f>VLOOKUP(Table2[[#This Row],[country]],Countrycode!A:B,2,FALSE)</f>
        <v>CHN</v>
      </c>
      <c r="AN122" s="110">
        <f>IF(ISBLANK(Table2[[#This Row],[Need_RRA]]), 2,(IF(Table2[[#This Row],[Need_RRA]]="No", 0, (IF(AND(Table2[[#This Row],[Need_RRA]]="Yes",  Table2[[#This Row],[RRA_pub_date]]=""),1, 0)))))</f>
        <v>0</v>
      </c>
      <c r="AO122" s="110">
        <f>IF(ISBLANK(Table2[[#This Row],[Need_EIS]]), 2,(IF(Table2[[#This Row],[Need_EIS]]="No", 0, (IF(AND(Table2[[#This Row],[Need_EIS]]="Yes",  Table2[[#This Row],[EIS_pub_date]]=""),1, 0)))))</f>
        <v>0</v>
      </c>
      <c r="AP122" s="110">
        <f>IF(ISBLANK(Table2[[#This Row],[Need_DON]]), 2,(IF(Table2[[#This Row],[Need_DON]]="No", 0, (IF(AND(Table2[[#This Row],[Need_DON]]="Yes",  Table2[[#This Row],[DON_pub_date]]=""),1, 0)))))</f>
        <v>0</v>
      </c>
      <c r="AQ122" s="110">
        <f>IF(ISBLANK(Table2[[#This Row],[Pending_question]]), 2,(IF(Table2[[#This Row],[Pending_question]]="Yes", 1, 0)))</f>
        <v>1</v>
      </c>
      <c r="AR122" s="120"/>
    </row>
    <row r="123" spans="1:44" ht="15" customHeight="1">
      <c r="A123" s="63">
        <v>44621</v>
      </c>
      <c r="B123" s="29" t="s">
        <v>15</v>
      </c>
      <c r="C123" s="34" t="str" cm="1">
        <f t="array" ref="C12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23" s="27" t="s">
        <v>482</v>
      </c>
      <c r="E123" s="67" t="s">
        <v>166</v>
      </c>
      <c r="F123" s="29" t="s">
        <v>388</v>
      </c>
      <c r="G123" s="29" t="s">
        <v>34</v>
      </c>
      <c r="H123" s="59">
        <v>44621</v>
      </c>
      <c r="I123" s="59"/>
      <c r="J123" s="29"/>
      <c r="K123" s="59"/>
      <c r="L123" s="85"/>
      <c r="M123" s="70" t="s">
        <v>19</v>
      </c>
      <c r="N123" s="59"/>
      <c r="O123" s="85"/>
      <c r="P123" s="59" t="s">
        <v>19</v>
      </c>
      <c r="Q123" s="84"/>
      <c r="R123" s="29"/>
      <c r="S123" s="29"/>
      <c r="T123" s="59"/>
      <c r="U123" s="29"/>
      <c r="V123" s="29"/>
      <c r="W123" s="29"/>
      <c r="X123" s="27"/>
      <c r="Y123" s="29" t="s">
        <v>30</v>
      </c>
      <c r="Z123" s="29" t="s">
        <v>42</v>
      </c>
      <c r="AA123" s="29"/>
      <c r="AB123" s="29" t="s">
        <v>798</v>
      </c>
      <c r="AC123" s="59">
        <v>44621</v>
      </c>
      <c r="AD123" s="59"/>
      <c r="AE123" s="59">
        <v>44624</v>
      </c>
      <c r="AF123" s="59">
        <v>44628</v>
      </c>
      <c r="AG123" s="59">
        <v>44630</v>
      </c>
      <c r="AH123" s="85">
        <v>44631</v>
      </c>
      <c r="AI123" s="29" t="s">
        <v>30</v>
      </c>
      <c r="AJ123" s="139"/>
      <c r="AK123" s="86">
        <v>44644</v>
      </c>
      <c r="AL123" s="102" t="s">
        <v>799</v>
      </c>
      <c r="AM123" s="41" t="str">
        <f>VLOOKUP(Table2[[#This Row],[country]],Countrycode!A:B,2,FALSE)</f>
        <v>TGO</v>
      </c>
      <c r="AN123" s="34">
        <f>IF(ISBLANK(Table2[[#This Row],[Need_RRA]]), 2,(IF(Table2[[#This Row],[Need_RRA]]="No", 0, (IF(AND(Table2[[#This Row],[Need_RRA]]="Yes",  Table2[[#This Row],[RRA_pub_date]]=""),1, 0)))))</f>
        <v>0</v>
      </c>
      <c r="AO123" s="34">
        <f>IF(ISBLANK(Table2[[#This Row],[Need_EIS]]), 2,(IF(Table2[[#This Row],[Need_EIS]]="No", 0, (IF(AND(Table2[[#This Row],[Need_EIS]]="Yes",  Table2[[#This Row],[EIS_pub_date]]=""),1, 0)))))</f>
        <v>0</v>
      </c>
      <c r="AP123" s="34">
        <f>IF(ISBLANK(Table2[[#This Row],[Need_DON]]), 2,(IF(Table2[[#This Row],[Need_DON]]="No", 0, (IF(AND(Table2[[#This Row],[Need_DON]]="Yes",  Table2[[#This Row],[DON_pub_date]]=""),1, 0)))))</f>
        <v>0</v>
      </c>
      <c r="AQ123" s="34">
        <f>IF(ISBLANK(Table2[[#This Row],[Pending_question]]), 2,(IF(Table2[[#This Row],[Pending_question]]="Yes", 1, 0)))</f>
        <v>0</v>
      </c>
      <c r="AR123" s="43"/>
    </row>
    <row r="124" spans="1:44" ht="15" customHeight="1">
      <c r="A124" s="63">
        <v>44622</v>
      </c>
      <c r="B124" s="29" t="s">
        <v>15</v>
      </c>
      <c r="C124" s="34" t="str" cm="1">
        <f t="array" ref="C12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24" s="27" t="s">
        <v>794</v>
      </c>
      <c r="E124" s="67" t="s">
        <v>104</v>
      </c>
      <c r="F124" s="29" t="s">
        <v>173</v>
      </c>
      <c r="G124" s="29" t="s">
        <v>34</v>
      </c>
      <c r="H124" s="59">
        <v>44622</v>
      </c>
      <c r="I124" s="59"/>
      <c r="J124" s="59">
        <v>44621</v>
      </c>
      <c r="K124" s="59" t="s">
        <v>636</v>
      </c>
      <c r="L124" s="112" t="s">
        <v>712</v>
      </c>
      <c r="M124" s="70" t="s">
        <v>19</v>
      </c>
      <c r="N124" s="59"/>
      <c r="O124" s="85"/>
      <c r="P124" s="59" t="s">
        <v>19</v>
      </c>
      <c r="Q124" s="84"/>
      <c r="R124" s="29"/>
      <c r="S124" s="29"/>
      <c r="T124" s="59"/>
      <c r="U124" s="29"/>
      <c r="V124" s="29"/>
      <c r="W124" s="29"/>
      <c r="X124" s="27"/>
      <c r="Y124" s="29" t="s">
        <v>30</v>
      </c>
      <c r="Z124" s="29" t="s">
        <v>21</v>
      </c>
      <c r="AA124" s="29"/>
      <c r="AB124" s="29" t="s">
        <v>800</v>
      </c>
      <c r="AC124" s="59">
        <v>44622</v>
      </c>
      <c r="AD124" s="59"/>
      <c r="AE124" s="59">
        <v>44627</v>
      </c>
      <c r="AF124" s="59">
        <v>44627</v>
      </c>
      <c r="AG124" s="59">
        <v>40615</v>
      </c>
      <c r="AH124" s="85">
        <v>44634</v>
      </c>
      <c r="AI124" s="29" t="s">
        <v>19</v>
      </c>
      <c r="AJ124" s="139"/>
      <c r="AK124" s="28"/>
      <c r="AL124" s="102"/>
      <c r="AM124" s="41" t="str">
        <f>VLOOKUP(Table2[[#This Row],[country]],Countrycode!A:B,2,FALSE)</f>
        <v>CHN</v>
      </c>
      <c r="AN124" s="34">
        <f>IF(ISBLANK(Table2[[#This Row],[Need_RRA]]), 2,(IF(Table2[[#This Row],[Need_RRA]]="No", 0, (IF(AND(Table2[[#This Row],[Need_RRA]]="Yes",  Table2[[#This Row],[RRA_pub_date]]=""),1, 0)))))</f>
        <v>0</v>
      </c>
      <c r="AO124" s="34">
        <f>IF(ISBLANK(Table2[[#This Row],[Need_EIS]]), 2,(IF(Table2[[#This Row],[Need_EIS]]="No", 0, (IF(AND(Table2[[#This Row],[Need_EIS]]="Yes",  Table2[[#This Row],[EIS_pub_date]]=""),1, 0)))))</f>
        <v>0</v>
      </c>
      <c r="AP124" s="34">
        <f>IF(ISBLANK(Table2[[#This Row],[Need_DON]]), 2,(IF(Table2[[#This Row],[Need_DON]]="No", 0, (IF(AND(Table2[[#This Row],[Need_DON]]="Yes",  Table2[[#This Row],[DON_pub_date]]=""),1, 0)))))</f>
        <v>0</v>
      </c>
      <c r="AQ124" s="34">
        <f>IF(ISBLANK(Table2[[#This Row],[Pending_question]]), 2,(IF(Table2[[#This Row],[Pending_question]]="Yes", 1, 0)))</f>
        <v>0</v>
      </c>
      <c r="AR124" s="43"/>
    </row>
    <row r="125" spans="1:44" ht="15" customHeight="1">
      <c r="A125" s="63">
        <v>44623</v>
      </c>
      <c r="B125" s="29" t="s">
        <v>15</v>
      </c>
      <c r="C125" s="34" t="str" cm="1">
        <f t="array" ref="C12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25" s="27" t="s">
        <v>738</v>
      </c>
      <c r="E125" s="67" t="s">
        <v>176</v>
      </c>
      <c r="F125" s="29" t="s">
        <v>384</v>
      </c>
      <c r="G125" s="29" t="s">
        <v>34</v>
      </c>
      <c r="H125" s="59">
        <v>44623</v>
      </c>
      <c r="I125" s="59"/>
      <c r="J125" s="59">
        <v>44586</v>
      </c>
      <c r="K125" s="59" t="s">
        <v>801</v>
      </c>
      <c r="L125" s="112" t="s">
        <v>802</v>
      </c>
      <c r="M125" s="70" t="s">
        <v>19</v>
      </c>
      <c r="N125" s="59"/>
      <c r="O125" s="85"/>
      <c r="P125" s="59" t="s">
        <v>30</v>
      </c>
      <c r="Q125" s="84">
        <v>1</v>
      </c>
      <c r="R125" s="29" t="s">
        <v>803</v>
      </c>
      <c r="S125" s="59">
        <v>44623</v>
      </c>
      <c r="T125" s="59"/>
      <c r="U125" s="59">
        <v>44645</v>
      </c>
      <c r="V125" s="29" t="s">
        <v>20</v>
      </c>
      <c r="W125" s="29" t="s">
        <v>32</v>
      </c>
      <c r="X125" s="27" t="s">
        <v>51</v>
      </c>
      <c r="Y125" s="29" t="s">
        <v>19</v>
      </c>
      <c r="Z125" s="29" t="s">
        <v>42</v>
      </c>
      <c r="AA125" s="29"/>
      <c r="AB125" s="29" t="s">
        <v>804</v>
      </c>
      <c r="AC125" s="59">
        <v>44623</v>
      </c>
      <c r="AD125" s="59"/>
      <c r="AE125" s="29"/>
      <c r="AF125" s="29"/>
      <c r="AG125" s="29"/>
      <c r="AH125" s="29"/>
      <c r="AI125" s="29" t="s">
        <v>19</v>
      </c>
      <c r="AJ125" s="139"/>
      <c r="AK125" s="28"/>
      <c r="AL125" s="102" t="s">
        <v>805</v>
      </c>
      <c r="AM125" s="41" t="str">
        <f>VLOOKUP(Table2[[#This Row],[country]],Countrycode!A:B,2,FALSE)</f>
        <v>SYR</v>
      </c>
      <c r="AN125" s="34">
        <f>IF(ISBLANK(Table2[[#This Row],[Need_RRA]]), 2,(IF(Table2[[#This Row],[Need_RRA]]="No", 0, (IF(AND(Table2[[#This Row],[Need_RRA]]="Yes",  Table2[[#This Row],[RRA_pub_date]]=""),1, 0)))))</f>
        <v>0</v>
      </c>
      <c r="AO125" s="34">
        <f>IF(ISBLANK(Table2[[#This Row],[Need_EIS]]), 2,(IF(Table2[[#This Row],[Need_EIS]]="No", 0, (IF(AND(Table2[[#This Row],[Need_EIS]]="Yes",  Table2[[#This Row],[EIS_pub_date]]=""),1, 0)))))</f>
        <v>0</v>
      </c>
      <c r="AP125" s="34">
        <f>IF(ISBLANK(Table2[[#This Row],[Need_DON]]), 2,(IF(Table2[[#This Row],[Need_DON]]="No", 0, (IF(AND(Table2[[#This Row],[Need_DON]]="Yes",  Table2[[#This Row],[DON_pub_date]]=""),1, 0)))))</f>
        <v>0</v>
      </c>
      <c r="AQ125" s="34">
        <f>IF(ISBLANK(Table2[[#This Row],[Pending_question]]), 2,(IF(Table2[[#This Row],[Pending_question]]="Yes", 1, 0)))</f>
        <v>0</v>
      </c>
      <c r="AR125" s="43"/>
    </row>
    <row r="126" spans="1:44" ht="15" customHeight="1">
      <c r="A126" s="63">
        <v>44624</v>
      </c>
      <c r="B126" s="29" t="s">
        <v>15</v>
      </c>
      <c r="C126" s="34" t="str" cm="1">
        <f t="array" ref="C12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26" s="27" t="s">
        <v>456</v>
      </c>
      <c r="E126" s="67" t="s">
        <v>252</v>
      </c>
      <c r="F126" s="29" t="s">
        <v>287</v>
      </c>
      <c r="G126" s="29" t="s">
        <v>34</v>
      </c>
      <c r="H126" s="59">
        <v>44624</v>
      </c>
      <c r="I126" s="59">
        <v>44627</v>
      </c>
      <c r="J126" s="59">
        <v>44632</v>
      </c>
      <c r="K126" s="59" t="s">
        <v>806</v>
      </c>
      <c r="L126" s="112" t="s">
        <v>807</v>
      </c>
      <c r="M126" s="70" t="s">
        <v>19</v>
      </c>
      <c r="N126" s="59"/>
      <c r="O126" s="85"/>
      <c r="P126" s="59" t="s">
        <v>19</v>
      </c>
      <c r="Q126" s="84">
        <v>2</v>
      </c>
      <c r="R126" s="29" t="s">
        <v>808</v>
      </c>
      <c r="S126" s="59">
        <v>44624</v>
      </c>
      <c r="T126" s="59"/>
      <c r="U126" s="29"/>
      <c r="V126" s="29"/>
      <c r="W126" s="29"/>
      <c r="X126" s="27"/>
      <c r="Y126" s="29" t="s">
        <v>30</v>
      </c>
      <c r="Z126" s="29" t="s">
        <v>42</v>
      </c>
      <c r="AA126" s="29"/>
      <c r="AB126" s="29" t="s">
        <v>809</v>
      </c>
      <c r="AC126" s="59">
        <v>44629</v>
      </c>
      <c r="AD126" s="59"/>
      <c r="AE126" s="59">
        <v>44631</v>
      </c>
      <c r="AF126" s="59">
        <v>44634</v>
      </c>
      <c r="AG126" s="59">
        <v>44634</v>
      </c>
      <c r="AH126" s="85">
        <v>44636</v>
      </c>
      <c r="AI126" s="29" t="s">
        <v>30</v>
      </c>
      <c r="AJ126" s="139"/>
      <c r="AK126" s="86">
        <v>44645</v>
      </c>
      <c r="AL126" s="102"/>
      <c r="AM126" s="41" t="str">
        <f>VLOOKUP(Table2[[#This Row],[country]],Countrycode!A:B,2,FALSE)</f>
        <v>KEN</v>
      </c>
      <c r="AN126" s="34">
        <f>IF(ISBLANK(Table2[[#This Row],[Need_RRA]]), 2,(IF(Table2[[#This Row],[Need_RRA]]="No", 0, (IF(AND(Table2[[#This Row],[Need_RRA]]="Yes",  Table2[[#This Row],[RRA_pub_date]]=""),1, 0)))))</f>
        <v>0</v>
      </c>
      <c r="AO126" s="34">
        <f>IF(ISBLANK(Table2[[#This Row],[Need_EIS]]), 2,(IF(Table2[[#This Row],[Need_EIS]]="No", 0, (IF(AND(Table2[[#This Row],[Need_EIS]]="Yes",  Table2[[#This Row],[EIS_pub_date]]=""),1, 0)))))</f>
        <v>0</v>
      </c>
      <c r="AP126" s="34">
        <f>IF(ISBLANK(Table2[[#This Row],[Need_DON]]), 2,(IF(Table2[[#This Row],[Need_DON]]="No", 0, (IF(AND(Table2[[#This Row],[Need_DON]]="Yes",  Table2[[#This Row],[DON_pub_date]]=""),1, 0)))))</f>
        <v>0</v>
      </c>
      <c r="AQ126" s="34">
        <f>IF(ISBLANK(Table2[[#This Row],[Pending_question]]), 2,(IF(Table2[[#This Row],[Pending_question]]="Yes", 1, 0)))</f>
        <v>0</v>
      </c>
      <c r="AR126" s="43"/>
    </row>
    <row r="127" spans="1:44" ht="15" customHeight="1">
      <c r="A127" s="63">
        <v>44624</v>
      </c>
      <c r="B127" s="29" t="s">
        <v>15</v>
      </c>
      <c r="C127" s="34" t="str" cm="1">
        <f t="array" ref="C12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27" s="27" t="s">
        <v>810</v>
      </c>
      <c r="E127" s="67" t="s">
        <v>252</v>
      </c>
      <c r="F127" s="29" t="s">
        <v>39</v>
      </c>
      <c r="G127" s="29" t="s">
        <v>660</v>
      </c>
      <c r="H127" s="29" t="s">
        <v>632</v>
      </c>
      <c r="I127" s="59" t="s">
        <v>632</v>
      </c>
      <c r="J127" s="29" t="s">
        <v>632</v>
      </c>
      <c r="K127" s="59" t="s">
        <v>632</v>
      </c>
      <c r="L127" s="85" t="s">
        <v>632</v>
      </c>
      <c r="M127" s="70" t="s">
        <v>19</v>
      </c>
      <c r="N127" s="59"/>
      <c r="O127" s="85"/>
      <c r="P127" s="59" t="s">
        <v>30</v>
      </c>
      <c r="Q127" s="84">
        <v>2</v>
      </c>
      <c r="R127" s="29" t="s">
        <v>811</v>
      </c>
      <c r="S127" s="59">
        <v>44624</v>
      </c>
      <c r="T127" s="59"/>
      <c r="U127" s="59">
        <v>44729</v>
      </c>
      <c r="V127" s="29" t="s">
        <v>34</v>
      </c>
      <c r="W127" s="29" t="s">
        <v>20</v>
      </c>
      <c r="X127" s="27" t="s">
        <v>51</v>
      </c>
      <c r="Y127" s="29" t="s">
        <v>30</v>
      </c>
      <c r="Z127" s="29" t="s">
        <v>33</v>
      </c>
      <c r="AA127" s="29"/>
      <c r="AB127" s="29" t="s">
        <v>812</v>
      </c>
      <c r="AC127" s="59">
        <v>44729</v>
      </c>
      <c r="AD127" s="59"/>
      <c r="AE127" s="59">
        <v>44792</v>
      </c>
      <c r="AF127" s="29" t="s">
        <v>632</v>
      </c>
      <c r="AG127" s="29" t="s">
        <v>632</v>
      </c>
      <c r="AH127" s="85">
        <v>44799</v>
      </c>
      <c r="AI127" s="29" t="s">
        <v>30</v>
      </c>
      <c r="AJ127" s="139"/>
      <c r="AK127" s="86">
        <v>44806</v>
      </c>
      <c r="AL127" s="102"/>
      <c r="AM127" s="41" t="str">
        <f>VLOOKUP(Table2[[#This Row],[country]],Countrycode!A:B,2,FALSE)</f>
        <v>MLX</v>
      </c>
      <c r="AN127" s="34">
        <f>IF(ISBLANK(Table2[[#This Row],[Need_RRA]]), 2,(IF(Table2[[#This Row],[Need_RRA]]="No", 0, (IF(AND(Table2[[#This Row],[Need_RRA]]="Yes",  Table2[[#This Row],[RRA_pub_date]]=""),1, 0)))))</f>
        <v>0</v>
      </c>
      <c r="AO127" s="34">
        <f>IF(ISBLANK(Table2[[#This Row],[Need_EIS]]), 2,(IF(Table2[[#This Row],[Need_EIS]]="No", 0, (IF(AND(Table2[[#This Row],[Need_EIS]]="Yes",  Table2[[#This Row],[EIS_pub_date]]=""),1, 0)))))</f>
        <v>0</v>
      </c>
      <c r="AP127" s="34">
        <f>IF(ISBLANK(Table2[[#This Row],[Need_DON]]), 2,(IF(Table2[[#This Row],[Need_DON]]="No", 0, (IF(AND(Table2[[#This Row],[Need_DON]]="Yes",  Table2[[#This Row],[DON_pub_date]]=""),1, 0)))))</f>
        <v>0</v>
      </c>
      <c r="AQ127" s="34">
        <f>IF(ISBLANK(Table2[[#This Row],[Pending_question]]), 2,(IF(Table2[[#This Row],[Pending_question]]="Yes", 1, 0)))</f>
        <v>0</v>
      </c>
      <c r="AR127" s="43"/>
    </row>
    <row r="128" spans="1:44" ht="15" customHeight="1">
      <c r="A128" s="63">
        <v>44624</v>
      </c>
      <c r="B128" s="29" t="s">
        <v>15</v>
      </c>
      <c r="C128" s="34" t="str" cm="1">
        <f t="array" ref="C12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28" s="27" t="s">
        <v>810</v>
      </c>
      <c r="E128" s="67" t="s">
        <v>252</v>
      </c>
      <c r="F128" s="29" t="s">
        <v>397</v>
      </c>
      <c r="G128" s="29" t="s">
        <v>34</v>
      </c>
      <c r="H128" s="29"/>
      <c r="I128" s="59">
        <v>44627</v>
      </c>
      <c r="J128" s="29"/>
      <c r="K128" s="59" t="s">
        <v>813</v>
      </c>
      <c r="L128" s="104" t="s">
        <v>814</v>
      </c>
      <c r="M128" s="70" t="s">
        <v>19</v>
      </c>
      <c r="N128" s="59"/>
      <c r="O128" s="85"/>
      <c r="P128" s="59" t="s">
        <v>19</v>
      </c>
      <c r="Q128" s="84">
        <v>2</v>
      </c>
      <c r="R128" s="29" t="s">
        <v>815</v>
      </c>
      <c r="S128" s="59">
        <v>44624</v>
      </c>
      <c r="T128" s="59"/>
      <c r="U128" s="29"/>
      <c r="V128" s="29"/>
      <c r="W128" s="29"/>
      <c r="X128" s="27"/>
      <c r="Y128" s="29" t="s">
        <v>30</v>
      </c>
      <c r="Z128" s="29" t="s">
        <v>21</v>
      </c>
      <c r="AA128" s="29"/>
      <c r="AB128" s="29" t="s">
        <v>816</v>
      </c>
      <c r="AC128" s="59">
        <v>44637</v>
      </c>
      <c r="AD128" s="59"/>
      <c r="AE128" s="59">
        <v>44643</v>
      </c>
      <c r="AF128" s="59">
        <v>44643</v>
      </c>
      <c r="AG128" s="29"/>
      <c r="AH128" s="85">
        <v>44672</v>
      </c>
      <c r="AI128" s="29" t="s">
        <v>30</v>
      </c>
      <c r="AJ128" s="139"/>
      <c r="AK128" s="86">
        <v>44676</v>
      </c>
      <c r="AL128" s="102" t="s">
        <v>817</v>
      </c>
      <c r="AM128" s="41" t="str">
        <f>VLOOKUP(Table2[[#This Row],[country]],Countrycode!A:B,2,FALSE)</f>
        <v>UGA</v>
      </c>
      <c r="AN128" s="34">
        <f>IF(ISBLANK(Table2[[#This Row],[Need_RRA]]), 2,(IF(Table2[[#This Row],[Need_RRA]]="No", 0, (IF(AND(Table2[[#This Row],[Need_RRA]]="Yes",  Table2[[#This Row],[RRA_pub_date]]=""),1, 0)))))</f>
        <v>0</v>
      </c>
      <c r="AO128" s="34">
        <f>IF(ISBLANK(Table2[[#This Row],[Need_EIS]]), 2,(IF(Table2[[#This Row],[Need_EIS]]="No", 0, (IF(AND(Table2[[#This Row],[Need_EIS]]="Yes",  Table2[[#This Row],[EIS_pub_date]]=""),1, 0)))))</f>
        <v>0</v>
      </c>
      <c r="AP128" s="34">
        <f>IF(ISBLANK(Table2[[#This Row],[Need_DON]]), 2,(IF(Table2[[#This Row],[Need_DON]]="No", 0, (IF(AND(Table2[[#This Row],[Need_DON]]="Yes",  Table2[[#This Row],[DON_pub_date]]=""),1, 0)))))</f>
        <v>0</v>
      </c>
      <c r="AQ128" s="34">
        <f>IF(ISBLANK(Table2[[#This Row],[Pending_question]]), 2,(IF(Table2[[#This Row],[Pending_question]]="Yes", 1, 0)))</f>
        <v>0</v>
      </c>
      <c r="AR128" s="43"/>
    </row>
    <row r="129" spans="1:44" ht="15" customHeight="1">
      <c r="A129" s="63">
        <v>44627</v>
      </c>
      <c r="B129" s="29" t="s">
        <v>15</v>
      </c>
      <c r="C129" s="34" t="str" cm="1">
        <f t="array" ref="C12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29" s="27" t="s">
        <v>738</v>
      </c>
      <c r="E129" s="67" t="s">
        <v>196</v>
      </c>
      <c r="F129" s="29" t="s">
        <v>280</v>
      </c>
      <c r="G129" s="29" t="s">
        <v>34</v>
      </c>
      <c r="H129" s="59">
        <v>44627</v>
      </c>
      <c r="I129" s="59"/>
      <c r="J129" s="59">
        <v>44627</v>
      </c>
      <c r="K129" s="59" t="s">
        <v>818</v>
      </c>
      <c r="L129" s="104" t="s">
        <v>819</v>
      </c>
      <c r="M129" s="70" t="s">
        <v>19</v>
      </c>
      <c r="N129" s="59"/>
      <c r="O129" s="85"/>
      <c r="P129" s="59" t="s">
        <v>19</v>
      </c>
      <c r="Q129" s="84"/>
      <c r="R129" s="29"/>
      <c r="S129" s="29"/>
      <c r="T129" s="59"/>
      <c r="U129" s="29"/>
      <c r="V129" s="29"/>
      <c r="W129" s="29"/>
      <c r="X129" s="27"/>
      <c r="Y129" s="29" t="s">
        <v>30</v>
      </c>
      <c r="Z129" s="29" t="s">
        <v>42</v>
      </c>
      <c r="AA129" s="29"/>
      <c r="AB129" s="29" t="s">
        <v>820</v>
      </c>
      <c r="AC129" s="59">
        <v>44628</v>
      </c>
      <c r="AD129" s="59"/>
      <c r="AE129" s="59">
        <v>44634</v>
      </c>
      <c r="AF129" s="59">
        <v>44634</v>
      </c>
      <c r="AG129" s="59">
        <v>44645</v>
      </c>
      <c r="AH129" s="85">
        <v>44649</v>
      </c>
      <c r="AI129" s="29" t="s">
        <v>30</v>
      </c>
      <c r="AJ129" s="139"/>
      <c r="AK129" s="86">
        <v>44666</v>
      </c>
      <c r="AL129" s="102"/>
      <c r="AM129" s="41" t="str">
        <f>VLOOKUP(Table2[[#This Row],[country]],Countrycode!A:B,2,FALSE)</f>
        <v>ISR</v>
      </c>
      <c r="AN129" s="34">
        <f>IF(ISBLANK(Table2[[#This Row],[Need_RRA]]), 2,(IF(Table2[[#This Row],[Need_RRA]]="No", 0, (IF(AND(Table2[[#This Row],[Need_RRA]]="Yes",  Table2[[#This Row],[RRA_pub_date]]=""),1, 0)))))</f>
        <v>0</v>
      </c>
      <c r="AO129" s="34">
        <f>IF(ISBLANK(Table2[[#This Row],[Need_EIS]]), 2,(IF(Table2[[#This Row],[Need_EIS]]="No", 0, (IF(AND(Table2[[#This Row],[Need_EIS]]="Yes",  Table2[[#This Row],[EIS_pub_date]]=""),1, 0)))))</f>
        <v>0</v>
      </c>
      <c r="AP129" s="34">
        <f>IF(ISBLANK(Table2[[#This Row],[Need_DON]]), 2,(IF(Table2[[#This Row],[Need_DON]]="No", 0, (IF(AND(Table2[[#This Row],[Need_DON]]="Yes",  Table2[[#This Row],[DON_pub_date]]=""),1, 0)))))</f>
        <v>0</v>
      </c>
      <c r="AQ129" s="34">
        <f>IF(ISBLANK(Table2[[#This Row],[Pending_question]]), 2,(IF(Table2[[#This Row],[Pending_question]]="Yes", 1, 0)))</f>
        <v>0</v>
      </c>
      <c r="AR129" s="43"/>
    </row>
    <row r="130" spans="1:44" ht="15" customHeight="1">
      <c r="A130" s="63">
        <v>44628</v>
      </c>
      <c r="B130" s="29" t="s">
        <v>15</v>
      </c>
      <c r="C130" s="34" t="str" cm="1">
        <f t="array" ref="C13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30" s="27" t="s">
        <v>821</v>
      </c>
      <c r="E130" s="67" t="s">
        <v>164</v>
      </c>
      <c r="F130" s="29" t="s">
        <v>105</v>
      </c>
      <c r="G130" s="29" t="s">
        <v>34</v>
      </c>
      <c r="H130" s="59">
        <v>44628</v>
      </c>
      <c r="I130" s="59">
        <v>44642</v>
      </c>
      <c r="J130" s="59">
        <v>44628</v>
      </c>
      <c r="K130" s="59" t="s">
        <v>822</v>
      </c>
      <c r="L130" s="104" t="s">
        <v>823</v>
      </c>
      <c r="M130" s="109" t="s">
        <v>30</v>
      </c>
      <c r="N130" s="59" t="s">
        <v>824</v>
      </c>
      <c r="O130" s="85">
        <v>44663</v>
      </c>
      <c r="P130" s="59" t="s">
        <v>30</v>
      </c>
      <c r="Q130" s="84">
        <v>1</v>
      </c>
      <c r="R130" s="29" t="s">
        <v>825</v>
      </c>
      <c r="S130" s="59">
        <v>44629</v>
      </c>
      <c r="T130" s="59"/>
      <c r="U130" s="59">
        <v>44664</v>
      </c>
      <c r="V130" s="29" t="s">
        <v>32</v>
      </c>
      <c r="W130" s="29" t="s">
        <v>51</v>
      </c>
      <c r="X130" s="27" t="s">
        <v>51</v>
      </c>
      <c r="Y130" s="29" t="s">
        <v>30</v>
      </c>
      <c r="Z130" s="29" t="s">
        <v>42</v>
      </c>
      <c r="AA130" s="29"/>
      <c r="AB130" s="29" t="s">
        <v>826</v>
      </c>
      <c r="AC130" s="59">
        <v>44629</v>
      </c>
      <c r="AD130" s="59"/>
      <c r="AE130" s="59">
        <v>44631</v>
      </c>
      <c r="AF130" s="59">
        <v>44632</v>
      </c>
      <c r="AG130" s="59">
        <v>44638</v>
      </c>
      <c r="AH130" s="85">
        <v>44638</v>
      </c>
      <c r="AI130" s="29" t="s">
        <v>30</v>
      </c>
      <c r="AJ130" s="139"/>
      <c r="AK130" s="86">
        <v>44679</v>
      </c>
      <c r="AL130" s="102" t="s">
        <v>827</v>
      </c>
      <c r="AM130" s="41" t="str">
        <f>VLOOKUP(Table2[[#This Row],[country]],Countrycode!A:B,2,FALSE)</f>
        <v>AUS</v>
      </c>
      <c r="AN130" s="34">
        <f>IF(ISBLANK(Table2[[#This Row],[Need_RRA]]), 2,(IF(Table2[[#This Row],[Need_RRA]]="No", 0, (IF(AND(Table2[[#This Row],[Need_RRA]]="Yes",  Table2[[#This Row],[RRA_pub_date]]=""),1, 0)))))</f>
        <v>0</v>
      </c>
      <c r="AO130" s="34">
        <f>IF(ISBLANK(Table2[[#This Row],[Need_EIS]]), 2,(IF(Table2[[#This Row],[Need_EIS]]="No", 0, (IF(AND(Table2[[#This Row],[Need_EIS]]="Yes",  Table2[[#This Row],[EIS_pub_date]]=""),1, 0)))))</f>
        <v>0</v>
      </c>
      <c r="AP130" s="34">
        <f>IF(ISBLANK(Table2[[#This Row],[Need_DON]]), 2,(IF(Table2[[#This Row],[Need_DON]]="No", 0, (IF(AND(Table2[[#This Row],[Need_DON]]="Yes",  Table2[[#This Row],[DON_pub_date]]=""),1, 0)))))</f>
        <v>0</v>
      </c>
      <c r="AQ130" s="34">
        <f>IF(ISBLANK(Table2[[#This Row],[Pending_question]]), 2,(IF(Table2[[#This Row],[Pending_question]]="Yes", 1, 0)))</f>
        <v>1</v>
      </c>
      <c r="AR130" s="43"/>
    </row>
    <row r="131" spans="1:44" ht="15" customHeight="1">
      <c r="A131" s="63">
        <v>44629</v>
      </c>
      <c r="B131" s="29" t="s">
        <v>15</v>
      </c>
      <c r="C131" s="34" t="str" cm="1">
        <f t="array" ref="C13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31" s="27" t="s">
        <v>738</v>
      </c>
      <c r="E131" s="67" t="s">
        <v>176</v>
      </c>
      <c r="F131" s="54" t="s">
        <v>373</v>
      </c>
      <c r="G131" s="29" t="s">
        <v>34</v>
      </c>
      <c r="H131" s="55">
        <v>44629</v>
      </c>
      <c r="I131" s="59"/>
      <c r="J131" s="55">
        <v>44629</v>
      </c>
      <c r="K131" s="59" t="s">
        <v>828</v>
      </c>
      <c r="L131" s="112" t="s">
        <v>829</v>
      </c>
      <c r="M131" s="70" t="s">
        <v>19</v>
      </c>
      <c r="N131" s="55"/>
      <c r="O131" s="71"/>
      <c r="P131" s="59" t="s">
        <v>30</v>
      </c>
      <c r="Q131" s="84">
        <v>1</v>
      </c>
      <c r="R131" s="29" t="s">
        <v>830</v>
      </c>
      <c r="S131" s="59">
        <v>44629</v>
      </c>
      <c r="T131" s="59"/>
      <c r="U131" s="59">
        <v>44656</v>
      </c>
      <c r="V131" s="29" t="s">
        <v>41</v>
      </c>
      <c r="W131" s="29" t="s">
        <v>32</v>
      </c>
      <c r="X131" s="27" t="s">
        <v>51</v>
      </c>
      <c r="Y131" s="54" t="s">
        <v>30</v>
      </c>
      <c r="Z131" s="29" t="s">
        <v>42</v>
      </c>
      <c r="AA131" s="29"/>
      <c r="AB131" s="54" t="s">
        <v>831</v>
      </c>
      <c r="AC131" s="59">
        <v>44649</v>
      </c>
      <c r="AD131" s="59"/>
      <c r="AE131" s="29"/>
      <c r="AF131" s="29"/>
      <c r="AG131" s="29"/>
      <c r="AH131" s="85">
        <v>44671</v>
      </c>
      <c r="AI131" s="54" t="s">
        <v>30</v>
      </c>
      <c r="AJ131" s="139"/>
      <c r="AK131" s="86">
        <v>44678</v>
      </c>
      <c r="AL131" s="102" t="s">
        <v>832</v>
      </c>
      <c r="AM131" s="41" t="str">
        <f>VLOOKUP(Table2[[#This Row],[country]],Countrycode!A:B,2,FALSE)</f>
        <v>SOM</v>
      </c>
      <c r="AN131" s="34">
        <f>IF(ISBLANK(Table2[[#This Row],[Need_RRA]]), 2,(IF(Table2[[#This Row],[Need_RRA]]="No", 0, (IF(AND(Table2[[#This Row],[Need_RRA]]="Yes",  Table2[[#This Row],[RRA_pub_date]]=""),1, 0)))))</f>
        <v>0</v>
      </c>
      <c r="AO131" s="34">
        <f>IF(ISBLANK(Table2[[#This Row],[Need_EIS]]), 2,(IF(Table2[[#This Row],[Need_EIS]]="No", 0, (IF(AND(Table2[[#This Row],[Need_EIS]]="Yes",  Table2[[#This Row],[EIS_pub_date]]=""),1, 0)))))</f>
        <v>0</v>
      </c>
      <c r="AP131" s="34">
        <f>IF(ISBLANK(Table2[[#This Row],[Need_DON]]), 2,(IF(Table2[[#This Row],[Need_DON]]="No", 0, (IF(AND(Table2[[#This Row],[Need_DON]]="Yes",  Table2[[#This Row],[DON_pub_date]]=""),1, 0)))))</f>
        <v>0</v>
      </c>
      <c r="AQ131" s="34">
        <f>IF(ISBLANK(Table2[[#This Row],[Pending_question]]), 2,(IF(Table2[[#This Row],[Pending_question]]="Yes", 1, 0)))</f>
        <v>0</v>
      </c>
      <c r="AR131" s="43"/>
    </row>
    <row r="132" spans="1:44" ht="15" customHeight="1">
      <c r="A132" s="63">
        <v>44631</v>
      </c>
      <c r="B132" s="29" t="s">
        <v>15</v>
      </c>
      <c r="C132" s="34" t="str" cm="1">
        <f t="array" ref="C13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32" s="27" t="s">
        <v>833</v>
      </c>
      <c r="E132" s="67" t="s">
        <v>110</v>
      </c>
      <c r="F132" s="29" t="s">
        <v>173</v>
      </c>
      <c r="G132" s="29" t="s">
        <v>34</v>
      </c>
      <c r="H132" s="59">
        <v>44631</v>
      </c>
      <c r="I132" s="59">
        <v>44634</v>
      </c>
      <c r="J132" s="59">
        <v>44630</v>
      </c>
      <c r="K132" s="59" t="s">
        <v>694</v>
      </c>
      <c r="L132" s="112" t="s">
        <v>795</v>
      </c>
      <c r="M132" s="70" t="s">
        <v>19</v>
      </c>
      <c r="N132" s="59"/>
      <c r="O132" s="85"/>
      <c r="P132" s="59" t="s">
        <v>19</v>
      </c>
      <c r="Q132" s="84"/>
      <c r="R132" s="29"/>
      <c r="S132" s="29"/>
      <c r="T132" s="59"/>
      <c r="U132" s="29"/>
      <c r="V132" s="29"/>
      <c r="W132" s="29"/>
      <c r="X132" s="27"/>
      <c r="Y132" s="29" t="s">
        <v>30</v>
      </c>
      <c r="Z132" s="29" t="s">
        <v>42</v>
      </c>
      <c r="AA132" s="29"/>
      <c r="AB132" s="29" t="s">
        <v>834</v>
      </c>
      <c r="AC132" s="59">
        <v>44631</v>
      </c>
      <c r="AD132" s="59"/>
      <c r="AE132" s="59">
        <v>44631</v>
      </c>
      <c r="AF132" s="59">
        <v>44635</v>
      </c>
      <c r="AG132" s="59">
        <v>44635</v>
      </c>
      <c r="AH132" s="85">
        <v>44635</v>
      </c>
      <c r="AI132" s="29" t="s">
        <v>19</v>
      </c>
      <c r="AJ132" s="139"/>
      <c r="AK132" s="28"/>
      <c r="AL132" s="102"/>
      <c r="AM132" s="41" t="str">
        <f>VLOOKUP(Table2[[#This Row],[country]],Countrycode!A:B,2,FALSE)</f>
        <v>CHN</v>
      </c>
      <c r="AN132" s="34">
        <f>IF(ISBLANK(Table2[[#This Row],[Need_RRA]]), 2,(IF(Table2[[#This Row],[Need_RRA]]="No", 0, (IF(AND(Table2[[#This Row],[Need_RRA]]="Yes",  Table2[[#This Row],[RRA_pub_date]]=""),1, 0)))))</f>
        <v>0</v>
      </c>
      <c r="AO132" s="34">
        <f>IF(ISBLANK(Table2[[#This Row],[Need_EIS]]), 2,(IF(Table2[[#This Row],[Need_EIS]]="No", 0, (IF(AND(Table2[[#This Row],[Need_EIS]]="Yes",  Table2[[#This Row],[EIS_pub_date]]=""),1, 0)))))</f>
        <v>0</v>
      </c>
      <c r="AP132" s="34">
        <f>IF(ISBLANK(Table2[[#This Row],[Need_DON]]), 2,(IF(Table2[[#This Row],[Need_DON]]="No", 0, (IF(AND(Table2[[#This Row],[Need_DON]]="Yes",  Table2[[#This Row],[DON_pub_date]]=""),1, 0)))))</f>
        <v>0</v>
      </c>
      <c r="AQ132" s="34">
        <f>IF(ISBLANK(Table2[[#This Row],[Pending_question]]), 2,(IF(Table2[[#This Row],[Pending_question]]="Yes", 1, 0)))</f>
        <v>0</v>
      </c>
      <c r="AR132" s="43"/>
    </row>
    <row r="133" spans="1:44" ht="15" customHeight="1">
      <c r="A133" s="63">
        <v>44634</v>
      </c>
      <c r="B133" s="29" t="s">
        <v>15</v>
      </c>
      <c r="C133" s="34" t="str" cm="1">
        <f t="array" ref="C13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33" s="27" t="s">
        <v>833</v>
      </c>
      <c r="E133" s="67" t="s">
        <v>110</v>
      </c>
      <c r="F133" s="29" t="s">
        <v>159</v>
      </c>
      <c r="G133" s="29" t="s">
        <v>34</v>
      </c>
      <c r="H133" s="59">
        <v>44634</v>
      </c>
      <c r="I133" s="59">
        <v>44637</v>
      </c>
      <c r="J133" s="59">
        <v>44634</v>
      </c>
      <c r="K133" s="59" t="s">
        <v>835</v>
      </c>
      <c r="L133" s="112" t="s">
        <v>836</v>
      </c>
      <c r="M133" s="67" t="s">
        <v>19</v>
      </c>
      <c r="N133" s="59"/>
      <c r="O133" s="85"/>
      <c r="P133" s="59" t="s">
        <v>19</v>
      </c>
      <c r="Q133" s="84"/>
      <c r="R133" s="29"/>
      <c r="S133" s="29"/>
      <c r="T133" s="59"/>
      <c r="U133" s="29"/>
      <c r="V133" s="29"/>
      <c r="W133" s="29"/>
      <c r="X133" s="27"/>
      <c r="Y133" s="29" t="s">
        <v>30</v>
      </c>
      <c r="Z133" s="29" t="s">
        <v>42</v>
      </c>
      <c r="AA133" s="29"/>
      <c r="AB133" s="29" t="s">
        <v>837</v>
      </c>
      <c r="AC133" s="59">
        <v>44634</v>
      </c>
      <c r="AD133" s="59"/>
      <c r="AE133" s="59">
        <v>44634</v>
      </c>
      <c r="AF133" s="59">
        <v>44637</v>
      </c>
      <c r="AG133" s="59">
        <v>44642</v>
      </c>
      <c r="AH133" s="59">
        <v>44642</v>
      </c>
      <c r="AI133" s="29" t="s">
        <v>19</v>
      </c>
      <c r="AJ133" s="139"/>
      <c r="AK133" s="28"/>
      <c r="AL133" s="102"/>
      <c r="AM133" s="41" t="str">
        <f>VLOOKUP(Table2[[#This Row],[country]],Countrycode!A:B,2,FALSE)</f>
        <v>KHM</v>
      </c>
      <c r="AN133" s="34">
        <f>IF(ISBLANK(Table2[[#This Row],[Need_RRA]]), 2,(IF(Table2[[#This Row],[Need_RRA]]="No", 0, (IF(AND(Table2[[#This Row],[Need_RRA]]="Yes",  Table2[[#This Row],[RRA_pub_date]]=""),1, 0)))))</f>
        <v>0</v>
      </c>
      <c r="AO133" s="34">
        <f>IF(ISBLANK(Table2[[#This Row],[Need_EIS]]), 2,(IF(Table2[[#This Row],[Need_EIS]]="No", 0, (IF(AND(Table2[[#This Row],[Need_EIS]]="Yes",  Table2[[#This Row],[EIS_pub_date]]=""),1, 0)))))</f>
        <v>0</v>
      </c>
      <c r="AP133" s="34">
        <f>IF(ISBLANK(Table2[[#This Row],[Need_DON]]), 2,(IF(Table2[[#This Row],[Need_DON]]="No", 0, (IF(AND(Table2[[#This Row],[Need_DON]]="Yes",  Table2[[#This Row],[DON_pub_date]]=""),1, 0)))))</f>
        <v>0</v>
      </c>
      <c r="AQ133" s="34">
        <f>IF(ISBLANK(Table2[[#This Row],[Pending_question]]), 2,(IF(Table2[[#This Row],[Pending_question]]="Yes", 1, 0)))</f>
        <v>0</v>
      </c>
      <c r="AR133" s="43"/>
    </row>
    <row r="134" spans="1:44" ht="15" customHeight="1">
      <c r="A134" s="63">
        <v>44635</v>
      </c>
      <c r="B134" s="29" t="s">
        <v>15</v>
      </c>
      <c r="C134" s="34" t="str" cm="1">
        <f t="array" ref="C13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34" s="27" t="s">
        <v>838</v>
      </c>
      <c r="E134" s="67" t="s">
        <v>176</v>
      </c>
      <c r="F134" s="29" t="s">
        <v>335</v>
      </c>
      <c r="G134" s="29" t="s">
        <v>34</v>
      </c>
      <c r="H134" s="59">
        <v>44635</v>
      </c>
      <c r="I134" s="59"/>
      <c r="J134" s="59">
        <v>44222</v>
      </c>
      <c r="K134" s="59" t="s">
        <v>839</v>
      </c>
      <c r="L134" s="85" t="s">
        <v>840</v>
      </c>
      <c r="M134" s="70" t="s">
        <v>19</v>
      </c>
      <c r="N134" s="59"/>
      <c r="O134" s="85"/>
      <c r="P134" s="59" t="s">
        <v>30</v>
      </c>
      <c r="Q134" s="84">
        <v>1</v>
      </c>
      <c r="R134" s="29" t="s">
        <v>841</v>
      </c>
      <c r="S134" s="59">
        <v>44825</v>
      </c>
      <c r="T134" s="59">
        <v>44825</v>
      </c>
      <c r="U134" s="59">
        <v>44846</v>
      </c>
      <c r="V134" s="29" t="s">
        <v>20</v>
      </c>
      <c r="W134" s="29" t="s">
        <v>32</v>
      </c>
      <c r="X134" s="27" t="s">
        <v>51</v>
      </c>
      <c r="Y134" s="29" t="s">
        <v>19</v>
      </c>
      <c r="Z134" s="29" t="s">
        <v>34</v>
      </c>
      <c r="AA134" s="29" t="s">
        <v>22</v>
      </c>
      <c r="AB134" s="29" t="s">
        <v>842</v>
      </c>
      <c r="AC134" s="59">
        <v>44846</v>
      </c>
      <c r="AD134" s="59">
        <v>44853</v>
      </c>
      <c r="AE134" s="59">
        <v>44854</v>
      </c>
      <c r="AF134" s="59">
        <v>44854</v>
      </c>
      <c r="AG134" s="27"/>
      <c r="AH134" s="27"/>
      <c r="AI134" s="29" t="s">
        <v>19</v>
      </c>
      <c r="AJ134" s="139"/>
      <c r="AK134" s="28"/>
      <c r="AL134" s="102"/>
      <c r="AM134" s="41" t="str">
        <f>VLOOKUP(Table2[[#This Row],[country]],Countrycode!A:B,2,FALSE)</f>
        <v>PAK</v>
      </c>
      <c r="AN134" s="34">
        <f>IF(ISBLANK(Table2[[#This Row],[Need_RRA]]), 2,(IF(Table2[[#This Row],[Need_RRA]]="No", 0, (IF(AND(Table2[[#This Row],[Need_RRA]]="Yes",  Table2[[#This Row],[RRA_pub_date]]=""),1, 0)))))</f>
        <v>0</v>
      </c>
      <c r="AO134" s="34">
        <f>IF(ISBLANK(Table2[[#This Row],[Need_EIS]]), 2,(IF(Table2[[#This Row],[Need_EIS]]="No", 0, (IF(AND(Table2[[#This Row],[Need_EIS]]="Yes",  Table2[[#This Row],[EIS_pub_date]]=""),1, 0)))))</f>
        <v>0</v>
      </c>
      <c r="AP134" s="34">
        <f>IF(ISBLANK(Table2[[#This Row],[Need_DON]]), 2,(IF(Table2[[#This Row],[Need_DON]]="No", 0, (IF(AND(Table2[[#This Row],[Need_DON]]="Yes",  Table2[[#This Row],[DON_pub_date]]=""),1, 0)))))</f>
        <v>0</v>
      </c>
      <c r="AQ134" s="34">
        <f>IF(ISBLANK(Table2[[#This Row],[Pending_question]]), 2,(IF(Table2[[#This Row],[Pending_question]]="Yes", 1, 0)))</f>
        <v>0</v>
      </c>
      <c r="AR134" s="43"/>
    </row>
    <row r="135" spans="1:44" ht="15" customHeight="1">
      <c r="A135" s="63">
        <v>44637</v>
      </c>
      <c r="B135" s="29" t="s">
        <v>15</v>
      </c>
      <c r="C135" s="34" t="str" cm="1">
        <f t="array" ref="C13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35" s="27" t="s">
        <v>843</v>
      </c>
      <c r="E135" s="67" t="s">
        <v>128</v>
      </c>
      <c r="F135" s="29" t="s">
        <v>301</v>
      </c>
      <c r="G135" s="29" t="s">
        <v>34</v>
      </c>
      <c r="H135" s="29"/>
      <c r="I135" s="59">
        <v>44644</v>
      </c>
      <c r="J135" s="59">
        <v>44637</v>
      </c>
      <c r="K135" s="59" t="s">
        <v>844</v>
      </c>
      <c r="L135" s="104" t="s">
        <v>845</v>
      </c>
      <c r="M135" s="70" t="s">
        <v>19</v>
      </c>
      <c r="N135" s="59"/>
      <c r="O135" s="85"/>
      <c r="P135" s="59" t="s">
        <v>30</v>
      </c>
      <c r="Q135" s="84">
        <v>1</v>
      </c>
      <c r="R135" s="29" t="s">
        <v>846</v>
      </c>
      <c r="S135" s="59">
        <v>44653</v>
      </c>
      <c r="T135" s="59"/>
      <c r="U135" s="59">
        <v>44659</v>
      </c>
      <c r="V135" s="29" t="s">
        <v>20</v>
      </c>
      <c r="W135" s="29" t="s">
        <v>20</v>
      </c>
      <c r="X135" s="27" t="s">
        <v>51</v>
      </c>
      <c r="Y135" s="29" t="s">
        <v>30</v>
      </c>
      <c r="Z135" s="29" t="s">
        <v>42</v>
      </c>
      <c r="AA135" s="29"/>
      <c r="AB135" s="29" t="s">
        <v>847</v>
      </c>
      <c r="AC135" s="59">
        <v>44659</v>
      </c>
      <c r="AD135" s="59"/>
      <c r="AE135" s="59">
        <v>44664</v>
      </c>
      <c r="AF135" s="29"/>
      <c r="AG135" s="59">
        <v>44671</v>
      </c>
      <c r="AH135" s="85">
        <v>44672</v>
      </c>
      <c r="AI135" s="29" t="s">
        <v>30</v>
      </c>
      <c r="AJ135" s="139"/>
      <c r="AK135" s="86">
        <v>44678</v>
      </c>
      <c r="AL135" s="102"/>
      <c r="AM135" s="41" t="str">
        <f>VLOOKUP(Table2[[#This Row],[country]],Countrycode!A:B,2,FALSE)</f>
        <v>MWI</v>
      </c>
      <c r="AN135" s="34">
        <f>IF(ISBLANK(Table2[[#This Row],[Need_RRA]]), 2,(IF(Table2[[#This Row],[Need_RRA]]="No", 0, (IF(AND(Table2[[#This Row],[Need_RRA]]="Yes",  Table2[[#This Row],[RRA_pub_date]]=""),1, 0)))))</f>
        <v>0</v>
      </c>
      <c r="AO135" s="34">
        <f>IF(ISBLANK(Table2[[#This Row],[Need_EIS]]), 2,(IF(Table2[[#This Row],[Need_EIS]]="No", 0, (IF(AND(Table2[[#This Row],[Need_EIS]]="Yes",  Table2[[#This Row],[EIS_pub_date]]=""),1, 0)))))</f>
        <v>0</v>
      </c>
      <c r="AP135" s="34">
        <f>IF(ISBLANK(Table2[[#This Row],[Need_DON]]), 2,(IF(Table2[[#This Row],[Need_DON]]="No", 0, (IF(AND(Table2[[#This Row],[Need_DON]]="Yes",  Table2[[#This Row],[DON_pub_date]]=""),1, 0)))))</f>
        <v>0</v>
      </c>
      <c r="AQ135" s="34">
        <f>IF(ISBLANK(Table2[[#This Row],[Pending_question]]), 2,(IF(Table2[[#This Row],[Pending_question]]="Yes", 1, 0)))</f>
        <v>0</v>
      </c>
      <c r="AR135" s="43"/>
    </row>
    <row r="136" spans="1:44" ht="15" customHeight="1">
      <c r="A136" s="63">
        <v>44638</v>
      </c>
      <c r="B136" s="29" t="s">
        <v>15</v>
      </c>
      <c r="C136" s="34" t="str" cm="1">
        <f t="array" ref="C13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36" s="27" t="s">
        <v>735</v>
      </c>
      <c r="E136" s="67" t="s">
        <v>134</v>
      </c>
      <c r="F136" s="29" t="s">
        <v>277</v>
      </c>
      <c r="G136" s="29" t="s">
        <v>34</v>
      </c>
      <c r="H136" s="55">
        <v>44638</v>
      </c>
      <c r="I136" s="59">
        <v>44691</v>
      </c>
      <c r="J136" s="59">
        <v>44672</v>
      </c>
      <c r="K136" s="59" t="s">
        <v>848</v>
      </c>
      <c r="L136" s="85" t="s">
        <v>849</v>
      </c>
      <c r="M136" s="67" t="s">
        <v>19</v>
      </c>
      <c r="N136" s="59"/>
      <c r="O136" s="85"/>
      <c r="P136" s="59" t="s">
        <v>30</v>
      </c>
      <c r="Q136" s="84">
        <v>1</v>
      </c>
      <c r="R136" s="29" t="s">
        <v>850</v>
      </c>
      <c r="S136" s="59">
        <v>44691</v>
      </c>
      <c r="T136" s="59"/>
      <c r="U136" s="59">
        <v>44715</v>
      </c>
      <c r="V136" s="29" t="s">
        <v>41</v>
      </c>
      <c r="W136" s="29" t="s">
        <v>32</v>
      </c>
      <c r="X136" s="27" t="s">
        <v>51</v>
      </c>
      <c r="Y136" s="29" t="s">
        <v>30</v>
      </c>
      <c r="Z136" s="29" t="s">
        <v>42</v>
      </c>
      <c r="AA136" s="29"/>
      <c r="AB136" s="29" t="s">
        <v>851</v>
      </c>
      <c r="AC136" s="59">
        <v>44691</v>
      </c>
      <c r="AD136" s="59"/>
      <c r="AE136" s="59">
        <v>44692</v>
      </c>
      <c r="AF136" s="29"/>
      <c r="AG136" s="29"/>
      <c r="AH136" s="85">
        <v>44704</v>
      </c>
      <c r="AI136" s="29" t="s">
        <v>30</v>
      </c>
      <c r="AJ136" s="139"/>
      <c r="AK136" s="86">
        <v>44713</v>
      </c>
      <c r="AL136" s="102"/>
      <c r="AM136" s="41" t="str">
        <f>VLOOKUP(Table2[[#This Row],[country]],Countrycode!A:B,2,FALSE)</f>
        <v>IRQ</v>
      </c>
      <c r="AN136" s="34">
        <f>IF(ISBLANK(Table2[[#This Row],[Need_RRA]]), 2,(IF(Table2[[#This Row],[Need_RRA]]="No", 0, (IF(AND(Table2[[#This Row],[Need_RRA]]="Yes",  Table2[[#This Row],[RRA_pub_date]]=""),1, 0)))))</f>
        <v>0</v>
      </c>
      <c r="AO136" s="34">
        <f>IF(ISBLANK(Table2[[#This Row],[Need_EIS]]), 2,(IF(Table2[[#This Row],[Need_EIS]]="No", 0, (IF(AND(Table2[[#This Row],[Need_EIS]]="Yes",  Table2[[#This Row],[EIS_pub_date]]=""),1, 0)))))</f>
        <v>0</v>
      </c>
      <c r="AP136" s="34">
        <f>IF(ISBLANK(Table2[[#This Row],[Need_DON]]), 2,(IF(Table2[[#This Row],[Need_DON]]="No", 0, (IF(AND(Table2[[#This Row],[Need_DON]]="Yes",  Table2[[#This Row],[DON_pub_date]]=""),1, 0)))))</f>
        <v>0</v>
      </c>
      <c r="AQ136" s="34">
        <f>IF(ISBLANK(Table2[[#This Row],[Pending_question]]), 2,(IF(Table2[[#This Row],[Pending_question]]="Yes", 1, 0)))</f>
        <v>0</v>
      </c>
      <c r="AR136" s="43"/>
    </row>
    <row r="137" spans="1:44" ht="15" customHeight="1">
      <c r="A137" s="63">
        <v>44641</v>
      </c>
      <c r="B137" s="29" t="s">
        <v>15</v>
      </c>
      <c r="C137" s="34" t="str" cm="1">
        <f t="array" ref="C13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37" s="27" t="s">
        <v>833</v>
      </c>
      <c r="E137" s="67" t="s">
        <v>180</v>
      </c>
      <c r="F137" s="29" t="s">
        <v>363</v>
      </c>
      <c r="G137" s="29" t="s">
        <v>34</v>
      </c>
      <c r="H137" s="59">
        <v>44641</v>
      </c>
      <c r="I137" s="59"/>
      <c r="J137" s="59">
        <v>44620</v>
      </c>
      <c r="K137" s="59" t="s">
        <v>852</v>
      </c>
      <c r="L137" s="112" t="s">
        <v>853</v>
      </c>
      <c r="M137" s="121" t="s">
        <v>30</v>
      </c>
      <c r="N137" s="59" t="s">
        <v>854</v>
      </c>
      <c r="O137" s="85">
        <v>44644</v>
      </c>
      <c r="P137" s="59" t="s">
        <v>19</v>
      </c>
      <c r="Q137" s="84"/>
      <c r="R137" s="29"/>
      <c r="S137" s="29"/>
      <c r="T137" s="59"/>
      <c r="U137" s="29"/>
      <c r="V137" s="29"/>
      <c r="W137" s="29"/>
      <c r="X137" s="27"/>
      <c r="Y137" s="29" t="s">
        <v>30</v>
      </c>
      <c r="Z137" s="29" t="s">
        <v>21</v>
      </c>
      <c r="AA137" s="29"/>
      <c r="AB137" s="122" t="s">
        <v>855</v>
      </c>
      <c r="AC137" s="59">
        <v>44623</v>
      </c>
      <c r="AD137" s="59"/>
      <c r="AE137" s="59">
        <v>44627</v>
      </c>
      <c r="AF137" s="59">
        <v>44629</v>
      </c>
      <c r="AG137" s="59">
        <v>44637</v>
      </c>
      <c r="AH137" s="85">
        <v>44644</v>
      </c>
      <c r="AI137" s="29" t="s">
        <v>30</v>
      </c>
      <c r="AJ137" s="139"/>
      <c r="AK137" s="362">
        <v>44658</v>
      </c>
      <c r="AL137" s="102"/>
      <c r="AM137" s="41" t="str">
        <f>VLOOKUP(Table2[[#This Row],[country]],Countrycode!A:B,2,FALSE)</f>
        <v>SAU</v>
      </c>
      <c r="AN137" s="34">
        <f>IF(ISBLANK(Table2[[#This Row],[Need_RRA]]), 2,(IF(Table2[[#This Row],[Need_RRA]]="No", 0, (IF(AND(Table2[[#This Row],[Need_RRA]]="Yes",  Table2[[#This Row],[RRA_pub_date]]=""),1, 0)))))</f>
        <v>0</v>
      </c>
      <c r="AO137" s="34">
        <f>IF(ISBLANK(Table2[[#This Row],[Need_EIS]]), 2,(IF(Table2[[#This Row],[Need_EIS]]="No", 0, (IF(AND(Table2[[#This Row],[Need_EIS]]="Yes",  Table2[[#This Row],[EIS_pub_date]]=""),1, 0)))))</f>
        <v>0</v>
      </c>
      <c r="AP137" s="34">
        <f>IF(ISBLANK(Table2[[#This Row],[Need_DON]]), 2,(IF(Table2[[#This Row],[Need_DON]]="No", 0, (IF(AND(Table2[[#This Row],[Need_DON]]="Yes",  Table2[[#This Row],[DON_pub_date]]=""),1, 0)))))</f>
        <v>0</v>
      </c>
      <c r="AQ137" s="34">
        <f>IF(ISBLANK(Table2[[#This Row],[Pending_question]]), 2,(IF(Table2[[#This Row],[Pending_question]]="Yes", 1, 0)))</f>
        <v>1</v>
      </c>
      <c r="AR137" s="43"/>
    </row>
    <row r="138" spans="1:44" ht="15" customHeight="1">
      <c r="A138" s="63">
        <v>44642</v>
      </c>
      <c r="B138" s="29" t="s">
        <v>15</v>
      </c>
      <c r="C138" s="110" t="str" cm="1">
        <f t="array" ref="C13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38" s="27" t="s">
        <v>833</v>
      </c>
      <c r="E138" s="67" t="s">
        <v>180</v>
      </c>
      <c r="F138" s="29" t="s">
        <v>346</v>
      </c>
      <c r="G138" s="29" t="s">
        <v>34</v>
      </c>
      <c r="H138" s="59">
        <v>44642</v>
      </c>
      <c r="I138" s="59">
        <v>44643</v>
      </c>
      <c r="J138" s="59">
        <v>44642</v>
      </c>
      <c r="K138" s="59" t="s">
        <v>856</v>
      </c>
      <c r="L138" s="104" t="s">
        <v>857</v>
      </c>
      <c r="M138" s="121" t="s">
        <v>30</v>
      </c>
      <c r="N138" s="59" t="s">
        <v>858</v>
      </c>
      <c r="O138" s="85">
        <v>44680</v>
      </c>
      <c r="P138" s="59" t="s">
        <v>19</v>
      </c>
      <c r="Q138" s="84"/>
      <c r="R138" s="29"/>
      <c r="S138" s="29"/>
      <c r="T138" s="59"/>
      <c r="U138" s="29"/>
      <c r="V138" s="29"/>
      <c r="W138" s="29"/>
      <c r="X138" s="27"/>
      <c r="Y138" s="29" t="s">
        <v>30</v>
      </c>
      <c r="Z138" s="29" t="s">
        <v>42</v>
      </c>
      <c r="AA138" s="29"/>
      <c r="AB138" s="29" t="s">
        <v>859</v>
      </c>
      <c r="AC138" s="59">
        <v>44642</v>
      </c>
      <c r="AD138" s="59"/>
      <c r="AE138" s="59">
        <v>44643</v>
      </c>
      <c r="AF138" s="59">
        <v>44643</v>
      </c>
      <c r="AG138" s="59">
        <v>44679</v>
      </c>
      <c r="AH138" s="85">
        <v>44680</v>
      </c>
      <c r="AI138" s="29" t="s">
        <v>30</v>
      </c>
      <c r="AJ138" s="139"/>
      <c r="AK138" s="86">
        <v>44693</v>
      </c>
      <c r="AL138" s="102"/>
      <c r="AM138" s="41" t="str">
        <f>VLOOKUP(Table2[[#This Row],[country]],Countrycode!A:B,2,FALSE)</f>
        <v>QAT</v>
      </c>
      <c r="AN138" s="34">
        <f>IF(ISBLANK(Table2[[#This Row],[Need_RRA]]), 2,(IF(Table2[[#This Row],[Need_RRA]]="No", 0, (IF(AND(Table2[[#This Row],[Need_RRA]]="Yes",  Table2[[#This Row],[RRA_pub_date]]=""),1, 0)))))</f>
        <v>0</v>
      </c>
      <c r="AO138" s="34">
        <f>IF(ISBLANK(Table2[[#This Row],[Need_EIS]]), 2,(IF(Table2[[#This Row],[Need_EIS]]="No", 0, (IF(AND(Table2[[#This Row],[Need_EIS]]="Yes",  Table2[[#This Row],[EIS_pub_date]]=""),1, 0)))))</f>
        <v>0</v>
      </c>
      <c r="AP138" s="34">
        <f>IF(ISBLANK(Table2[[#This Row],[Need_DON]]), 2,(IF(Table2[[#This Row],[Need_DON]]="No", 0, (IF(AND(Table2[[#This Row],[Need_DON]]="Yes",  Table2[[#This Row],[DON_pub_date]]=""),1, 0)))))</f>
        <v>0</v>
      </c>
      <c r="AQ138" s="34">
        <f>IF(ISBLANK(Table2[[#This Row],[Pending_question]]), 2,(IF(Table2[[#This Row],[Pending_question]]="Yes", 1, 0)))</f>
        <v>1</v>
      </c>
      <c r="AR138" s="43"/>
    </row>
    <row r="139" spans="1:44" ht="15" customHeight="1">
      <c r="A139" s="63">
        <v>44643</v>
      </c>
      <c r="B139" s="29" t="s">
        <v>15</v>
      </c>
      <c r="C139" s="110" t="str" cm="1">
        <f t="array" ref="C13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39" s="27" t="s">
        <v>833</v>
      </c>
      <c r="E139" s="67" t="s">
        <v>148</v>
      </c>
      <c r="F139" s="29" t="s">
        <v>242</v>
      </c>
      <c r="G139" s="29" t="s">
        <v>34</v>
      </c>
      <c r="H139" s="59">
        <v>44643</v>
      </c>
      <c r="I139" s="59">
        <v>44645</v>
      </c>
      <c r="J139" s="59">
        <v>44642</v>
      </c>
      <c r="K139" s="59" t="s">
        <v>860</v>
      </c>
      <c r="L139" s="104" t="s">
        <v>861</v>
      </c>
      <c r="M139" s="121" t="s">
        <v>30</v>
      </c>
      <c r="N139" s="59" t="s">
        <v>862</v>
      </c>
      <c r="O139" s="85">
        <v>44645</v>
      </c>
      <c r="P139" s="59" t="s">
        <v>19</v>
      </c>
      <c r="Q139" s="84"/>
      <c r="R139" s="29"/>
      <c r="S139" s="29"/>
      <c r="T139" s="59"/>
      <c r="U139" s="29"/>
      <c r="V139" s="29"/>
      <c r="W139" s="29"/>
      <c r="X139" s="27"/>
      <c r="Y139" s="29" t="s">
        <v>30</v>
      </c>
      <c r="Z139" s="29" t="s">
        <v>42</v>
      </c>
      <c r="AA139" s="29"/>
      <c r="AB139" s="29" t="s">
        <v>863</v>
      </c>
      <c r="AC139" s="59">
        <v>44643</v>
      </c>
      <c r="AD139" s="59"/>
      <c r="AE139" s="59">
        <v>44644</v>
      </c>
      <c r="AF139" s="59">
        <v>44644</v>
      </c>
      <c r="AG139" s="59">
        <v>44645</v>
      </c>
      <c r="AH139" s="85">
        <v>44645</v>
      </c>
      <c r="AI139" s="29" t="s">
        <v>19</v>
      </c>
      <c r="AJ139" s="139"/>
      <c r="AK139" s="28"/>
      <c r="AL139" s="102" t="s">
        <v>864</v>
      </c>
      <c r="AM139" s="41" t="str">
        <f>VLOOKUP(Table2[[#This Row],[country]],Countrycode!A:B,2,FALSE)</f>
        <v>GUF</v>
      </c>
      <c r="AN139" s="34">
        <f>IF(ISBLANK(Table2[[#This Row],[Need_RRA]]), 2,(IF(Table2[[#This Row],[Need_RRA]]="No", 0, (IF(AND(Table2[[#This Row],[Need_RRA]]="Yes",  Table2[[#This Row],[RRA_pub_date]]=""),1, 0)))))</f>
        <v>0</v>
      </c>
      <c r="AO139" s="34">
        <f>IF(ISBLANK(Table2[[#This Row],[Need_EIS]]), 2,(IF(Table2[[#This Row],[Need_EIS]]="No", 0, (IF(AND(Table2[[#This Row],[Need_EIS]]="Yes",  Table2[[#This Row],[EIS_pub_date]]=""),1, 0)))))</f>
        <v>0</v>
      </c>
      <c r="AP139" s="34">
        <f>IF(ISBLANK(Table2[[#This Row],[Need_DON]]), 2,(IF(Table2[[#This Row],[Need_DON]]="No", 0, (IF(AND(Table2[[#This Row],[Need_DON]]="Yes",  Table2[[#This Row],[DON_pub_date]]=""),1, 0)))))</f>
        <v>0</v>
      </c>
      <c r="AQ139" s="34">
        <f>IF(ISBLANK(Table2[[#This Row],[Pending_question]]), 2,(IF(Table2[[#This Row],[Pending_question]]="Yes", 1, 0)))</f>
        <v>1</v>
      </c>
      <c r="AR139" s="43"/>
    </row>
    <row r="140" spans="1:44" ht="15" customHeight="1">
      <c r="A140" s="63">
        <v>44643</v>
      </c>
      <c r="B140" s="29" t="s">
        <v>15</v>
      </c>
      <c r="C140" s="34" t="str" cm="1">
        <f t="array" ref="C14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40" s="27" t="s">
        <v>738</v>
      </c>
      <c r="E140" s="67" t="s">
        <v>176</v>
      </c>
      <c r="F140" s="29" t="s">
        <v>376</v>
      </c>
      <c r="G140" s="29" t="s">
        <v>34</v>
      </c>
      <c r="H140" s="59">
        <v>44643</v>
      </c>
      <c r="I140" s="59"/>
      <c r="J140" s="59">
        <v>44642</v>
      </c>
      <c r="K140" s="59" t="s">
        <v>865</v>
      </c>
      <c r="L140" s="104" t="s">
        <v>866</v>
      </c>
      <c r="M140" s="70" t="s">
        <v>19</v>
      </c>
      <c r="N140" s="59"/>
      <c r="O140" s="85"/>
      <c r="P140" s="59" t="s">
        <v>30</v>
      </c>
      <c r="Q140" s="84">
        <v>1</v>
      </c>
      <c r="R140" s="29" t="s">
        <v>867</v>
      </c>
      <c r="S140" s="59">
        <v>44679</v>
      </c>
      <c r="T140" s="59"/>
      <c r="U140" s="59">
        <v>44699</v>
      </c>
      <c r="V140" s="29" t="s">
        <v>20</v>
      </c>
      <c r="W140" s="29" t="s">
        <v>32</v>
      </c>
      <c r="X140" s="27" t="s">
        <v>51</v>
      </c>
      <c r="Y140" s="29" t="s">
        <v>19</v>
      </c>
      <c r="Z140" s="29" t="s">
        <v>34</v>
      </c>
      <c r="AA140" s="29"/>
      <c r="AB140" s="29" t="s">
        <v>868</v>
      </c>
      <c r="AC140" s="59"/>
      <c r="AD140" s="59"/>
      <c r="AE140" s="29"/>
      <c r="AF140" s="29"/>
      <c r="AG140" s="29"/>
      <c r="AH140" s="27"/>
      <c r="AI140" s="29" t="s">
        <v>19</v>
      </c>
      <c r="AJ140" s="139"/>
      <c r="AK140" s="28"/>
      <c r="AL140" s="102"/>
      <c r="AM140" s="41" t="str">
        <f>VLOOKUP(Table2[[#This Row],[country]],Countrycode!A:B,2,FALSE)</f>
        <v>SSD</v>
      </c>
      <c r="AN140" s="34">
        <f>IF(ISBLANK(Table2[[#This Row],[Need_RRA]]), 2,(IF(Table2[[#This Row],[Need_RRA]]="No", 0, (IF(AND(Table2[[#This Row],[Need_RRA]]="Yes",  Table2[[#This Row],[RRA_pub_date]]=""),1, 0)))))</f>
        <v>0</v>
      </c>
      <c r="AO140" s="34">
        <f>IF(ISBLANK(Table2[[#This Row],[Need_EIS]]), 2,(IF(Table2[[#This Row],[Need_EIS]]="No", 0, (IF(AND(Table2[[#This Row],[Need_EIS]]="Yes",  Table2[[#This Row],[EIS_pub_date]]=""),1, 0)))))</f>
        <v>0</v>
      </c>
      <c r="AP140" s="34">
        <f>IF(ISBLANK(Table2[[#This Row],[Need_DON]]), 2,(IF(Table2[[#This Row],[Need_DON]]="No", 0, (IF(AND(Table2[[#This Row],[Need_DON]]="Yes",  Table2[[#This Row],[DON_pub_date]]=""),1, 0)))))</f>
        <v>0</v>
      </c>
      <c r="AQ140" s="34">
        <f>IF(ISBLANK(Table2[[#This Row],[Pending_question]]), 2,(IF(Table2[[#This Row],[Pending_question]]="Yes", 1, 0)))</f>
        <v>0</v>
      </c>
      <c r="AR140" s="43"/>
    </row>
    <row r="141" spans="1:44" ht="15" customHeight="1">
      <c r="A141" s="63">
        <v>44644</v>
      </c>
      <c r="B141" s="29" t="s">
        <v>15</v>
      </c>
      <c r="C141" s="34" t="str" cm="1">
        <f t="array" ref="C14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41" s="27" t="s">
        <v>869</v>
      </c>
      <c r="E141" s="67" t="s">
        <v>128</v>
      </c>
      <c r="F141" s="29" t="s">
        <v>301</v>
      </c>
      <c r="G141" s="29" t="s">
        <v>34</v>
      </c>
      <c r="H141" s="59">
        <v>44644</v>
      </c>
      <c r="I141" s="59">
        <v>44818</v>
      </c>
      <c r="J141" s="59">
        <v>44637</v>
      </c>
      <c r="K141" s="59" t="s">
        <v>844</v>
      </c>
      <c r="L141" s="112" t="s">
        <v>845</v>
      </c>
      <c r="M141" s="70" t="s">
        <v>19</v>
      </c>
      <c r="N141" s="59"/>
      <c r="O141" s="85"/>
      <c r="P141" s="59" t="s">
        <v>30</v>
      </c>
      <c r="Q141" s="84">
        <v>2</v>
      </c>
      <c r="R141" s="29" t="s">
        <v>870</v>
      </c>
      <c r="S141" s="59">
        <v>44830</v>
      </c>
      <c r="T141" s="59"/>
      <c r="U141" s="59">
        <v>44837</v>
      </c>
      <c r="V141" s="29" t="s">
        <v>41</v>
      </c>
      <c r="W141" s="29" t="s">
        <v>41</v>
      </c>
      <c r="X141" s="27" t="s">
        <v>51</v>
      </c>
      <c r="Y141" s="29" t="s">
        <v>30</v>
      </c>
      <c r="Z141" s="29" t="s">
        <v>21</v>
      </c>
      <c r="AA141" s="29" t="s">
        <v>43</v>
      </c>
      <c r="AB141" s="29" t="s">
        <v>871</v>
      </c>
      <c r="AC141" s="59">
        <v>44840</v>
      </c>
      <c r="AD141" s="59">
        <v>44847</v>
      </c>
      <c r="AE141" s="59">
        <v>44847</v>
      </c>
      <c r="AF141" s="59">
        <v>44858</v>
      </c>
      <c r="AG141" s="59">
        <v>44859</v>
      </c>
      <c r="AH141" s="85">
        <v>44859</v>
      </c>
      <c r="AI141" s="29" t="s">
        <v>30</v>
      </c>
      <c r="AJ141" s="139">
        <v>44861</v>
      </c>
      <c r="AK141" s="86">
        <v>44872</v>
      </c>
      <c r="AL141" s="102"/>
      <c r="AM141" s="41" t="str">
        <f>VLOOKUP(Table2[[#This Row],[country]],Countrycode!A:B,2,FALSE)</f>
        <v>MWI</v>
      </c>
      <c r="AN141" s="34">
        <f>IF(ISBLANK(Table2[[#This Row],[Need_RRA]]), 2,(IF(Table2[[#This Row],[Need_RRA]]="No", 0, (IF(AND(Table2[[#This Row],[Need_RRA]]="Yes",  Table2[[#This Row],[RRA_pub_date]]=""),1, 0)))))</f>
        <v>0</v>
      </c>
      <c r="AO141" s="34">
        <f>IF(ISBLANK(Table2[[#This Row],[Need_EIS]]), 2,(IF(Table2[[#This Row],[Need_EIS]]="No", 0, (IF(AND(Table2[[#This Row],[Need_EIS]]="Yes",  Table2[[#This Row],[EIS_pub_date]]=""),1, 0)))))</f>
        <v>0</v>
      </c>
      <c r="AP141" s="34">
        <f>IF(ISBLANK(Table2[[#This Row],[Need_DON]]), 2,(IF(Table2[[#This Row],[Need_DON]]="No", 0, (IF(AND(Table2[[#This Row],[Need_DON]]="Yes",  Table2[[#This Row],[DON_pub_date]]=""),1, 0)))))</f>
        <v>0</v>
      </c>
      <c r="AQ141" s="34">
        <f>IF(ISBLANK(Table2[[#This Row],[Pending_question]]), 2,(IF(Table2[[#This Row],[Pending_question]]="Yes", 1, 0)))</f>
        <v>0</v>
      </c>
      <c r="AR141" s="43"/>
    </row>
    <row r="142" spans="1:44" ht="15" customHeight="1">
      <c r="A142" s="63">
        <v>44645</v>
      </c>
      <c r="B142" s="29" t="s">
        <v>15</v>
      </c>
      <c r="C142" s="34" t="str" cm="1">
        <f t="array" ref="C14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42" s="27" t="s">
        <v>459</v>
      </c>
      <c r="E142" s="67" t="s">
        <v>128</v>
      </c>
      <c r="F142" s="29" t="s">
        <v>117</v>
      </c>
      <c r="G142" s="29" t="s">
        <v>34</v>
      </c>
      <c r="H142" s="59">
        <v>44645</v>
      </c>
      <c r="I142" s="59"/>
      <c r="J142" s="59">
        <v>44648</v>
      </c>
      <c r="K142" s="59" t="s">
        <v>872</v>
      </c>
      <c r="L142" s="104" t="s">
        <v>873</v>
      </c>
      <c r="M142" s="70" t="s">
        <v>19</v>
      </c>
      <c r="N142" s="59"/>
      <c r="O142" s="85"/>
      <c r="P142" s="59" t="s">
        <v>30</v>
      </c>
      <c r="Q142" s="84">
        <v>1</v>
      </c>
      <c r="R142" s="29"/>
      <c r="S142" s="59">
        <v>44651</v>
      </c>
      <c r="T142" s="59"/>
      <c r="U142" s="59">
        <v>44659</v>
      </c>
      <c r="V142" s="29" t="s">
        <v>20</v>
      </c>
      <c r="W142" s="29" t="s">
        <v>32</v>
      </c>
      <c r="X142" s="27" t="s">
        <v>51</v>
      </c>
      <c r="Y142" s="29" t="s">
        <v>19</v>
      </c>
      <c r="Z142" s="29" t="s">
        <v>42</v>
      </c>
      <c r="AA142" s="29"/>
      <c r="AB142" s="29" t="s">
        <v>874</v>
      </c>
      <c r="AC142" s="59">
        <v>44659</v>
      </c>
      <c r="AD142" s="59"/>
      <c r="AE142" s="29"/>
      <c r="AF142" s="29"/>
      <c r="AG142" s="29"/>
      <c r="AH142" s="27"/>
      <c r="AI142" s="29" t="s">
        <v>19</v>
      </c>
      <c r="AJ142" s="139"/>
      <c r="AK142" s="28"/>
      <c r="AL142" s="102"/>
      <c r="AM142" s="41" t="str">
        <f>VLOOKUP(Table2[[#This Row],[country]],Countrycode!A:B,2,FALSE)</f>
        <v>BGD</v>
      </c>
      <c r="AN142" s="34">
        <f>IF(ISBLANK(Table2[[#This Row],[Need_RRA]]), 2,(IF(Table2[[#This Row],[Need_RRA]]="No", 0, (IF(AND(Table2[[#This Row],[Need_RRA]]="Yes",  Table2[[#This Row],[RRA_pub_date]]=""),1, 0)))))</f>
        <v>0</v>
      </c>
      <c r="AO142" s="34">
        <f>IF(ISBLANK(Table2[[#This Row],[Need_EIS]]), 2,(IF(Table2[[#This Row],[Need_EIS]]="No", 0, (IF(AND(Table2[[#This Row],[Need_EIS]]="Yes",  Table2[[#This Row],[EIS_pub_date]]=""),1, 0)))))</f>
        <v>0</v>
      </c>
      <c r="AP142" s="34">
        <f>IF(ISBLANK(Table2[[#This Row],[Need_DON]]), 2,(IF(Table2[[#This Row],[Need_DON]]="No", 0, (IF(AND(Table2[[#This Row],[Need_DON]]="Yes",  Table2[[#This Row],[DON_pub_date]]=""),1, 0)))))</f>
        <v>0</v>
      </c>
      <c r="AQ142" s="34">
        <f>IF(ISBLANK(Table2[[#This Row],[Pending_question]]), 2,(IF(Table2[[#This Row],[Pending_question]]="Yes", 1, 0)))</f>
        <v>0</v>
      </c>
      <c r="AR142" s="43"/>
    </row>
    <row r="143" spans="1:44" ht="15" customHeight="1">
      <c r="A143" s="63">
        <v>44645</v>
      </c>
      <c r="B143" s="29" t="s">
        <v>15</v>
      </c>
      <c r="C143" s="34" t="str" cm="1">
        <f t="array" ref="C14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43" s="27" t="s">
        <v>833</v>
      </c>
      <c r="E143" s="67" t="s">
        <v>104</v>
      </c>
      <c r="F143" s="29" t="s">
        <v>173</v>
      </c>
      <c r="G143" s="29" t="s">
        <v>34</v>
      </c>
      <c r="H143" s="59">
        <v>44645</v>
      </c>
      <c r="I143" s="59">
        <v>44650</v>
      </c>
      <c r="J143" s="59">
        <v>44645</v>
      </c>
      <c r="K143" s="59" t="s">
        <v>636</v>
      </c>
      <c r="L143" s="104" t="s">
        <v>712</v>
      </c>
      <c r="M143" s="70" t="s">
        <v>19</v>
      </c>
      <c r="N143" s="59"/>
      <c r="O143" s="85"/>
      <c r="P143" s="59" t="s">
        <v>19</v>
      </c>
      <c r="Q143" s="84"/>
      <c r="R143" s="29"/>
      <c r="S143" s="29"/>
      <c r="T143" s="59"/>
      <c r="U143" s="29"/>
      <c r="V143" s="29"/>
      <c r="W143" s="29"/>
      <c r="X143" s="27"/>
      <c r="Y143" s="29" t="s">
        <v>30</v>
      </c>
      <c r="Z143" s="29" t="s">
        <v>21</v>
      </c>
      <c r="AA143" s="29"/>
      <c r="AB143" s="29" t="s">
        <v>875</v>
      </c>
      <c r="AC143" s="59">
        <v>44645</v>
      </c>
      <c r="AD143" s="59"/>
      <c r="AE143" s="59">
        <v>44648</v>
      </c>
      <c r="AF143" s="59">
        <v>44648</v>
      </c>
      <c r="AG143" s="59">
        <v>44652</v>
      </c>
      <c r="AH143" s="85">
        <v>44652</v>
      </c>
      <c r="AI143" s="29" t="s">
        <v>19</v>
      </c>
      <c r="AJ143" s="139"/>
      <c r="AK143" s="28"/>
      <c r="AL143" s="102"/>
      <c r="AM143" s="41" t="str">
        <f>VLOOKUP(Table2[[#This Row],[country]],Countrycode!A:B,2,FALSE)</f>
        <v>CHN</v>
      </c>
      <c r="AN143" s="34">
        <f>IF(ISBLANK(Table2[[#This Row],[Need_RRA]]), 2,(IF(Table2[[#This Row],[Need_RRA]]="No", 0, (IF(AND(Table2[[#This Row],[Need_RRA]]="Yes",  Table2[[#This Row],[RRA_pub_date]]=""),1, 0)))))</f>
        <v>0</v>
      </c>
      <c r="AO143" s="34">
        <f>IF(ISBLANK(Table2[[#This Row],[Need_EIS]]), 2,(IF(Table2[[#This Row],[Need_EIS]]="No", 0, (IF(AND(Table2[[#This Row],[Need_EIS]]="Yes",  Table2[[#This Row],[EIS_pub_date]]=""),1, 0)))))</f>
        <v>0</v>
      </c>
      <c r="AP143" s="34">
        <f>IF(ISBLANK(Table2[[#This Row],[Need_DON]]), 2,(IF(Table2[[#This Row],[Need_DON]]="No", 0, (IF(AND(Table2[[#This Row],[Need_DON]]="Yes",  Table2[[#This Row],[DON_pub_date]]=""),1, 0)))))</f>
        <v>0</v>
      </c>
      <c r="AQ143" s="34">
        <f>IF(ISBLANK(Table2[[#This Row],[Pending_question]]), 2,(IF(Table2[[#This Row],[Pending_question]]="Yes", 1, 0)))</f>
        <v>0</v>
      </c>
      <c r="AR143" s="43"/>
    </row>
    <row r="144" spans="1:44" ht="15" customHeight="1">
      <c r="A144" s="63">
        <v>44655</v>
      </c>
      <c r="B144" s="29" t="s">
        <v>15</v>
      </c>
      <c r="C144" s="34" t="str" cm="1">
        <f t="array" ref="C14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44" s="27" t="s">
        <v>833</v>
      </c>
      <c r="E144" s="67" t="s">
        <v>104</v>
      </c>
      <c r="F144" s="29" t="s">
        <v>173</v>
      </c>
      <c r="G144" s="29" t="s">
        <v>34</v>
      </c>
      <c r="H144" s="59">
        <v>44655</v>
      </c>
      <c r="I144" s="59"/>
      <c r="J144" s="59">
        <v>44655</v>
      </c>
      <c r="K144" s="59" t="s">
        <v>636</v>
      </c>
      <c r="L144" s="104" t="s">
        <v>712</v>
      </c>
      <c r="M144" s="70" t="s">
        <v>19</v>
      </c>
      <c r="N144" s="59"/>
      <c r="O144" s="85"/>
      <c r="P144" s="59" t="s">
        <v>19</v>
      </c>
      <c r="Q144" s="84"/>
      <c r="R144" s="269"/>
      <c r="S144" s="29"/>
      <c r="T144" s="59"/>
      <c r="U144" s="29"/>
      <c r="V144" s="29" t="s">
        <v>34</v>
      </c>
      <c r="W144" s="29" t="s">
        <v>34</v>
      </c>
      <c r="X144" s="27" t="s">
        <v>34</v>
      </c>
      <c r="Y144" s="29" t="s">
        <v>30</v>
      </c>
      <c r="Z144" s="29" t="s">
        <v>21</v>
      </c>
      <c r="AA144" s="29"/>
      <c r="AB144" s="29" t="s">
        <v>876</v>
      </c>
      <c r="AC144" s="59">
        <v>44655</v>
      </c>
      <c r="AD144" s="59"/>
      <c r="AE144" s="59">
        <v>44655</v>
      </c>
      <c r="AF144" s="59">
        <v>44656</v>
      </c>
      <c r="AG144" s="59">
        <v>44659</v>
      </c>
      <c r="AH144" s="85">
        <v>44659</v>
      </c>
      <c r="AI144" s="29" t="s">
        <v>19</v>
      </c>
      <c r="AJ144" s="139"/>
      <c r="AK144" s="28"/>
      <c r="AL144" s="102"/>
      <c r="AM144" s="41" t="str">
        <f>VLOOKUP(Table2[[#This Row],[country]],Countrycode!A:B,2,FALSE)</f>
        <v>CHN</v>
      </c>
      <c r="AN144" s="34">
        <f>IF(ISBLANK(Table2[[#This Row],[Need_RRA]]), 2,(IF(Table2[[#This Row],[Need_RRA]]="No", 0, (IF(AND(Table2[[#This Row],[Need_RRA]]="Yes",  Table2[[#This Row],[RRA_pub_date]]=""),1, 0)))))</f>
        <v>0</v>
      </c>
      <c r="AO144" s="34">
        <f>IF(ISBLANK(Table2[[#This Row],[Need_EIS]]), 2,(IF(Table2[[#This Row],[Need_EIS]]="No", 0, (IF(AND(Table2[[#This Row],[Need_EIS]]="Yes",  Table2[[#This Row],[EIS_pub_date]]=""),1, 0)))))</f>
        <v>0</v>
      </c>
      <c r="AP144" s="34">
        <f>IF(ISBLANK(Table2[[#This Row],[Need_DON]]), 2,(IF(Table2[[#This Row],[Need_DON]]="No", 0, (IF(AND(Table2[[#This Row],[Need_DON]]="Yes",  Table2[[#This Row],[DON_pub_date]]=""),1, 0)))))</f>
        <v>0</v>
      </c>
      <c r="AQ144" s="34">
        <f>IF(ISBLANK(Table2[[#This Row],[Pending_question]]), 2,(IF(Table2[[#This Row],[Pending_question]]="Yes", 1, 0)))</f>
        <v>0</v>
      </c>
      <c r="AR144" s="43"/>
    </row>
    <row r="145" spans="1:44" ht="15" customHeight="1">
      <c r="A145" s="63">
        <v>44657</v>
      </c>
      <c r="B145" s="29" t="s">
        <v>15</v>
      </c>
      <c r="C145" s="34" t="str" cm="1">
        <f t="array" ref="C14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45" s="27" t="s">
        <v>877</v>
      </c>
      <c r="E145" s="67" t="s">
        <v>152</v>
      </c>
      <c r="F145" s="29" t="s">
        <v>39</v>
      </c>
      <c r="G145" s="29" t="s">
        <v>878</v>
      </c>
      <c r="H145" s="29"/>
      <c r="I145" s="59">
        <v>44677</v>
      </c>
      <c r="J145" s="59">
        <v>44657</v>
      </c>
      <c r="K145" s="59" t="s">
        <v>879</v>
      </c>
      <c r="L145" s="169" t="s">
        <v>880</v>
      </c>
      <c r="M145" s="70" t="s">
        <v>19</v>
      </c>
      <c r="N145" s="59"/>
      <c r="O145" s="85"/>
      <c r="P145" s="59" t="s">
        <v>30</v>
      </c>
      <c r="Q145" s="84">
        <v>1</v>
      </c>
      <c r="R145" s="29" t="s">
        <v>881</v>
      </c>
      <c r="S145" s="59">
        <v>44674</v>
      </c>
      <c r="T145" s="59"/>
      <c r="U145" s="59">
        <v>44674</v>
      </c>
      <c r="V145" s="29" t="s">
        <v>34</v>
      </c>
      <c r="W145" s="29" t="s">
        <v>32</v>
      </c>
      <c r="X145" s="27" t="s">
        <v>51</v>
      </c>
      <c r="Y145" s="29" t="s">
        <v>30</v>
      </c>
      <c r="Z145" s="29" t="s">
        <v>33</v>
      </c>
      <c r="AA145" s="29"/>
      <c r="AB145" s="29" t="s">
        <v>882</v>
      </c>
      <c r="AC145" s="59">
        <v>44673</v>
      </c>
      <c r="AD145" s="59"/>
      <c r="AE145" s="59">
        <v>44673</v>
      </c>
      <c r="AF145" s="59">
        <v>44673</v>
      </c>
      <c r="AG145" s="29"/>
      <c r="AH145" s="59">
        <v>44674</v>
      </c>
      <c r="AI145" s="29" t="s">
        <v>30</v>
      </c>
      <c r="AJ145" s="139"/>
      <c r="AK145" s="348">
        <v>44674</v>
      </c>
      <c r="AL145" s="102"/>
      <c r="AM145" s="41" t="str">
        <f>VLOOKUP(Table2[[#This Row],[country]],Countrycode!A:B,2,FALSE)</f>
        <v>MLX</v>
      </c>
      <c r="AN145" s="34">
        <f>IF(ISBLANK(Table2[[#This Row],[Need_RRA]]), 2,(IF(Table2[[#This Row],[Need_RRA]]="No", 0, (IF(AND(Table2[[#This Row],[Need_RRA]]="Yes",  Table2[[#This Row],[RRA_pub_date]]=""),1, 0)))))</f>
        <v>0</v>
      </c>
      <c r="AO145" s="34">
        <f>IF(ISBLANK(Table2[[#This Row],[Need_EIS]]), 2,(IF(Table2[[#This Row],[Need_EIS]]="No", 0, (IF(AND(Table2[[#This Row],[Need_EIS]]="Yes",  Table2[[#This Row],[EIS_pub_date]]=""),1, 0)))))</f>
        <v>0</v>
      </c>
      <c r="AP145" s="34">
        <f>IF(ISBLANK(Table2[[#This Row],[Need_DON]]), 2,(IF(Table2[[#This Row],[Need_DON]]="No", 0, (IF(AND(Table2[[#This Row],[Need_DON]]="Yes",  Table2[[#This Row],[DON_pub_date]]=""),1, 0)))))</f>
        <v>0</v>
      </c>
      <c r="AQ145" s="34">
        <f>IF(ISBLANK(Table2[[#This Row],[Pending_question]]), 2,(IF(Table2[[#This Row],[Pending_question]]="Yes", 1, 0)))</f>
        <v>0</v>
      </c>
      <c r="AR145" s="43"/>
    </row>
    <row r="146" spans="1:44" ht="15" customHeight="1">
      <c r="A146" s="63">
        <v>44657</v>
      </c>
      <c r="B146" s="29" t="s">
        <v>15</v>
      </c>
      <c r="C146" s="34" t="str" cm="1">
        <f t="array" ref="C14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46" s="27" t="s">
        <v>738</v>
      </c>
      <c r="E146" s="67" t="s">
        <v>176</v>
      </c>
      <c r="F146" s="29" t="s">
        <v>327</v>
      </c>
      <c r="G146" s="29" t="s">
        <v>34</v>
      </c>
      <c r="H146" s="59">
        <v>44657</v>
      </c>
      <c r="I146" s="59" t="s">
        <v>883</v>
      </c>
      <c r="J146" s="59">
        <v>44657</v>
      </c>
      <c r="K146" s="59" t="s">
        <v>884</v>
      </c>
      <c r="L146" s="104" t="s">
        <v>885</v>
      </c>
      <c r="M146" s="70" t="s">
        <v>19</v>
      </c>
      <c r="N146" s="59"/>
      <c r="O146" s="85"/>
      <c r="P146" s="59" t="s">
        <v>30</v>
      </c>
      <c r="Q146" s="84">
        <v>1</v>
      </c>
      <c r="R146" s="29" t="s">
        <v>886</v>
      </c>
      <c r="S146" s="59">
        <v>44657</v>
      </c>
      <c r="T146" s="59"/>
      <c r="U146" s="59">
        <v>44684</v>
      </c>
      <c r="V146" s="29" t="s">
        <v>20</v>
      </c>
      <c r="W146" s="29" t="s">
        <v>32</v>
      </c>
      <c r="X146" s="27" t="s">
        <v>51</v>
      </c>
      <c r="Y146" s="29" t="s">
        <v>19</v>
      </c>
      <c r="Z146" s="29" t="s">
        <v>42</v>
      </c>
      <c r="AA146" s="29"/>
      <c r="AB146" s="29" t="s">
        <v>887</v>
      </c>
      <c r="AC146" s="59">
        <v>44684</v>
      </c>
      <c r="AD146" s="59"/>
      <c r="AE146" s="59">
        <v>44691</v>
      </c>
      <c r="AF146" s="29"/>
      <c r="AG146" s="29"/>
      <c r="AH146" s="27"/>
      <c r="AI146" s="29" t="s">
        <v>19</v>
      </c>
      <c r="AJ146" s="139"/>
      <c r="AK146" s="28"/>
      <c r="AL146" s="102"/>
      <c r="AM146" s="41" t="str">
        <f>VLOOKUP(Table2[[#This Row],[country]],Countrycode!A:B,2,FALSE)</f>
        <v>NER</v>
      </c>
      <c r="AN146" s="34">
        <f>IF(ISBLANK(Table2[[#This Row],[Need_RRA]]), 2,(IF(Table2[[#This Row],[Need_RRA]]="No", 0, (IF(AND(Table2[[#This Row],[Need_RRA]]="Yes",  Table2[[#This Row],[RRA_pub_date]]=""),1, 0)))))</f>
        <v>0</v>
      </c>
      <c r="AO146" s="34">
        <f>IF(ISBLANK(Table2[[#This Row],[Need_EIS]]), 2,(IF(Table2[[#This Row],[Need_EIS]]="No", 0, (IF(AND(Table2[[#This Row],[Need_EIS]]="Yes",  Table2[[#This Row],[EIS_pub_date]]=""),1, 0)))))</f>
        <v>0</v>
      </c>
      <c r="AP146" s="34">
        <f>IF(ISBLANK(Table2[[#This Row],[Need_DON]]), 2,(IF(Table2[[#This Row],[Need_DON]]="No", 0, (IF(AND(Table2[[#This Row],[Need_DON]]="Yes",  Table2[[#This Row],[DON_pub_date]]=""),1, 0)))))</f>
        <v>0</v>
      </c>
      <c r="AQ146" s="34">
        <f>IF(ISBLANK(Table2[[#This Row],[Pending_question]]), 2,(IF(Table2[[#This Row],[Pending_question]]="Yes", 1, 0)))</f>
        <v>0</v>
      </c>
      <c r="AR146" s="43"/>
    </row>
    <row r="147" spans="1:44" ht="15" customHeight="1">
      <c r="A147" s="63">
        <v>44657</v>
      </c>
      <c r="B147" s="29" t="s">
        <v>15</v>
      </c>
      <c r="C147" s="34" t="str" cm="1">
        <f t="array" ref="C14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47" s="27" t="s">
        <v>843</v>
      </c>
      <c r="E147" s="67" t="s">
        <v>152</v>
      </c>
      <c r="F147" s="29" t="s">
        <v>400</v>
      </c>
      <c r="G147" s="29" t="s">
        <v>34</v>
      </c>
      <c r="H147" s="59">
        <v>44657</v>
      </c>
      <c r="I147" s="59"/>
      <c r="J147" s="59">
        <v>44657</v>
      </c>
      <c r="K147" s="59" t="s">
        <v>888</v>
      </c>
      <c r="L147" s="104" t="s">
        <v>889</v>
      </c>
      <c r="M147" s="70" t="s">
        <v>19</v>
      </c>
      <c r="N147" s="59"/>
      <c r="O147" s="85"/>
      <c r="P147" s="59" t="s">
        <v>19</v>
      </c>
      <c r="Q147" s="84"/>
      <c r="R147" s="29"/>
      <c r="S147" s="29"/>
      <c r="T147" s="59"/>
      <c r="U147" s="29"/>
      <c r="V147" s="29" t="s">
        <v>34</v>
      </c>
      <c r="W147" s="29" t="s">
        <v>34</v>
      </c>
      <c r="X147" s="27" t="s">
        <v>34</v>
      </c>
      <c r="Y147" s="29" t="s">
        <v>30</v>
      </c>
      <c r="Z147" s="29" t="s">
        <v>42</v>
      </c>
      <c r="AA147" s="29"/>
      <c r="AB147" s="29"/>
      <c r="AC147" s="59">
        <v>44659</v>
      </c>
      <c r="AD147" s="59"/>
      <c r="AE147" s="59">
        <v>44659</v>
      </c>
      <c r="AF147" s="59">
        <v>44660</v>
      </c>
      <c r="AG147" s="59">
        <v>44660</v>
      </c>
      <c r="AH147" s="59">
        <v>44661</v>
      </c>
      <c r="AI147" s="29" t="s">
        <v>30</v>
      </c>
      <c r="AJ147" s="139"/>
      <c r="AK147" s="86">
        <v>44666</v>
      </c>
      <c r="AL147" s="102"/>
      <c r="AM147" s="41" t="str">
        <f>VLOOKUP(Table2[[#This Row],[country]],Countrycode!A:B,2,FALSE)</f>
        <v>GBR</v>
      </c>
      <c r="AN147" s="34">
        <f>IF(ISBLANK(Table2[[#This Row],[Need_RRA]]), 2,(IF(Table2[[#This Row],[Need_RRA]]="No", 0, (IF(AND(Table2[[#This Row],[Need_RRA]]="Yes",  Table2[[#This Row],[RRA_pub_date]]=""),1, 0)))))</f>
        <v>0</v>
      </c>
      <c r="AO147" s="34">
        <f>IF(ISBLANK(Table2[[#This Row],[Need_EIS]]), 2,(IF(Table2[[#This Row],[Need_EIS]]="No", 0, (IF(AND(Table2[[#This Row],[Need_EIS]]="Yes",  Table2[[#This Row],[EIS_pub_date]]=""),1, 0)))))</f>
        <v>0</v>
      </c>
      <c r="AP147" s="34">
        <f>IF(ISBLANK(Table2[[#This Row],[Need_DON]]), 2,(IF(Table2[[#This Row],[Need_DON]]="No", 0, (IF(AND(Table2[[#This Row],[Need_DON]]="Yes",  Table2[[#This Row],[DON_pub_date]]=""),1, 0)))))</f>
        <v>0</v>
      </c>
      <c r="AQ147" s="34">
        <f>IF(ISBLANK(Table2[[#This Row],[Pending_question]]), 2,(IF(Table2[[#This Row],[Pending_question]]="Yes", 1, 0)))</f>
        <v>0</v>
      </c>
      <c r="AR147" s="43"/>
    </row>
    <row r="148" spans="1:44" ht="15" customHeight="1">
      <c r="A148" s="63">
        <v>44658</v>
      </c>
      <c r="B148" s="29" t="s">
        <v>15</v>
      </c>
      <c r="C148" s="34" t="str" cm="1">
        <f t="array" ref="C14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48" s="27" t="s">
        <v>890</v>
      </c>
      <c r="E148" s="67" t="s">
        <v>223</v>
      </c>
      <c r="F148" s="29" t="s">
        <v>39</v>
      </c>
      <c r="G148" s="29" t="s">
        <v>878</v>
      </c>
      <c r="H148" s="59">
        <v>44658</v>
      </c>
      <c r="I148" s="59"/>
      <c r="J148" s="59">
        <v>44651</v>
      </c>
      <c r="K148" s="59" t="s">
        <v>891</v>
      </c>
      <c r="L148" s="104" t="s">
        <v>892</v>
      </c>
      <c r="M148" s="70" t="s">
        <v>19</v>
      </c>
      <c r="N148" s="59" t="s">
        <v>893</v>
      </c>
      <c r="O148" s="85">
        <v>44663</v>
      </c>
      <c r="P148" s="59" t="s">
        <v>30</v>
      </c>
      <c r="Q148" s="84">
        <v>1</v>
      </c>
      <c r="R148" s="29" t="s">
        <v>894</v>
      </c>
      <c r="S148" s="59">
        <v>44658</v>
      </c>
      <c r="T148" s="59"/>
      <c r="U148" s="59">
        <v>44665</v>
      </c>
      <c r="V148" s="29" t="s">
        <v>34</v>
      </c>
      <c r="W148" s="29" t="s">
        <v>32</v>
      </c>
      <c r="X148" s="27" t="s">
        <v>32</v>
      </c>
      <c r="Y148" s="29" t="s">
        <v>30</v>
      </c>
      <c r="Z148" s="29" t="s">
        <v>33</v>
      </c>
      <c r="AA148" s="29"/>
      <c r="AB148" s="29" t="s">
        <v>895</v>
      </c>
      <c r="AC148" s="59">
        <v>44658</v>
      </c>
      <c r="AD148" s="59"/>
      <c r="AE148" s="59">
        <v>44659</v>
      </c>
      <c r="AF148" s="29"/>
      <c r="AG148" s="29"/>
      <c r="AH148" s="85">
        <v>44664</v>
      </c>
      <c r="AI148" s="29" t="s">
        <v>30</v>
      </c>
      <c r="AJ148" s="139"/>
      <c r="AK148" s="86">
        <v>44678</v>
      </c>
      <c r="AL148" s="102"/>
      <c r="AM148" s="41" t="str">
        <f>VLOOKUP(Table2[[#This Row],[country]],Countrycode!A:B,2,FALSE)</f>
        <v>MLX</v>
      </c>
      <c r="AN148" s="34">
        <f>IF(ISBLANK(Table2[[#This Row],[Need_RRA]]), 2,(IF(Table2[[#This Row],[Need_RRA]]="No", 0, (IF(AND(Table2[[#This Row],[Need_RRA]]="Yes",  Table2[[#This Row],[RRA_pub_date]]=""),1, 0)))))</f>
        <v>0</v>
      </c>
      <c r="AO148" s="34">
        <f>IF(ISBLANK(Table2[[#This Row],[Need_EIS]]), 2,(IF(Table2[[#This Row],[Need_EIS]]="No", 0, (IF(AND(Table2[[#This Row],[Need_EIS]]="Yes",  Table2[[#This Row],[EIS_pub_date]]=""),1, 0)))))</f>
        <v>0</v>
      </c>
      <c r="AP148" s="34">
        <f>IF(ISBLANK(Table2[[#This Row],[Need_DON]]), 2,(IF(Table2[[#This Row],[Need_DON]]="No", 0, (IF(AND(Table2[[#This Row],[Need_DON]]="Yes",  Table2[[#This Row],[DON_pub_date]]=""),1, 0)))))</f>
        <v>0</v>
      </c>
      <c r="AQ148" s="34">
        <f>IF(ISBLANK(Table2[[#This Row],[Pending_question]]), 2,(IF(Table2[[#This Row],[Pending_question]]="Yes", 1, 0)))</f>
        <v>0</v>
      </c>
      <c r="AR148" s="43"/>
    </row>
    <row r="149" spans="1:44" ht="15" customHeight="1">
      <c r="A149" s="63">
        <v>44662</v>
      </c>
      <c r="B149" s="29" t="s">
        <v>15</v>
      </c>
      <c r="C149" s="34" t="str" cm="1">
        <f t="array" ref="C14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49" s="27" t="s">
        <v>459</v>
      </c>
      <c r="E149" s="67" t="s">
        <v>128</v>
      </c>
      <c r="F149" s="29" t="s">
        <v>16</v>
      </c>
      <c r="G149" s="29" t="s">
        <v>34</v>
      </c>
      <c r="H149" s="59">
        <v>44662</v>
      </c>
      <c r="I149" s="59">
        <v>44699</v>
      </c>
      <c r="J149" s="59">
        <v>44689</v>
      </c>
      <c r="K149" s="59" t="s">
        <v>587</v>
      </c>
      <c r="L149" s="169" t="s">
        <v>896</v>
      </c>
      <c r="M149" s="70" t="s">
        <v>19</v>
      </c>
      <c r="N149" s="59"/>
      <c r="O149" s="85"/>
      <c r="P149" s="59" t="s">
        <v>30</v>
      </c>
      <c r="Q149" s="84">
        <v>2</v>
      </c>
      <c r="R149" s="29" t="s">
        <v>897</v>
      </c>
      <c r="S149" s="59">
        <v>44706</v>
      </c>
      <c r="T149" s="59"/>
      <c r="U149" s="59">
        <v>44761</v>
      </c>
      <c r="V149" s="29" t="s">
        <v>41</v>
      </c>
      <c r="W149" s="29" t="s">
        <v>20</v>
      </c>
      <c r="X149" s="27" t="s">
        <v>51</v>
      </c>
      <c r="Y149" s="29" t="s">
        <v>19</v>
      </c>
      <c r="Z149" s="29" t="s">
        <v>34</v>
      </c>
      <c r="AA149" s="29"/>
      <c r="AB149" s="29" t="s">
        <v>898</v>
      </c>
      <c r="AC149" s="59">
        <v>44761</v>
      </c>
      <c r="AD149" s="59"/>
      <c r="AE149" s="59">
        <v>44777</v>
      </c>
      <c r="AF149" s="59">
        <v>44788</v>
      </c>
      <c r="AG149" s="29"/>
      <c r="AH149" s="29"/>
      <c r="AI149" s="29" t="s">
        <v>19</v>
      </c>
      <c r="AJ149" s="139"/>
      <c r="AK149" s="28"/>
      <c r="AL149" s="102" t="s">
        <v>899</v>
      </c>
      <c r="AM149" s="41" t="str">
        <f>VLOOKUP(Table2[[#This Row],[country]],Countrycode!A:B,2,FALSE)</f>
        <v>AFG</v>
      </c>
      <c r="AN149" s="34">
        <f>IF(ISBLANK(Table2[[#This Row],[Need_RRA]]), 2,(IF(Table2[[#This Row],[Need_RRA]]="No", 0, (IF(AND(Table2[[#This Row],[Need_RRA]]="Yes",  Table2[[#This Row],[RRA_pub_date]]=""),1, 0)))))</f>
        <v>0</v>
      </c>
      <c r="AO149" s="34">
        <f>IF(ISBLANK(Table2[[#This Row],[Need_EIS]]), 2,(IF(Table2[[#This Row],[Need_EIS]]="No", 0, (IF(AND(Table2[[#This Row],[Need_EIS]]="Yes",  Table2[[#This Row],[EIS_pub_date]]=""),1, 0)))))</f>
        <v>0</v>
      </c>
      <c r="AP149" s="34">
        <f>IF(ISBLANK(Table2[[#This Row],[Need_DON]]), 2,(IF(Table2[[#This Row],[Need_DON]]="No", 0, (IF(AND(Table2[[#This Row],[Need_DON]]="Yes",  Table2[[#This Row],[DON_pub_date]]=""),1, 0)))))</f>
        <v>0</v>
      </c>
      <c r="AQ149" s="34">
        <f>IF(ISBLANK(Table2[[#This Row],[Pending_question]]), 2,(IF(Table2[[#This Row],[Pending_question]]="Yes", 1, 0)))</f>
        <v>0</v>
      </c>
      <c r="AR149" s="43"/>
    </row>
    <row r="150" spans="1:44" ht="15" customHeight="1">
      <c r="A150" s="63">
        <v>44663</v>
      </c>
      <c r="B150" s="29" t="s">
        <v>15</v>
      </c>
      <c r="C150" s="34" t="str" cm="1">
        <f t="array" ref="C15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50" s="27" t="s">
        <v>900</v>
      </c>
      <c r="E150" s="67" t="s">
        <v>104</v>
      </c>
      <c r="F150" s="29" t="s">
        <v>173</v>
      </c>
      <c r="G150" s="29" t="s">
        <v>34</v>
      </c>
      <c r="H150" s="59">
        <v>44663</v>
      </c>
      <c r="I150" s="59"/>
      <c r="J150" s="59">
        <v>44662</v>
      </c>
      <c r="K150" s="59" t="s">
        <v>636</v>
      </c>
      <c r="L150" s="64" t="s">
        <v>712</v>
      </c>
      <c r="M150" s="70" t="s">
        <v>19</v>
      </c>
      <c r="N150" s="59"/>
      <c r="O150" s="85"/>
      <c r="P150" s="59" t="s">
        <v>19</v>
      </c>
      <c r="Q150" s="84"/>
      <c r="R150" s="29"/>
      <c r="S150" s="29"/>
      <c r="T150" s="59"/>
      <c r="U150" s="29"/>
      <c r="V150" s="29" t="s">
        <v>34</v>
      </c>
      <c r="W150" s="29" t="s">
        <v>34</v>
      </c>
      <c r="X150" s="27" t="s">
        <v>34</v>
      </c>
      <c r="Y150" s="29" t="s">
        <v>30</v>
      </c>
      <c r="Z150" s="29" t="s">
        <v>21</v>
      </c>
      <c r="AA150" s="29"/>
      <c r="AB150" s="29" t="s">
        <v>901</v>
      </c>
      <c r="AC150" s="59">
        <v>44662</v>
      </c>
      <c r="AD150" s="59"/>
      <c r="AE150" s="59">
        <v>44663</v>
      </c>
      <c r="AF150" s="59">
        <v>44664</v>
      </c>
      <c r="AG150" s="59">
        <v>44669</v>
      </c>
      <c r="AH150" s="59">
        <v>44670</v>
      </c>
      <c r="AI150" s="29" t="s">
        <v>19</v>
      </c>
      <c r="AJ150" s="139"/>
      <c r="AK150" s="28"/>
      <c r="AL150" s="102"/>
      <c r="AM150" s="41" t="str">
        <f>VLOOKUP(Table2[[#This Row],[country]],Countrycode!A:B,2,FALSE)</f>
        <v>CHN</v>
      </c>
      <c r="AN150" s="34">
        <f>IF(ISBLANK(Table2[[#This Row],[Need_RRA]]), 2,(IF(Table2[[#This Row],[Need_RRA]]="No", 0, (IF(AND(Table2[[#This Row],[Need_RRA]]="Yes",  Table2[[#This Row],[RRA_pub_date]]=""),1, 0)))))</f>
        <v>0</v>
      </c>
      <c r="AO150" s="34">
        <f>IF(ISBLANK(Table2[[#This Row],[Need_EIS]]), 2,(IF(Table2[[#This Row],[Need_EIS]]="No", 0, (IF(AND(Table2[[#This Row],[Need_EIS]]="Yes",  Table2[[#This Row],[EIS_pub_date]]=""),1, 0)))))</f>
        <v>0</v>
      </c>
      <c r="AP150" s="34">
        <f>IF(ISBLANK(Table2[[#This Row],[Need_DON]]), 2,(IF(Table2[[#This Row],[Need_DON]]="No", 0, (IF(AND(Table2[[#This Row],[Need_DON]]="Yes",  Table2[[#This Row],[DON_pub_date]]=""),1, 0)))))</f>
        <v>0</v>
      </c>
      <c r="AQ150" s="34">
        <f>IF(ISBLANK(Table2[[#This Row],[Pending_question]]), 2,(IF(Table2[[#This Row],[Pending_question]]="Yes", 1, 0)))</f>
        <v>0</v>
      </c>
      <c r="AR150" s="43"/>
    </row>
    <row r="151" spans="1:44" ht="15" customHeight="1">
      <c r="A151" s="63">
        <v>44668</v>
      </c>
      <c r="B151" s="29" t="s">
        <v>15</v>
      </c>
      <c r="C151" s="34" t="str" cm="1">
        <f t="array" ref="C15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51" s="27" t="s">
        <v>759</v>
      </c>
      <c r="E151" s="67" t="s">
        <v>128</v>
      </c>
      <c r="F151" s="29" t="s">
        <v>335</v>
      </c>
      <c r="G151" s="29" t="s">
        <v>34</v>
      </c>
      <c r="H151" s="59">
        <v>44668</v>
      </c>
      <c r="I151" s="59"/>
      <c r="J151" s="59">
        <v>44668</v>
      </c>
      <c r="K151" s="59" t="s">
        <v>902</v>
      </c>
      <c r="L151" s="64" t="s">
        <v>903</v>
      </c>
      <c r="M151" s="70" t="s">
        <v>19</v>
      </c>
      <c r="N151" s="59"/>
      <c r="O151" s="85"/>
      <c r="P151" s="59" t="s">
        <v>30</v>
      </c>
      <c r="Q151" s="84">
        <v>1</v>
      </c>
      <c r="R151" s="29" t="s">
        <v>904</v>
      </c>
      <c r="S151" s="59">
        <v>44686</v>
      </c>
      <c r="T151" s="59"/>
      <c r="U151" s="59">
        <v>44720</v>
      </c>
      <c r="V151" s="29" t="s">
        <v>20</v>
      </c>
      <c r="W151" s="29" t="s">
        <v>32</v>
      </c>
      <c r="X151" s="27" t="s">
        <v>51</v>
      </c>
      <c r="Y151" s="29" t="s">
        <v>30</v>
      </c>
      <c r="Z151" s="29" t="s">
        <v>42</v>
      </c>
      <c r="AA151" s="29"/>
      <c r="AB151" s="29" t="s">
        <v>905</v>
      </c>
      <c r="AC151" s="59">
        <v>44691</v>
      </c>
      <c r="AD151" s="59"/>
      <c r="AE151" s="29"/>
      <c r="AF151" s="29"/>
      <c r="AG151" s="29"/>
      <c r="AH151" s="85">
        <v>44719</v>
      </c>
      <c r="AI151" s="29" t="s">
        <v>30</v>
      </c>
      <c r="AJ151" s="139"/>
      <c r="AK151" s="86">
        <v>44729</v>
      </c>
      <c r="AL151" s="102"/>
      <c r="AM151" s="41" t="str">
        <f>VLOOKUP(Table2[[#This Row],[country]],Countrycode!A:B,2,FALSE)</f>
        <v>PAK</v>
      </c>
      <c r="AN151" s="34">
        <f>IF(ISBLANK(Table2[[#This Row],[Need_RRA]]), 2,(IF(Table2[[#This Row],[Need_RRA]]="No", 0, (IF(AND(Table2[[#This Row],[Need_RRA]]="Yes",  Table2[[#This Row],[RRA_pub_date]]=""),1, 0)))))</f>
        <v>0</v>
      </c>
      <c r="AO151" s="34">
        <f>IF(ISBLANK(Table2[[#This Row],[Need_EIS]]), 2,(IF(Table2[[#This Row],[Need_EIS]]="No", 0, (IF(AND(Table2[[#This Row],[Need_EIS]]="Yes",  Table2[[#This Row],[EIS_pub_date]]=""),1, 0)))))</f>
        <v>0</v>
      </c>
      <c r="AP151" s="34">
        <f>IF(ISBLANK(Table2[[#This Row],[Need_DON]]), 2,(IF(Table2[[#This Row],[Need_DON]]="No", 0, (IF(AND(Table2[[#This Row],[Need_DON]]="Yes",  Table2[[#This Row],[DON_pub_date]]=""),1, 0)))))</f>
        <v>0</v>
      </c>
      <c r="AQ151" s="34">
        <f>IF(ISBLANK(Table2[[#This Row],[Pending_question]]), 2,(IF(Table2[[#This Row],[Pending_question]]="Yes", 1, 0)))</f>
        <v>0</v>
      </c>
      <c r="AR151" s="43"/>
    </row>
    <row r="152" spans="1:44" ht="15" customHeight="1">
      <c r="A152" s="63">
        <v>44670</v>
      </c>
      <c r="B152" s="29" t="s">
        <v>15</v>
      </c>
      <c r="C152" s="34" t="str" cm="1">
        <f t="array" ref="C15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52" s="27" t="s">
        <v>906</v>
      </c>
      <c r="E152" s="16" t="s">
        <v>239</v>
      </c>
      <c r="F152" s="16" t="s">
        <v>376</v>
      </c>
      <c r="G152" s="29" t="s">
        <v>34</v>
      </c>
      <c r="H152" s="55">
        <v>44670</v>
      </c>
      <c r="I152" s="59"/>
      <c r="J152" s="54"/>
      <c r="K152" s="63"/>
      <c r="L152" s="296" t="s">
        <v>907</v>
      </c>
      <c r="M152" s="70" t="s">
        <v>19</v>
      </c>
      <c r="N152" s="55"/>
      <c r="O152" s="71"/>
      <c r="P152" s="55" t="s">
        <v>30</v>
      </c>
      <c r="Q152" s="84">
        <v>1</v>
      </c>
      <c r="R152" s="377" t="s">
        <v>908</v>
      </c>
      <c r="S152" s="63">
        <v>44676</v>
      </c>
      <c r="U152" s="59">
        <v>44701</v>
      </c>
      <c r="V152" s="29" t="s">
        <v>32</v>
      </c>
      <c r="W152" s="29" t="s">
        <v>51</v>
      </c>
      <c r="X152" s="27" t="s">
        <v>51</v>
      </c>
      <c r="Y152" s="54" t="s">
        <v>19</v>
      </c>
      <c r="Z152" s="29"/>
      <c r="AA152" s="29"/>
      <c r="AB152" s="54"/>
      <c r="AC152" s="29"/>
      <c r="AD152" s="59"/>
      <c r="AE152" s="29"/>
      <c r="AF152" s="29"/>
      <c r="AG152" s="29"/>
      <c r="AH152" s="27"/>
      <c r="AI152" s="54" t="s">
        <v>19</v>
      </c>
      <c r="AJ152" s="139"/>
      <c r="AK152" s="28"/>
      <c r="AL152" s="102"/>
      <c r="AM152" s="41" t="str">
        <f>VLOOKUP(Table2[[#This Row],[country]],Countrycode!A:B,2,FALSE)</f>
        <v>SSD</v>
      </c>
      <c r="AN152" s="34">
        <f>IF(ISBLANK(Table2[[#This Row],[Need_RRA]]), 2,(IF(Table2[[#This Row],[Need_RRA]]="No", 0, (IF(AND(Table2[[#This Row],[Need_RRA]]="Yes",  Table2[[#This Row],[RRA_pub_date]]=""),1, 0)))))</f>
        <v>0</v>
      </c>
      <c r="AO152" s="34">
        <f>IF(ISBLANK(Table2[[#This Row],[Need_EIS]]), 2,(IF(Table2[[#This Row],[Need_EIS]]="No", 0, (IF(AND(Table2[[#This Row],[Need_EIS]]="Yes",  Table2[[#This Row],[EIS_pub_date]]=""),1, 0)))))</f>
        <v>0</v>
      </c>
      <c r="AP152" s="34">
        <f>IF(ISBLANK(Table2[[#This Row],[Need_DON]]), 2,(IF(Table2[[#This Row],[Need_DON]]="No", 0, (IF(AND(Table2[[#This Row],[Need_DON]]="Yes",  Table2[[#This Row],[DON_pub_date]]=""),1, 0)))))</f>
        <v>0</v>
      </c>
      <c r="AQ152" s="34">
        <f>IF(ISBLANK(Table2[[#This Row],[Pending_question]]), 2,(IF(Table2[[#This Row],[Pending_question]]="Yes", 1, 0)))</f>
        <v>0</v>
      </c>
      <c r="AR152" s="43"/>
    </row>
    <row r="153" spans="1:44" ht="15" customHeight="1">
      <c r="A153" s="63">
        <v>44675</v>
      </c>
      <c r="B153" s="29" t="s">
        <v>15</v>
      </c>
      <c r="C153" s="34" t="str" cm="1">
        <f t="array" ref="C15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53" s="27" t="s">
        <v>512</v>
      </c>
      <c r="E153" s="16" t="s">
        <v>140</v>
      </c>
      <c r="F153" s="29" t="s">
        <v>208</v>
      </c>
      <c r="G153" s="29" t="s">
        <v>34</v>
      </c>
      <c r="H153" s="54">
        <v>25</v>
      </c>
      <c r="I153" s="59"/>
      <c r="J153" s="54"/>
      <c r="K153" s="63"/>
      <c r="L153" s="63"/>
      <c r="M153" s="70" t="s">
        <v>19</v>
      </c>
      <c r="N153" s="55"/>
      <c r="O153" s="71"/>
      <c r="P153" s="55" t="s">
        <v>30</v>
      </c>
      <c r="Q153" s="84">
        <v>1</v>
      </c>
      <c r="R153" s="54"/>
      <c r="S153" s="59">
        <v>44675</v>
      </c>
      <c r="T153" s="59"/>
      <c r="U153" s="59">
        <v>44675</v>
      </c>
      <c r="V153" s="29" t="s">
        <v>20</v>
      </c>
      <c r="W153" s="29" t="s">
        <v>32</v>
      </c>
      <c r="X153" s="27" t="s">
        <v>51</v>
      </c>
      <c r="Y153" s="54" t="s">
        <v>30</v>
      </c>
      <c r="Z153" s="29" t="s">
        <v>42</v>
      </c>
      <c r="AB153" s="16" t="s">
        <v>909</v>
      </c>
      <c r="AC153" s="59">
        <v>44675</v>
      </c>
      <c r="AD153" s="59"/>
      <c r="AE153" s="29" t="s">
        <v>910</v>
      </c>
      <c r="AF153" s="59">
        <v>44676</v>
      </c>
      <c r="AG153" s="59">
        <v>44677</v>
      </c>
      <c r="AH153" s="85">
        <v>44677</v>
      </c>
      <c r="AI153" s="54" t="s">
        <v>30</v>
      </c>
      <c r="AJ153" s="139"/>
      <c r="AK153" s="86">
        <v>44679</v>
      </c>
      <c r="AL153" s="102"/>
      <c r="AM153" s="41" t="str">
        <f>VLOOKUP(Table2[[#This Row],[country]],Countrycode!A:B,2,FALSE)</f>
        <v>COD</v>
      </c>
      <c r="AN153" s="34">
        <f>IF(ISBLANK(Table2[[#This Row],[Need_RRA]]), 2,(IF(Table2[[#This Row],[Need_RRA]]="No", 0, (IF(AND(Table2[[#This Row],[Need_RRA]]="Yes",  Table2[[#This Row],[RRA_pub_date]]=""),1, 0)))))</f>
        <v>0</v>
      </c>
      <c r="AO153" s="34">
        <f>IF(ISBLANK(Table2[[#This Row],[Need_EIS]]), 2,(IF(Table2[[#This Row],[Need_EIS]]="No", 0, (IF(AND(Table2[[#This Row],[Need_EIS]]="Yes",  Table2[[#This Row],[EIS_pub_date]]=""),1, 0)))))</f>
        <v>0</v>
      </c>
      <c r="AP153" s="34">
        <f>IF(ISBLANK(Table2[[#This Row],[Need_DON]]), 2,(IF(Table2[[#This Row],[Need_DON]]="No", 0, (IF(AND(Table2[[#This Row],[Need_DON]]="Yes",  Table2[[#This Row],[DON_pub_date]]=""),1, 0)))))</f>
        <v>0</v>
      </c>
      <c r="AQ153" s="34">
        <f>IF(ISBLANK(Table2[[#This Row],[Pending_question]]), 2,(IF(Table2[[#This Row],[Pending_question]]="Yes", 1, 0)))</f>
        <v>0</v>
      </c>
      <c r="AR153" s="43"/>
    </row>
    <row r="154" spans="1:44" ht="15" customHeight="1">
      <c r="A154" s="63">
        <v>44676</v>
      </c>
      <c r="B154" s="29" t="s">
        <v>15</v>
      </c>
      <c r="C154" s="110" t="str" cm="1">
        <f t="array" ref="C15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54" s="27" t="s">
        <v>833</v>
      </c>
      <c r="E154" s="67" t="s">
        <v>166</v>
      </c>
      <c r="F154" s="29" t="s">
        <v>265</v>
      </c>
      <c r="G154" s="29" t="s">
        <v>34</v>
      </c>
      <c r="H154" s="59">
        <v>44676</v>
      </c>
      <c r="I154" s="59">
        <v>44677</v>
      </c>
      <c r="J154" s="59">
        <v>44673</v>
      </c>
      <c r="K154" s="59" t="s">
        <v>911</v>
      </c>
      <c r="L154" s="85" t="s">
        <v>912</v>
      </c>
      <c r="M154" s="121" t="s">
        <v>30</v>
      </c>
      <c r="N154" s="59" t="s">
        <v>913</v>
      </c>
      <c r="O154" s="85">
        <v>44679</v>
      </c>
      <c r="P154" s="59" t="s">
        <v>30</v>
      </c>
      <c r="Q154" s="84">
        <v>1</v>
      </c>
      <c r="R154" s="29" t="s">
        <v>914</v>
      </c>
      <c r="S154" s="59">
        <v>44676</v>
      </c>
      <c r="T154" s="59"/>
      <c r="U154" s="59">
        <v>44680</v>
      </c>
      <c r="V154" s="29" t="s">
        <v>20</v>
      </c>
      <c r="W154" s="29" t="s">
        <v>51</v>
      </c>
      <c r="X154" s="27" t="s">
        <v>51</v>
      </c>
      <c r="Y154" s="29" t="s">
        <v>30</v>
      </c>
      <c r="Z154" s="29" t="s">
        <v>42</v>
      </c>
      <c r="AA154" s="29"/>
      <c r="AB154" s="29" t="s">
        <v>915</v>
      </c>
      <c r="AC154" s="59">
        <v>44676</v>
      </c>
      <c r="AD154" s="59"/>
      <c r="AE154" s="59">
        <v>44679</v>
      </c>
      <c r="AF154" s="59">
        <v>44680</v>
      </c>
      <c r="AG154" s="59">
        <v>44690</v>
      </c>
      <c r="AH154" s="85">
        <v>44690</v>
      </c>
      <c r="AI154" s="29" t="s">
        <v>30</v>
      </c>
      <c r="AJ154" s="139"/>
      <c r="AK154" s="86">
        <v>44694</v>
      </c>
      <c r="AL154" s="102" t="s">
        <v>916</v>
      </c>
      <c r="AM154" s="41" t="str">
        <f>VLOOKUP(Table2[[#This Row],[country]],Countrycode!A:B,2,FALSE)</f>
        <v>GIN</v>
      </c>
      <c r="AN154" s="34">
        <f>IF(ISBLANK(Table2[[#This Row],[Need_RRA]]), 2,(IF(Table2[[#This Row],[Need_RRA]]="No", 0, (IF(AND(Table2[[#This Row],[Need_RRA]]="Yes",  Table2[[#This Row],[RRA_pub_date]]=""),1, 0)))))</f>
        <v>0</v>
      </c>
      <c r="AO154" s="34">
        <f>IF(ISBLANK(Table2[[#This Row],[Need_EIS]]), 2,(IF(Table2[[#This Row],[Need_EIS]]="No", 0, (IF(AND(Table2[[#This Row],[Need_EIS]]="Yes",  Table2[[#This Row],[EIS_pub_date]]=""),1, 0)))))</f>
        <v>0</v>
      </c>
      <c r="AP154" s="34">
        <f>IF(ISBLANK(Table2[[#This Row],[Need_DON]]), 2,(IF(Table2[[#This Row],[Need_DON]]="No", 0, (IF(AND(Table2[[#This Row],[Need_DON]]="Yes",  Table2[[#This Row],[DON_pub_date]]=""),1, 0)))))</f>
        <v>0</v>
      </c>
      <c r="AQ154" s="34">
        <f>IF(ISBLANK(Table2[[#This Row],[Pending_question]]), 2,(IF(Table2[[#This Row],[Pending_question]]="Yes", 1, 0)))</f>
        <v>1</v>
      </c>
      <c r="AR154" s="43"/>
    </row>
    <row r="155" spans="1:44" ht="15" customHeight="1">
      <c r="A155" s="63">
        <v>44676</v>
      </c>
      <c r="B155" s="29" t="s">
        <v>15</v>
      </c>
      <c r="C155" s="34" t="str" cm="1">
        <f t="array" ref="C15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55" s="27" t="s">
        <v>906</v>
      </c>
      <c r="E155" s="67" t="s">
        <v>201</v>
      </c>
      <c r="F155" s="29" t="s">
        <v>335</v>
      </c>
      <c r="G155" s="29" t="s">
        <v>34</v>
      </c>
      <c r="H155" s="59">
        <v>44676</v>
      </c>
      <c r="I155" s="59"/>
      <c r="J155" s="29"/>
      <c r="K155" s="59"/>
      <c r="L155" s="85"/>
      <c r="M155" s="70" t="s">
        <v>19</v>
      </c>
      <c r="N155" s="59" t="s">
        <v>917</v>
      </c>
      <c r="O155" s="85">
        <v>44711</v>
      </c>
      <c r="P155" s="59" t="s">
        <v>19</v>
      </c>
      <c r="Q155" s="84"/>
      <c r="R155" s="29"/>
      <c r="S155" s="29"/>
      <c r="T155" s="59"/>
      <c r="U155" s="29"/>
      <c r="V155" s="29" t="s">
        <v>34</v>
      </c>
      <c r="W155" s="29" t="s">
        <v>34</v>
      </c>
      <c r="X155" s="27" t="s">
        <v>34</v>
      </c>
      <c r="Y155" s="29" t="s">
        <v>19</v>
      </c>
      <c r="Z155" s="29"/>
      <c r="AA155" s="29"/>
      <c r="AB155" s="29"/>
      <c r="AC155" s="59">
        <v>44677</v>
      </c>
      <c r="AD155" s="59"/>
      <c r="AE155" s="29"/>
      <c r="AF155" s="29"/>
      <c r="AG155" s="29"/>
      <c r="AH155" s="27"/>
      <c r="AI155" s="29" t="s">
        <v>19</v>
      </c>
      <c r="AJ155" s="139"/>
      <c r="AK155" s="28"/>
      <c r="AL155" s="102"/>
      <c r="AM155" s="41" t="str">
        <f>VLOOKUP(Table2[[#This Row],[country]],Countrycode!A:B,2,FALSE)</f>
        <v>PAK</v>
      </c>
      <c r="AN155" s="34">
        <f>IF(ISBLANK(Table2[[#This Row],[Need_RRA]]), 2,(IF(Table2[[#This Row],[Need_RRA]]="No", 0, (IF(AND(Table2[[#This Row],[Need_RRA]]="Yes",  Table2[[#This Row],[RRA_pub_date]]=""),1, 0)))))</f>
        <v>0</v>
      </c>
      <c r="AO155" s="34">
        <f>IF(ISBLANK(Table2[[#This Row],[Need_EIS]]), 2,(IF(Table2[[#This Row],[Need_EIS]]="No", 0, (IF(AND(Table2[[#This Row],[Need_EIS]]="Yes",  Table2[[#This Row],[EIS_pub_date]]=""),1, 0)))))</f>
        <v>0</v>
      </c>
      <c r="AP155" s="34">
        <f>IF(ISBLANK(Table2[[#This Row],[Need_DON]]), 2,(IF(Table2[[#This Row],[Need_DON]]="No", 0, (IF(AND(Table2[[#This Row],[Need_DON]]="Yes",  Table2[[#This Row],[DON_pub_date]]=""),1, 0)))))</f>
        <v>0</v>
      </c>
      <c r="AQ155" s="34">
        <f>IF(ISBLANK(Table2[[#This Row],[Pending_question]]), 2,(IF(Table2[[#This Row],[Pending_question]]="Yes", 1, 0)))</f>
        <v>0</v>
      </c>
      <c r="AR155" s="43"/>
    </row>
    <row r="156" spans="1:44" ht="15" customHeight="1">
      <c r="A156" s="63">
        <v>44677</v>
      </c>
      <c r="B156" s="29" t="s">
        <v>15</v>
      </c>
      <c r="C156" s="34" t="str" cm="1">
        <f t="array" ref="C15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56" s="27" t="s">
        <v>833</v>
      </c>
      <c r="E156" s="16" t="s">
        <v>94</v>
      </c>
      <c r="F156" s="29" t="s">
        <v>173</v>
      </c>
      <c r="G156" s="29" t="s">
        <v>918</v>
      </c>
      <c r="H156" s="59">
        <v>44677</v>
      </c>
      <c r="I156" s="59">
        <v>44680</v>
      </c>
      <c r="J156" s="59">
        <v>44677</v>
      </c>
      <c r="K156" s="59" t="s">
        <v>919</v>
      </c>
      <c r="L156" s="59" t="s">
        <v>920</v>
      </c>
      <c r="M156" s="70" t="s">
        <v>19</v>
      </c>
      <c r="N156" s="59"/>
      <c r="O156" s="85"/>
      <c r="P156" s="59" t="s">
        <v>19</v>
      </c>
      <c r="Q156" s="84"/>
      <c r="R156" s="29"/>
      <c r="S156" s="29"/>
      <c r="T156" s="59"/>
      <c r="U156" s="29"/>
      <c r="V156" s="29" t="s">
        <v>34</v>
      </c>
      <c r="W156" s="29" t="s">
        <v>34</v>
      </c>
      <c r="X156" s="27" t="s">
        <v>34</v>
      </c>
      <c r="Y156" s="29" t="s">
        <v>30</v>
      </c>
      <c r="Z156" s="29" t="s">
        <v>42</v>
      </c>
      <c r="AA156" s="29"/>
      <c r="AB156" s="29" t="s">
        <v>921</v>
      </c>
      <c r="AC156" s="59">
        <v>44677</v>
      </c>
      <c r="AD156" s="59"/>
      <c r="AE156" s="59">
        <v>44678</v>
      </c>
      <c r="AF156" s="59">
        <v>44678</v>
      </c>
      <c r="AG156" s="59">
        <v>44685</v>
      </c>
      <c r="AH156" s="59">
        <v>44685</v>
      </c>
      <c r="AI156" s="29" t="s">
        <v>30</v>
      </c>
      <c r="AJ156" s="139"/>
      <c r="AK156" s="86">
        <v>44690</v>
      </c>
      <c r="AL156" s="102" t="s">
        <v>922</v>
      </c>
      <c r="AM156" s="41" t="str">
        <f>VLOOKUP(Table2[[#This Row],[country]],Countrycode!A:B,2,FALSE)</f>
        <v>CHN</v>
      </c>
      <c r="AN156" s="34">
        <f>IF(ISBLANK(Table2[[#This Row],[Need_RRA]]), 2,(IF(Table2[[#This Row],[Need_RRA]]="No", 0, (IF(AND(Table2[[#This Row],[Need_RRA]]="Yes",  Table2[[#This Row],[RRA_pub_date]]=""),1, 0)))))</f>
        <v>0</v>
      </c>
      <c r="AO156" s="34">
        <f>IF(ISBLANK(Table2[[#This Row],[Need_EIS]]), 2,(IF(Table2[[#This Row],[Need_EIS]]="No", 0, (IF(AND(Table2[[#This Row],[Need_EIS]]="Yes",  Table2[[#This Row],[EIS_pub_date]]=""),1, 0)))))</f>
        <v>0</v>
      </c>
      <c r="AP156" s="34">
        <f>IF(ISBLANK(Table2[[#This Row],[Need_DON]]), 2,(IF(Table2[[#This Row],[Need_DON]]="No", 0, (IF(AND(Table2[[#This Row],[Need_DON]]="Yes",  Table2[[#This Row],[DON_pub_date]]=""),1, 0)))))</f>
        <v>0</v>
      </c>
      <c r="AQ156" s="34">
        <f>IF(ISBLANK(Table2[[#This Row],[Pending_question]]), 2,(IF(Table2[[#This Row],[Pending_question]]="Yes", 1, 0)))</f>
        <v>0</v>
      </c>
      <c r="AR156" s="43"/>
    </row>
    <row r="157" spans="1:44" ht="15" customHeight="1">
      <c r="A157" s="63">
        <v>44679</v>
      </c>
      <c r="B157" s="29" t="s">
        <v>15</v>
      </c>
      <c r="C157" s="34" t="str" cm="1">
        <f t="array" ref="C15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57" s="27" t="s">
        <v>833</v>
      </c>
      <c r="E157" s="16" t="s">
        <v>180</v>
      </c>
      <c r="F157" s="29" t="s">
        <v>334</v>
      </c>
      <c r="G157" s="29" t="s">
        <v>34</v>
      </c>
      <c r="H157" s="59">
        <v>44679</v>
      </c>
      <c r="I157" s="59"/>
      <c r="J157" s="59">
        <v>44679</v>
      </c>
      <c r="K157" s="59" t="s">
        <v>923</v>
      </c>
      <c r="L157" s="59" t="s">
        <v>924</v>
      </c>
      <c r="M157" s="70" t="s">
        <v>19</v>
      </c>
      <c r="N157" s="59" t="s">
        <v>925</v>
      </c>
      <c r="O157" s="85"/>
      <c r="P157" s="59" t="s">
        <v>19</v>
      </c>
      <c r="Q157" s="84"/>
      <c r="R157" s="29"/>
      <c r="S157" s="29"/>
      <c r="T157" s="59"/>
      <c r="U157" s="29"/>
      <c r="V157" s="29" t="s">
        <v>34</v>
      </c>
      <c r="W157" s="29" t="s">
        <v>34</v>
      </c>
      <c r="X157" s="27" t="s">
        <v>34</v>
      </c>
      <c r="Y157" s="29" t="s">
        <v>30</v>
      </c>
      <c r="Z157" s="29" t="s">
        <v>42</v>
      </c>
      <c r="AA157" s="29"/>
      <c r="AB157" s="29" t="s">
        <v>926</v>
      </c>
      <c r="AC157" s="59">
        <v>44679</v>
      </c>
      <c r="AD157" s="59"/>
      <c r="AE157" s="59">
        <v>44684</v>
      </c>
      <c r="AF157" s="59">
        <v>44686</v>
      </c>
      <c r="AG157" s="59">
        <v>44690</v>
      </c>
      <c r="AH157" s="85">
        <v>44691</v>
      </c>
      <c r="AI157" s="29" t="s">
        <v>30</v>
      </c>
      <c r="AJ157" s="139"/>
      <c r="AK157" s="86">
        <v>44698</v>
      </c>
      <c r="AL157" s="102"/>
      <c r="AM157" s="41" t="str">
        <f>VLOOKUP(Table2[[#This Row],[country]],Countrycode!A:B,2,FALSE)</f>
        <v>OMN</v>
      </c>
      <c r="AN157" s="34">
        <f>IF(ISBLANK(Table2[[#This Row],[Need_RRA]]), 2,(IF(Table2[[#This Row],[Need_RRA]]="No", 0, (IF(AND(Table2[[#This Row],[Need_RRA]]="Yes",  Table2[[#This Row],[RRA_pub_date]]=""),1, 0)))))</f>
        <v>0</v>
      </c>
      <c r="AO157" s="34">
        <f>IF(ISBLANK(Table2[[#This Row],[Need_EIS]]), 2,(IF(Table2[[#This Row],[Need_EIS]]="No", 0, (IF(AND(Table2[[#This Row],[Need_EIS]]="Yes",  Table2[[#This Row],[EIS_pub_date]]=""),1, 0)))))</f>
        <v>0</v>
      </c>
      <c r="AP157" s="34">
        <f>IF(ISBLANK(Table2[[#This Row],[Need_DON]]), 2,(IF(Table2[[#This Row],[Need_DON]]="No", 0, (IF(AND(Table2[[#This Row],[Need_DON]]="Yes",  Table2[[#This Row],[DON_pub_date]]=""),1, 0)))))</f>
        <v>0</v>
      </c>
      <c r="AQ157" s="34">
        <f>IF(ISBLANK(Table2[[#This Row],[Pending_question]]), 2,(IF(Table2[[#This Row],[Pending_question]]="Yes", 1, 0)))</f>
        <v>0</v>
      </c>
      <c r="AR157" s="43"/>
    </row>
    <row r="158" spans="1:44" ht="15" customHeight="1">
      <c r="A158" s="63">
        <v>44681</v>
      </c>
      <c r="B158" s="29" t="s">
        <v>15</v>
      </c>
      <c r="C158" s="34" t="str" cm="1">
        <f t="array" ref="C15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58" s="27" t="s">
        <v>927</v>
      </c>
      <c r="E158" s="67" t="s">
        <v>99</v>
      </c>
      <c r="F158" s="29" t="s">
        <v>403</v>
      </c>
      <c r="G158" s="29" t="s">
        <v>34</v>
      </c>
      <c r="H158" s="59"/>
      <c r="I158" s="59"/>
      <c r="J158" s="59">
        <v>44681</v>
      </c>
      <c r="K158" s="29" t="s">
        <v>928</v>
      </c>
      <c r="L158" s="372" t="s">
        <v>929</v>
      </c>
      <c r="M158" s="70" t="s">
        <v>19</v>
      </c>
      <c r="N158" s="59"/>
      <c r="O158" s="85"/>
      <c r="P158" s="59" t="s">
        <v>19</v>
      </c>
      <c r="Q158" s="84"/>
      <c r="R158" s="29"/>
      <c r="S158" s="29"/>
      <c r="T158" s="59"/>
      <c r="U158" s="29"/>
      <c r="V158" s="29" t="s">
        <v>34</v>
      </c>
      <c r="W158" s="29" t="s">
        <v>34</v>
      </c>
      <c r="X158" s="27" t="s">
        <v>34</v>
      </c>
      <c r="Y158" s="29" t="s">
        <v>30</v>
      </c>
      <c r="Z158" s="29" t="s">
        <v>42</v>
      </c>
      <c r="AA158" s="29"/>
      <c r="AB158" s="29" t="s">
        <v>930</v>
      </c>
      <c r="AC158" s="59">
        <v>44681</v>
      </c>
      <c r="AD158" s="59"/>
      <c r="AE158" s="59">
        <v>44683</v>
      </c>
      <c r="AF158" s="59">
        <v>44683</v>
      </c>
      <c r="AG158" s="59">
        <v>44684</v>
      </c>
      <c r="AH158" s="59">
        <v>44684</v>
      </c>
      <c r="AI158" s="29" t="s">
        <v>30</v>
      </c>
      <c r="AJ158" s="139"/>
      <c r="AK158" s="86">
        <v>44687</v>
      </c>
      <c r="AL158" s="102"/>
      <c r="AM158" s="41" t="str">
        <f>VLOOKUP(Table2[[#This Row],[country]],Countrycode!A:B,2,FALSE)</f>
        <v>USA</v>
      </c>
      <c r="AN158" s="34">
        <f>IF(ISBLANK(Table2[[#This Row],[Need_RRA]]), 2,(IF(Table2[[#This Row],[Need_RRA]]="No", 0, (IF(AND(Table2[[#This Row],[Need_RRA]]="Yes",  Table2[[#This Row],[RRA_pub_date]]=""),1, 0)))))</f>
        <v>0</v>
      </c>
      <c r="AO158" s="34">
        <f>IF(ISBLANK(Table2[[#This Row],[Need_EIS]]), 2,(IF(Table2[[#This Row],[Need_EIS]]="No", 0, (IF(AND(Table2[[#This Row],[Need_EIS]]="Yes",  Table2[[#This Row],[EIS_pub_date]]=""),1, 0)))))</f>
        <v>0</v>
      </c>
      <c r="AP158" s="34">
        <f>IF(ISBLANK(Table2[[#This Row],[Need_DON]]), 2,(IF(Table2[[#This Row],[Need_DON]]="No", 0, (IF(AND(Table2[[#This Row],[Need_DON]]="Yes",  Table2[[#This Row],[DON_pub_date]]=""),1, 0)))))</f>
        <v>0</v>
      </c>
      <c r="AQ158" s="34">
        <f>IF(ISBLANK(Table2[[#This Row],[Pending_question]]), 2,(IF(Table2[[#This Row],[Pending_question]]="Yes", 1, 0)))</f>
        <v>0</v>
      </c>
      <c r="AR158" s="43"/>
    </row>
    <row r="159" spans="1:44" ht="15" customHeight="1">
      <c r="A159" s="63">
        <v>44683</v>
      </c>
      <c r="B159" s="29" t="s">
        <v>15</v>
      </c>
      <c r="C159" s="34" t="str" cm="1">
        <f t="array" ref="C15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59" s="27" t="s">
        <v>833</v>
      </c>
      <c r="E159" s="67" t="s">
        <v>136</v>
      </c>
      <c r="F159" s="29" t="s">
        <v>362</v>
      </c>
      <c r="G159" s="29" t="s">
        <v>34</v>
      </c>
      <c r="H159" s="59">
        <v>44683</v>
      </c>
      <c r="I159" s="59"/>
      <c r="J159" s="59">
        <v>44679</v>
      </c>
      <c r="K159" s="59" t="s">
        <v>931</v>
      </c>
      <c r="L159" s="85" t="s">
        <v>932</v>
      </c>
      <c r="M159" s="70" t="s">
        <v>19</v>
      </c>
      <c r="N159" s="59" t="s">
        <v>933</v>
      </c>
      <c r="O159" s="85"/>
      <c r="P159" s="59" t="s">
        <v>30</v>
      </c>
      <c r="Q159" s="84">
        <v>1</v>
      </c>
      <c r="R159" s="29" t="s">
        <v>934</v>
      </c>
      <c r="S159" s="59">
        <v>44679</v>
      </c>
      <c r="T159" s="59"/>
      <c r="U159" s="59">
        <v>44691</v>
      </c>
      <c r="V159" s="29" t="s">
        <v>20</v>
      </c>
      <c r="W159" s="29" t="s">
        <v>51</v>
      </c>
      <c r="X159" s="27" t="s">
        <v>51</v>
      </c>
      <c r="Y159" s="29" t="s">
        <v>30</v>
      </c>
      <c r="Z159" s="29"/>
      <c r="AA159" s="29"/>
      <c r="AB159" s="29" t="s">
        <v>935</v>
      </c>
      <c r="AC159" s="59">
        <v>44694</v>
      </c>
      <c r="AD159" s="59"/>
      <c r="AE159" s="59">
        <v>44695</v>
      </c>
      <c r="AF159" s="59">
        <v>44703</v>
      </c>
      <c r="AG159" s="59">
        <v>44704</v>
      </c>
      <c r="AH159" s="85">
        <v>44704</v>
      </c>
      <c r="AI159" s="29" t="s">
        <v>30</v>
      </c>
      <c r="AJ159" s="139"/>
      <c r="AK159" s="86">
        <v>44707</v>
      </c>
      <c r="AL159" s="102" t="s">
        <v>936</v>
      </c>
      <c r="AM159" s="41" t="str">
        <f>VLOOKUP(Table2[[#This Row],[country]],Countrycode!A:B,2,FALSE)</f>
        <v>STP</v>
      </c>
      <c r="AN159" s="34">
        <f>IF(ISBLANK(Table2[[#This Row],[Need_RRA]]), 2,(IF(Table2[[#This Row],[Need_RRA]]="No", 0, (IF(AND(Table2[[#This Row],[Need_RRA]]="Yes",  Table2[[#This Row],[RRA_pub_date]]=""),1, 0)))))</f>
        <v>0</v>
      </c>
      <c r="AO159" s="34">
        <f>IF(ISBLANK(Table2[[#This Row],[Need_EIS]]), 2,(IF(Table2[[#This Row],[Need_EIS]]="No", 0, (IF(AND(Table2[[#This Row],[Need_EIS]]="Yes",  Table2[[#This Row],[EIS_pub_date]]=""),1, 0)))))</f>
        <v>0</v>
      </c>
      <c r="AP159" s="34">
        <f>IF(ISBLANK(Table2[[#This Row],[Need_DON]]), 2,(IF(Table2[[#This Row],[Need_DON]]="No", 0, (IF(AND(Table2[[#This Row],[Need_DON]]="Yes",  Table2[[#This Row],[DON_pub_date]]=""),1, 0)))))</f>
        <v>0</v>
      </c>
      <c r="AQ159" s="34">
        <f>IF(ISBLANK(Table2[[#This Row],[Pending_question]]), 2,(IF(Table2[[#This Row],[Pending_question]]="Yes", 1, 0)))</f>
        <v>0</v>
      </c>
      <c r="AR159" s="43"/>
    </row>
    <row r="160" spans="1:44" ht="15" customHeight="1">
      <c r="A160" s="63">
        <v>44690</v>
      </c>
      <c r="B160" s="29" t="s">
        <v>15</v>
      </c>
      <c r="C160" s="34" t="str" cm="1">
        <f t="array" ref="C16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60" s="27" t="s">
        <v>927</v>
      </c>
      <c r="E160" s="67" t="s">
        <v>667</v>
      </c>
      <c r="F160" s="29" t="s">
        <v>400</v>
      </c>
      <c r="G160" s="29" t="s">
        <v>34</v>
      </c>
      <c r="H160" s="29"/>
      <c r="I160" s="59"/>
      <c r="J160" s="59">
        <v>44690</v>
      </c>
      <c r="K160" s="59" t="s">
        <v>937</v>
      </c>
      <c r="L160" s="85" t="s">
        <v>938</v>
      </c>
      <c r="M160" s="70" t="s">
        <v>19</v>
      </c>
      <c r="N160" s="59"/>
      <c r="O160" s="85"/>
      <c r="P160" s="59" t="s">
        <v>19</v>
      </c>
      <c r="Q160" s="84"/>
      <c r="R160" s="29"/>
      <c r="S160" s="29"/>
      <c r="T160" s="59"/>
      <c r="U160" s="29"/>
      <c r="V160" s="29" t="s">
        <v>34</v>
      </c>
      <c r="W160" s="29" t="s">
        <v>34</v>
      </c>
      <c r="X160" s="27" t="s">
        <v>34</v>
      </c>
      <c r="Y160" s="29" t="s">
        <v>30</v>
      </c>
      <c r="Z160" s="29" t="s">
        <v>42</v>
      </c>
      <c r="AA160" s="29"/>
      <c r="AB160" s="59" t="s">
        <v>939</v>
      </c>
      <c r="AC160" s="59">
        <v>44690</v>
      </c>
      <c r="AD160" s="59"/>
      <c r="AE160" s="59">
        <v>44690</v>
      </c>
      <c r="AF160" s="59">
        <v>44691</v>
      </c>
      <c r="AG160" s="85">
        <v>44692</v>
      </c>
      <c r="AH160" s="85">
        <v>44692</v>
      </c>
      <c r="AI160" s="29" t="s">
        <v>30</v>
      </c>
      <c r="AJ160" s="139"/>
      <c r="AK160" s="86">
        <v>44697</v>
      </c>
      <c r="AL160" s="102"/>
      <c r="AM160" s="41" t="str">
        <f>VLOOKUP(Table2[[#This Row],[country]],Countrycode!A:B,2,FALSE)</f>
        <v>GBR</v>
      </c>
      <c r="AN160" s="34">
        <f>IF(ISBLANK(Table2[[#This Row],[Need_RRA]]), 2,(IF(Table2[[#This Row],[Need_RRA]]="No", 0, (IF(AND(Table2[[#This Row],[Need_RRA]]="Yes",  Table2[[#This Row],[RRA_pub_date]]=""),1, 0)))))</f>
        <v>0</v>
      </c>
      <c r="AO160" s="34">
        <f>IF(ISBLANK(Table2[[#This Row],[Need_EIS]]), 2,(IF(Table2[[#This Row],[Need_EIS]]="No", 0, (IF(AND(Table2[[#This Row],[Need_EIS]]="Yes",  Table2[[#This Row],[EIS_pub_date]]=""),1, 0)))))</f>
        <v>0</v>
      </c>
      <c r="AP160" s="34">
        <f>IF(ISBLANK(Table2[[#This Row],[Need_DON]]), 2,(IF(Table2[[#This Row],[Need_DON]]="No", 0, (IF(AND(Table2[[#This Row],[Need_DON]]="Yes",  Table2[[#This Row],[DON_pub_date]]=""),1, 0)))))</f>
        <v>0</v>
      </c>
      <c r="AQ160" s="34">
        <f>IF(ISBLANK(Table2[[#This Row],[Pending_question]]), 2,(IF(Table2[[#This Row],[Pending_question]]="Yes", 1, 0)))</f>
        <v>0</v>
      </c>
      <c r="AR160" s="43"/>
    </row>
    <row r="161" spans="1:44" ht="15" customHeight="1">
      <c r="A161" s="63">
        <v>44692</v>
      </c>
      <c r="B161" s="29" t="s">
        <v>15</v>
      </c>
      <c r="C161" s="34" t="str" cm="1">
        <f t="array" ref="C16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61" s="27" t="s">
        <v>927</v>
      </c>
      <c r="E161" s="67" t="s">
        <v>80</v>
      </c>
      <c r="F161" s="29" t="s">
        <v>255</v>
      </c>
      <c r="G161" s="29" t="s">
        <v>34</v>
      </c>
      <c r="H161" s="29"/>
      <c r="I161" s="59"/>
      <c r="J161" s="59">
        <v>44692</v>
      </c>
      <c r="K161" s="59" t="s">
        <v>940</v>
      </c>
      <c r="L161" s="85" t="s">
        <v>941</v>
      </c>
      <c r="M161" s="70" t="s">
        <v>19</v>
      </c>
      <c r="N161" s="59"/>
      <c r="O161" s="85"/>
      <c r="P161" s="59" t="s">
        <v>19</v>
      </c>
      <c r="Q161" s="84"/>
      <c r="R161" s="29"/>
      <c r="S161" s="29"/>
      <c r="T161" s="59"/>
      <c r="U161" s="29"/>
      <c r="V161" s="29" t="s">
        <v>34</v>
      </c>
      <c r="W161" s="29" t="s">
        <v>34</v>
      </c>
      <c r="X161" s="27" t="s">
        <v>34</v>
      </c>
      <c r="Y161" s="29" t="s">
        <v>30</v>
      </c>
      <c r="Z161" s="29" t="s">
        <v>42</v>
      </c>
      <c r="AA161" s="29"/>
      <c r="AB161" s="29" t="s">
        <v>942</v>
      </c>
      <c r="AC161" s="59">
        <v>44692</v>
      </c>
      <c r="AD161" s="59"/>
      <c r="AE161" s="59">
        <v>44693</v>
      </c>
      <c r="AF161" s="59">
        <v>44693</v>
      </c>
      <c r="AG161" s="85">
        <v>44694</v>
      </c>
      <c r="AH161" s="85">
        <v>44694</v>
      </c>
      <c r="AI161" s="29" t="s">
        <v>30</v>
      </c>
      <c r="AJ161" s="139"/>
      <c r="AK161" s="86">
        <v>44700</v>
      </c>
      <c r="AL161" s="102"/>
      <c r="AM161" s="41" t="str">
        <f>VLOOKUP(Table2[[#This Row],[country]],Countrycode!A:B,2,FALSE)</f>
        <v>DEU</v>
      </c>
      <c r="AN161" s="34">
        <f>IF(ISBLANK(Table2[[#This Row],[Need_RRA]]), 2,(IF(Table2[[#This Row],[Need_RRA]]="No", 0, (IF(AND(Table2[[#This Row],[Need_RRA]]="Yes",  Table2[[#This Row],[RRA_pub_date]]=""),1, 0)))))</f>
        <v>0</v>
      </c>
      <c r="AO161" s="34">
        <f>IF(ISBLANK(Table2[[#This Row],[Need_EIS]]), 2,(IF(Table2[[#This Row],[Need_EIS]]="No", 0, (IF(AND(Table2[[#This Row],[Need_EIS]]="Yes",  Table2[[#This Row],[EIS_pub_date]]=""),1, 0)))))</f>
        <v>0</v>
      </c>
      <c r="AP161" s="34">
        <f>IF(ISBLANK(Table2[[#This Row],[Need_DON]]), 2,(IF(Table2[[#This Row],[Need_DON]]="No", 0, (IF(AND(Table2[[#This Row],[Need_DON]]="Yes",  Table2[[#This Row],[DON_pub_date]]=""),1, 0)))))</f>
        <v>0</v>
      </c>
      <c r="AQ161" s="34">
        <f>IF(ISBLANK(Table2[[#This Row],[Pending_question]]), 2,(IF(Table2[[#This Row],[Pending_question]]="Yes", 1, 0)))</f>
        <v>0</v>
      </c>
      <c r="AR161" s="43"/>
    </row>
    <row r="162" spans="1:44" ht="15" customHeight="1">
      <c r="A162" s="63">
        <v>44693</v>
      </c>
      <c r="B162" s="29" t="s">
        <v>15</v>
      </c>
      <c r="C162" s="34" t="str" cm="1">
        <f t="array" ref="C16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62" s="27" t="s">
        <v>759</v>
      </c>
      <c r="E162" s="67" t="s">
        <v>128</v>
      </c>
      <c r="F162" s="29" t="s">
        <v>376</v>
      </c>
      <c r="G162" s="29" t="s">
        <v>34</v>
      </c>
      <c r="H162" s="29"/>
      <c r="I162" s="59"/>
      <c r="J162" s="29"/>
      <c r="K162" s="59"/>
      <c r="L162" s="85"/>
      <c r="M162" s="70" t="s">
        <v>19</v>
      </c>
      <c r="N162" s="59"/>
      <c r="O162" s="85"/>
      <c r="P162" s="59" t="s">
        <v>30</v>
      </c>
      <c r="Q162" s="84">
        <v>1</v>
      </c>
      <c r="R162" s="29" t="s">
        <v>943</v>
      </c>
      <c r="S162" s="59">
        <v>44693</v>
      </c>
      <c r="T162" s="59"/>
      <c r="U162" s="59">
        <v>44707</v>
      </c>
      <c r="V162" s="29" t="s">
        <v>20</v>
      </c>
      <c r="W162" s="29" t="s">
        <v>32</v>
      </c>
      <c r="X162" s="27" t="s">
        <v>51</v>
      </c>
      <c r="Y162" s="29" t="s">
        <v>19</v>
      </c>
      <c r="Z162" s="29" t="s">
        <v>34</v>
      </c>
      <c r="AA162" s="29"/>
      <c r="AB162" s="29" t="s">
        <v>944</v>
      </c>
      <c r="AC162" s="59">
        <v>44711</v>
      </c>
      <c r="AD162" s="59"/>
      <c r="AE162" s="59">
        <v>44715</v>
      </c>
      <c r="AF162" s="59">
        <v>44718</v>
      </c>
      <c r="AG162" s="29"/>
      <c r="AH162" s="27"/>
      <c r="AI162" s="29" t="s">
        <v>19</v>
      </c>
      <c r="AJ162" s="139"/>
      <c r="AK162" s="28"/>
      <c r="AL162" s="102" t="s">
        <v>945</v>
      </c>
      <c r="AM162" s="41" t="str">
        <f>VLOOKUP(Table2[[#This Row],[country]],Countrycode!A:B,2,FALSE)</f>
        <v>SSD</v>
      </c>
      <c r="AN162" s="34">
        <f>IF(ISBLANK(Table2[[#This Row],[Need_RRA]]), 2,(IF(Table2[[#This Row],[Need_RRA]]="No", 0, (IF(AND(Table2[[#This Row],[Need_RRA]]="Yes",  Table2[[#This Row],[RRA_pub_date]]=""),1, 0)))))</f>
        <v>0</v>
      </c>
      <c r="AO162" s="34">
        <f>IF(ISBLANK(Table2[[#This Row],[Need_EIS]]), 2,(IF(Table2[[#This Row],[Need_EIS]]="No", 0, (IF(AND(Table2[[#This Row],[Need_EIS]]="Yes",  Table2[[#This Row],[EIS_pub_date]]=""),1, 0)))))</f>
        <v>0</v>
      </c>
      <c r="AP162" s="34">
        <f>IF(ISBLANK(Table2[[#This Row],[Need_DON]]), 2,(IF(Table2[[#This Row],[Need_DON]]="No", 0, (IF(AND(Table2[[#This Row],[Need_DON]]="Yes",  Table2[[#This Row],[DON_pub_date]]=""),1, 0)))))</f>
        <v>0</v>
      </c>
      <c r="AQ162" s="34">
        <f>IF(ISBLANK(Table2[[#This Row],[Pending_question]]), 2,(IF(Table2[[#This Row],[Pending_question]]="Yes", 1, 0)))</f>
        <v>0</v>
      </c>
      <c r="AR162" s="43"/>
    </row>
    <row r="163" spans="1:44" ht="15" customHeight="1">
      <c r="A163" s="63">
        <v>44694</v>
      </c>
      <c r="B163" s="29" t="s">
        <v>15</v>
      </c>
      <c r="C163" s="34" t="str" cm="1">
        <f t="array" ref="C16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63" s="27" t="s">
        <v>927</v>
      </c>
      <c r="E163" s="67" t="s">
        <v>667</v>
      </c>
      <c r="F163" s="29" t="s">
        <v>400</v>
      </c>
      <c r="G163" s="29" t="s">
        <v>34</v>
      </c>
      <c r="H163" s="29"/>
      <c r="I163" s="59"/>
      <c r="J163" s="29"/>
      <c r="K163" s="59"/>
      <c r="L163" s="85"/>
      <c r="M163" s="70" t="s">
        <v>19</v>
      </c>
      <c r="N163" s="59"/>
      <c r="O163" s="85"/>
      <c r="P163" s="59" t="s">
        <v>19</v>
      </c>
      <c r="Q163" s="84"/>
      <c r="R163" s="29"/>
      <c r="S163" s="29"/>
      <c r="T163" s="59"/>
      <c r="U163" s="29"/>
      <c r="V163" s="29" t="s">
        <v>34</v>
      </c>
      <c r="W163" s="29" t="s">
        <v>34</v>
      </c>
      <c r="X163" s="27" t="s">
        <v>34</v>
      </c>
      <c r="Y163" s="29" t="s">
        <v>30</v>
      </c>
      <c r="Z163" s="29" t="s">
        <v>42</v>
      </c>
      <c r="AA163" s="29"/>
      <c r="AB163" s="29" t="s">
        <v>946</v>
      </c>
      <c r="AC163" s="59">
        <v>44694</v>
      </c>
      <c r="AD163" s="59"/>
      <c r="AE163" s="59">
        <v>44694</v>
      </c>
      <c r="AF163" s="59">
        <v>44697</v>
      </c>
      <c r="AG163" s="59">
        <v>44697</v>
      </c>
      <c r="AH163" s="85">
        <v>44697</v>
      </c>
      <c r="AI163" s="29" t="s">
        <v>30</v>
      </c>
      <c r="AJ163" s="139"/>
      <c r="AK163" s="86">
        <v>44699</v>
      </c>
      <c r="AL163" s="102"/>
      <c r="AM163" s="41" t="str">
        <f>VLOOKUP(Table2[[#This Row],[country]],Countrycode!A:B,2,FALSE)</f>
        <v>GBR</v>
      </c>
      <c r="AN163" s="34">
        <f>IF(ISBLANK(Table2[[#This Row],[Need_RRA]]), 2,(IF(Table2[[#This Row],[Need_RRA]]="No", 0, (IF(AND(Table2[[#This Row],[Need_RRA]]="Yes",  Table2[[#This Row],[RRA_pub_date]]=""),1, 0)))))</f>
        <v>0</v>
      </c>
      <c r="AO163" s="34">
        <f>IF(ISBLANK(Table2[[#This Row],[Need_EIS]]), 2,(IF(Table2[[#This Row],[Need_EIS]]="No", 0, (IF(AND(Table2[[#This Row],[Need_EIS]]="Yes",  Table2[[#This Row],[EIS_pub_date]]=""),1, 0)))))</f>
        <v>0</v>
      </c>
      <c r="AP163" s="34">
        <f>IF(ISBLANK(Table2[[#This Row],[Need_DON]]), 2,(IF(Table2[[#This Row],[Need_DON]]="No", 0, (IF(AND(Table2[[#This Row],[Need_DON]]="Yes",  Table2[[#This Row],[DON_pub_date]]=""),1, 0)))))</f>
        <v>0</v>
      </c>
      <c r="AQ163" s="34">
        <f>IF(ISBLANK(Table2[[#This Row],[Pending_question]]), 2,(IF(Table2[[#This Row],[Pending_question]]="Yes", 1, 0)))</f>
        <v>0</v>
      </c>
      <c r="AR163" s="43"/>
    </row>
    <row r="164" spans="1:44" ht="15" customHeight="1">
      <c r="A164" s="63">
        <v>44698</v>
      </c>
      <c r="B164" s="29" t="s">
        <v>15</v>
      </c>
      <c r="C164" s="34" t="str" cm="1">
        <f t="array" ref="C16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64" s="27" t="s">
        <v>947</v>
      </c>
      <c r="E164" s="67" t="s">
        <v>667</v>
      </c>
      <c r="F164" s="29" t="s">
        <v>93</v>
      </c>
      <c r="G164" s="29" t="s">
        <v>93</v>
      </c>
      <c r="H164" s="29"/>
      <c r="I164" s="59"/>
      <c r="J164" s="59">
        <v>44698</v>
      </c>
      <c r="K164" s="250" t="s">
        <v>948</v>
      </c>
      <c r="L164" s="104" t="s">
        <v>949</v>
      </c>
      <c r="M164" s="70" t="s">
        <v>19</v>
      </c>
      <c r="N164" s="59"/>
      <c r="O164" s="85"/>
      <c r="P164" s="59" t="s">
        <v>30</v>
      </c>
      <c r="Q164" s="84">
        <v>2</v>
      </c>
      <c r="R164" s="29" t="s">
        <v>950</v>
      </c>
      <c r="S164" s="59">
        <v>44726</v>
      </c>
      <c r="T164" s="59"/>
      <c r="U164" s="59">
        <v>44734</v>
      </c>
      <c r="V164" s="29" t="s">
        <v>34</v>
      </c>
      <c r="W164" s="29" t="s">
        <v>34</v>
      </c>
      <c r="X164" s="27" t="s">
        <v>32</v>
      </c>
      <c r="Y164" s="29" t="s">
        <v>30</v>
      </c>
      <c r="Z164" s="29" t="s">
        <v>33</v>
      </c>
      <c r="AA164" s="29"/>
      <c r="AB164" s="29" t="s">
        <v>951</v>
      </c>
      <c r="AC164" s="59">
        <v>44726</v>
      </c>
      <c r="AD164" s="59"/>
      <c r="AE164" s="59">
        <v>44726</v>
      </c>
      <c r="AF164" s="29"/>
      <c r="AG164" s="29"/>
      <c r="AH164" s="85">
        <v>44728</v>
      </c>
      <c r="AI164" s="29" t="s">
        <v>30</v>
      </c>
      <c r="AJ164" s="139"/>
      <c r="AK164" s="86">
        <v>44729</v>
      </c>
      <c r="AL164" s="102"/>
      <c r="AM164" s="41" t="e">
        <f>VLOOKUP(Table2[[#This Row],[country]],Countrycode!A:B,2,FALSE)</f>
        <v>#N/A</v>
      </c>
      <c r="AN164" s="34">
        <f>IF(ISBLANK(Table2[[#This Row],[Need_RRA]]), 2,(IF(Table2[[#This Row],[Need_RRA]]="No", 0, (IF(AND(Table2[[#This Row],[Need_RRA]]="Yes",  Table2[[#This Row],[RRA_pub_date]]=""),1, 0)))))</f>
        <v>0</v>
      </c>
      <c r="AO164" s="34">
        <f>IF(ISBLANK(Table2[[#This Row],[Need_EIS]]), 2,(IF(Table2[[#This Row],[Need_EIS]]="No", 0, (IF(AND(Table2[[#This Row],[Need_EIS]]="Yes",  Table2[[#This Row],[EIS_pub_date]]=""),1, 0)))))</f>
        <v>0</v>
      </c>
      <c r="AP164" s="34">
        <f>IF(ISBLANK(Table2[[#This Row],[Need_DON]]), 2,(IF(Table2[[#This Row],[Need_DON]]="No", 0, (IF(AND(Table2[[#This Row],[Need_DON]]="Yes",  Table2[[#This Row],[DON_pub_date]]=""),1, 0)))))</f>
        <v>0</v>
      </c>
      <c r="AQ164" s="34">
        <f>IF(ISBLANK(Table2[[#This Row],[Pending_question]]), 2,(IF(Table2[[#This Row],[Pending_question]]="Yes", 1, 0)))</f>
        <v>0</v>
      </c>
      <c r="AR164" s="43"/>
    </row>
    <row r="165" spans="1:44" ht="15" customHeight="1">
      <c r="A165" s="63">
        <v>44698</v>
      </c>
      <c r="B165" s="29" t="s">
        <v>15</v>
      </c>
      <c r="C165" s="34" t="str" cm="1">
        <f t="array" ref="C16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65" s="27" t="s">
        <v>952</v>
      </c>
      <c r="E165" s="67" t="s">
        <v>667</v>
      </c>
      <c r="F165" s="29" t="s">
        <v>93</v>
      </c>
      <c r="G165" s="29" t="s">
        <v>93</v>
      </c>
      <c r="H165" s="29"/>
      <c r="I165" s="59"/>
      <c r="J165" s="59">
        <v>44698</v>
      </c>
      <c r="K165" s="59" t="s">
        <v>953</v>
      </c>
      <c r="L165" s="104" t="s">
        <v>954</v>
      </c>
      <c r="M165" s="70" t="s">
        <v>19</v>
      </c>
      <c r="N165" s="59"/>
      <c r="O165" s="85"/>
      <c r="P165" s="59" t="s">
        <v>19</v>
      </c>
      <c r="Q165" s="84">
        <v>2</v>
      </c>
      <c r="R165" s="29"/>
      <c r="S165" s="29"/>
      <c r="T165" s="59"/>
      <c r="U165" s="29"/>
      <c r="V165" s="29" t="s">
        <v>34</v>
      </c>
      <c r="W165" s="29" t="s">
        <v>34</v>
      </c>
      <c r="X165" s="27" t="s">
        <v>34</v>
      </c>
      <c r="Y165" s="29" t="s">
        <v>30</v>
      </c>
      <c r="Z165" s="29" t="s">
        <v>33</v>
      </c>
      <c r="AA165" s="29"/>
      <c r="AB165" s="29"/>
      <c r="AC165" s="59">
        <v>44712</v>
      </c>
      <c r="AD165" s="59"/>
      <c r="AE165" s="59">
        <v>44713</v>
      </c>
      <c r="AF165" s="59">
        <v>44713</v>
      </c>
      <c r="AG165" s="59">
        <v>44713</v>
      </c>
      <c r="AH165" s="85">
        <v>44715</v>
      </c>
      <c r="AI165" s="29" t="s">
        <v>30</v>
      </c>
      <c r="AJ165" s="139"/>
      <c r="AK165" s="86">
        <v>44716</v>
      </c>
      <c r="AL165" s="102"/>
      <c r="AM165" s="41" t="e">
        <f>VLOOKUP(Table2[[#This Row],[country]],Countrycode!A:B,2,FALSE)</f>
        <v>#N/A</v>
      </c>
      <c r="AN165" s="34">
        <f>IF(ISBLANK(Table2[[#This Row],[Need_RRA]]), 2,(IF(Table2[[#This Row],[Need_RRA]]="No", 0, (IF(AND(Table2[[#This Row],[Need_RRA]]="Yes",  Table2[[#This Row],[RRA_pub_date]]=""),1, 0)))))</f>
        <v>0</v>
      </c>
      <c r="AO165" s="34">
        <f>IF(ISBLANK(Table2[[#This Row],[Need_EIS]]), 2,(IF(Table2[[#This Row],[Need_EIS]]="No", 0, (IF(AND(Table2[[#This Row],[Need_EIS]]="Yes",  Table2[[#This Row],[EIS_pub_date]]=""),1, 0)))))</f>
        <v>0</v>
      </c>
      <c r="AP165" s="34">
        <f>IF(ISBLANK(Table2[[#This Row],[Need_DON]]), 2,(IF(Table2[[#This Row],[Need_DON]]="No", 0, (IF(AND(Table2[[#This Row],[Need_DON]]="Yes",  Table2[[#This Row],[DON_pub_date]]=""),1, 0)))))</f>
        <v>0</v>
      </c>
      <c r="AQ165" s="34">
        <f>IF(ISBLANK(Table2[[#This Row],[Pending_question]]), 2,(IF(Table2[[#This Row],[Pending_question]]="Yes", 1, 0)))</f>
        <v>0</v>
      </c>
      <c r="AR165" s="43"/>
    </row>
    <row r="166" spans="1:44" ht="15" customHeight="1">
      <c r="A166" s="63">
        <v>44698</v>
      </c>
      <c r="B166" s="29" t="s">
        <v>15</v>
      </c>
      <c r="C166" s="34" t="str" cm="1">
        <f t="array" ref="C16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66" s="27" t="s">
        <v>952</v>
      </c>
      <c r="E166" s="67" t="s">
        <v>667</v>
      </c>
      <c r="F166" s="29" t="s">
        <v>93</v>
      </c>
      <c r="G166" s="29" t="s">
        <v>93</v>
      </c>
      <c r="H166" s="29"/>
      <c r="I166" s="59"/>
      <c r="J166" s="59">
        <v>44698</v>
      </c>
      <c r="K166" s="59" t="s">
        <v>953</v>
      </c>
      <c r="L166" s="104" t="s">
        <v>954</v>
      </c>
      <c r="M166" s="70" t="s">
        <v>19</v>
      </c>
      <c r="N166" s="59"/>
      <c r="O166" s="85"/>
      <c r="P166" s="59" t="s">
        <v>19</v>
      </c>
      <c r="Q166" s="84"/>
      <c r="R166" s="29"/>
      <c r="S166" s="29"/>
      <c r="T166" s="59"/>
      <c r="U166" s="29"/>
      <c r="V166" s="29" t="s">
        <v>34</v>
      </c>
      <c r="W166" s="29" t="s">
        <v>34</v>
      </c>
      <c r="X166" s="27" t="s">
        <v>34</v>
      </c>
      <c r="Y166" s="29" t="s">
        <v>30</v>
      </c>
      <c r="Z166" s="29" t="s">
        <v>33</v>
      </c>
      <c r="AA166" s="29"/>
      <c r="AB166" s="29"/>
      <c r="AC166" s="59">
        <v>44718</v>
      </c>
      <c r="AD166" s="59"/>
      <c r="AE166" s="29"/>
      <c r="AF166" s="29"/>
      <c r="AG166" s="29"/>
      <c r="AH166" s="85">
        <v>44721</v>
      </c>
      <c r="AI166" s="29" t="s">
        <v>30</v>
      </c>
      <c r="AJ166" s="139"/>
      <c r="AK166" s="86">
        <v>44723</v>
      </c>
      <c r="AL166" s="102"/>
      <c r="AM166" s="41" t="e">
        <f>VLOOKUP(Table2[[#This Row],[country]],Countrycode!A:B,2,FALSE)</f>
        <v>#N/A</v>
      </c>
      <c r="AN166" s="34">
        <f>IF(ISBLANK(Table2[[#This Row],[Need_RRA]]), 2,(IF(Table2[[#This Row],[Need_RRA]]="No", 0, (IF(AND(Table2[[#This Row],[Need_RRA]]="Yes",  Table2[[#This Row],[RRA_pub_date]]=""),1, 0)))))</f>
        <v>0</v>
      </c>
      <c r="AO166" s="34">
        <f>IF(ISBLANK(Table2[[#This Row],[Need_EIS]]), 2,(IF(Table2[[#This Row],[Need_EIS]]="No", 0, (IF(AND(Table2[[#This Row],[Need_EIS]]="Yes",  Table2[[#This Row],[EIS_pub_date]]=""),1, 0)))))</f>
        <v>0</v>
      </c>
      <c r="AP166" s="34">
        <f>IF(ISBLANK(Table2[[#This Row],[Need_DON]]), 2,(IF(Table2[[#This Row],[Need_DON]]="No", 0, (IF(AND(Table2[[#This Row],[Need_DON]]="Yes",  Table2[[#This Row],[DON_pub_date]]=""),1, 0)))))</f>
        <v>0</v>
      </c>
      <c r="AQ166" s="34">
        <f>IF(ISBLANK(Table2[[#This Row],[Pending_question]]), 2,(IF(Table2[[#This Row],[Pending_question]]="Yes", 1, 0)))</f>
        <v>0</v>
      </c>
      <c r="AR166" s="43"/>
    </row>
    <row r="167" spans="1:44" ht="15" customHeight="1">
      <c r="A167" s="63">
        <v>44698</v>
      </c>
      <c r="B167" s="29" t="s">
        <v>15</v>
      </c>
      <c r="C167" s="34" t="str" cm="1">
        <f t="array" ref="C16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67" s="27" t="s">
        <v>955</v>
      </c>
      <c r="E167" s="67" t="s">
        <v>667</v>
      </c>
      <c r="F167" s="29" t="s">
        <v>93</v>
      </c>
      <c r="G167" s="29" t="s">
        <v>93</v>
      </c>
      <c r="H167" s="29"/>
      <c r="I167" s="59"/>
      <c r="J167" s="59">
        <v>44698</v>
      </c>
      <c r="K167" s="59" t="s">
        <v>953</v>
      </c>
      <c r="L167" s="112" t="s">
        <v>954</v>
      </c>
      <c r="M167" s="70" t="s">
        <v>19</v>
      </c>
      <c r="N167" s="59"/>
      <c r="O167" s="85"/>
      <c r="P167" s="59" t="s">
        <v>19</v>
      </c>
      <c r="Q167" s="84"/>
      <c r="R167" s="29"/>
      <c r="S167" s="29"/>
      <c r="T167" s="59"/>
      <c r="U167" s="29"/>
      <c r="V167" s="29" t="s">
        <v>34</v>
      </c>
      <c r="W167" s="29" t="s">
        <v>34</v>
      </c>
      <c r="X167" s="27" t="s">
        <v>34</v>
      </c>
      <c r="Y167" s="29" t="s">
        <v>30</v>
      </c>
      <c r="Z167" s="29" t="s">
        <v>33</v>
      </c>
      <c r="AA167" s="29"/>
      <c r="AB167" s="29" t="s">
        <v>956</v>
      </c>
      <c r="AC167" s="59">
        <v>44727</v>
      </c>
      <c r="AD167" s="59"/>
      <c r="AE167" s="29"/>
      <c r="AF167" s="29"/>
      <c r="AG167" s="29"/>
      <c r="AH167" s="85">
        <v>44737</v>
      </c>
      <c r="AI167" s="29" t="s">
        <v>30</v>
      </c>
      <c r="AJ167" s="139"/>
      <c r="AK167" s="86">
        <v>44739</v>
      </c>
      <c r="AL167" s="102"/>
      <c r="AM167" s="41" t="e">
        <f>VLOOKUP(Table2[[#This Row],[country]],Countrycode!A:B,2,FALSE)</f>
        <v>#N/A</v>
      </c>
      <c r="AN167" s="34">
        <f>IF(ISBLANK(Table2[[#This Row],[Need_RRA]]), 2,(IF(Table2[[#This Row],[Need_RRA]]="No", 0, (IF(AND(Table2[[#This Row],[Need_RRA]]="Yes",  Table2[[#This Row],[RRA_pub_date]]=""),1, 0)))))</f>
        <v>0</v>
      </c>
      <c r="AO167" s="34">
        <f>IF(ISBLANK(Table2[[#This Row],[Need_EIS]]), 2,(IF(Table2[[#This Row],[Need_EIS]]="No", 0, (IF(AND(Table2[[#This Row],[Need_EIS]]="Yes",  Table2[[#This Row],[EIS_pub_date]]=""),1, 0)))))</f>
        <v>0</v>
      </c>
      <c r="AP167" s="34">
        <f>IF(ISBLANK(Table2[[#This Row],[Need_DON]]), 2,(IF(Table2[[#This Row],[Need_DON]]="No", 0, (IF(AND(Table2[[#This Row],[Need_DON]]="Yes",  Table2[[#This Row],[DON_pub_date]]=""),1, 0)))))</f>
        <v>0</v>
      </c>
      <c r="AQ167" s="34">
        <f>IF(ISBLANK(Table2[[#This Row],[Pending_question]]), 2,(IF(Table2[[#This Row],[Pending_question]]="Yes", 1, 0)))</f>
        <v>0</v>
      </c>
      <c r="AR167" s="43"/>
    </row>
    <row r="168" spans="1:44" ht="15" customHeight="1">
      <c r="A168" s="63">
        <v>44698</v>
      </c>
      <c r="B168" s="29" t="s">
        <v>15</v>
      </c>
      <c r="C168" s="34" t="str" cm="1">
        <f t="array" ref="C16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68" s="27" t="s">
        <v>927</v>
      </c>
      <c r="E168" s="67" t="s">
        <v>667</v>
      </c>
      <c r="F168" s="29" t="s">
        <v>39</v>
      </c>
      <c r="G168" s="29" t="s">
        <v>746</v>
      </c>
      <c r="H168" s="29"/>
      <c r="I168" s="59"/>
      <c r="J168" s="59">
        <v>44698</v>
      </c>
      <c r="K168" s="250" t="s">
        <v>948</v>
      </c>
      <c r="L168" s="182" t="s">
        <v>949</v>
      </c>
      <c r="M168" s="70" t="s">
        <v>19</v>
      </c>
      <c r="N168" s="59"/>
      <c r="O168" s="85"/>
      <c r="P168" s="59" t="s">
        <v>30</v>
      </c>
      <c r="Q168" s="84">
        <v>1</v>
      </c>
      <c r="R168" s="29" t="s">
        <v>957</v>
      </c>
      <c r="S168" s="59">
        <v>44701</v>
      </c>
      <c r="T168" s="59"/>
      <c r="U168" s="59">
        <v>44705</v>
      </c>
      <c r="V168" s="29" t="s">
        <v>34</v>
      </c>
      <c r="W168" s="29" t="s">
        <v>34</v>
      </c>
      <c r="X168" s="27" t="s">
        <v>32</v>
      </c>
      <c r="Y168" s="29" t="s">
        <v>30</v>
      </c>
      <c r="Z168" s="29" t="s">
        <v>33</v>
      </c>
      <c r="AA168" s="29"/>
      <c r="AB168" s="29" t="s">
        <v>958</v>
      </c>
      <c r="AC168" s="59">
        <v>44698</v>
      </c>
      <c r="AD168" s="59"/>
      <c r="AE168" s="59">
        <v>44698</v>
      </c>
      <c r="AF168" s="59">
        <v>44699</v>
      </c>
      <c r="AG168" s="59">
        <v>44700</v>
      </c>
      <c r="AH168" s="85">
        <v>44700</v>
      </c>
      <c r="AI168" s="29" t="s">
        <v>30</v>
      </c>
      <c r="AJ168" s="139"/>
      <c r="AK168" s="86">
        <v>44702</v>
      </c>
      <c r="AL168" s="102"/>
      <c r="AM168" s="41" t="str">
        <f>VLOOKUP(Table2[[#This Row],[country]],Countrycode!A:B,2,FALSE)</f>
        <v>MLX</v>
      </c>
      <c r="AN168" s="34">
        <f>IF(ISBLANK(Table2[[#This Row],[Need_RRA]]), 2,(IF(Table2[[#This Row],[Need_RRA]]="No", 0, (IF(AND(Table2[[#This Row],[Need_RRA]]="Yes",  Table2[[#This Row],[RRA_pub_date]]=""),1, 0)))))</f>
        <v>0</v>
      </c>
      <c r="AO168" s="34">
        <f>IF(ISBLANK(Table2[[#This Row],[Need_EIS]]), 2,(IF(Table2[[#This Row],[Need_EIS]]="No", 0, (IF(AND(Table2[[#This Row],[Need_EIS]]="Yes",  Table2[[#This Row],[EIS_pub_date]]=""),1, 0)))))</f>
        <v>0</v>
      </c>
      <c r="AP168" s="34">
        <f>IF(ISBLANK(Table2[[#This Row],[Need_DON]]), 2,(IF(Table2[[#This Row],[Need_DON]]="No", 0, (IF(AND(Table2[[#This Row],[Need_DON]]="Yes",  Table2[[#This Row],[DON_pub_date]]=""),1, 0)))))</f>
        <v>0</v>
      </c>
      <c r="AQ168" s="34">
        <f>IF(ISBLANK(Table2[[#This Row],[Pending_question]]), 2,(IF(Table2[[#This Row],[Pending_question]]="Yes", 1, 0)))</f>
        <v>0</v>
      </c>
      <c r="AR168" s="43"/>
    </row>
    <row r="169" spans="1:44" ht="15" customHeight="1">
      <c r="A169" s="63">
        <v>44699</v>
      </c>
      <c r="B169" s="29" t="s">
        <v>15</v>
      </c>
      <c r="C169" s="34" t="str" cm="1">
        <f t="array" ref="C16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69" s="27" t="s">
        <v>927</v>
      </c>
      <c r="E169" s="67" t="s">
        <v>104</v>
      </c>
      <c r="F169" s="29" t="s">
        <v>173</v>
      </c>
      <c r="G169" s="29" t="s">
        <v>34</v>
      </c>
      <c r="H169" s="29"/>
      <c r="I169" s="59"/>
      <c r="J169" s="59">
        <v>44699</v>
      </c>
      <c r="K169" s="59" t="s">
        <v>636</v>
      </c>
      <c r="L169" s="182" t="s">
        <v>712</v>
      </c>
      <c r="M169" s="70" t="s">
        <v>19</v>
      </c>
      <c r="N169" s="59"/>
      <c r="O169" s="85"/>
      <c r="P169" s="59" t="s">
        <v>19</v>
      </c>
      <c r="Q169" s="84"/>
      <c r="R169" s="29"/>
      <c r="S169" s="29"/>
      <c r="T169" s="59"/>
      <c r="U169" s="29"/>
      <c r="V169" s="29" t="s">
        <v>34</v>
      </c>
      <c r="W169" s="29" t="s">
        <v>34</v>
      </c>
      <c r="X169" s="27" t="s">
        <v>34</v>
      </c>
      <c r="Y169" s="29" t="s">
        <v>30</v>
      </c>
      <c r="Z169" s="29" t="s">
        <v>42</v>
      </c>
      <c r="AA169" s="29"/>
      <c r="AB169" s="29" t="s">
        <v>959</v>
      </c>
      <c r="AC169" s="59">
        <v>44700</v>
      </c>
      <c r="AD169" s="59"/>
      <c r="AE169" s="59">
        <v>44702</v>
      </c>
      <c r="AF169" s="29"/>
      <c r="AG169" s="59">
        <v>44707</v>
      </c>
      <c r="AH169" s="85">
        <v>44708</v>
      </c>
      <c r="AI169" s="29" t="s">
        <v>19</v>
      </c>
      <c r="AJ169" s="139"/>
      <c r="AK169" s="28"/>
      <c r="AL169" s="102"/>
      <c r="AM169" s="41" t="str">
        <f>VLOOKUP(Table2[[#This Row],[country]],Countrycode!A:B,2,FALSE)</f>
        <v>CHN</v>
      </c>
      <c r="AN169" s="34">
        <f>IF(ISBLANK(Table2[[#This Row],[Need_RRA]]), 2,(IF(Table2[[#This Row],[Need_RRA]]="No", 0, (IF(AND(Table2[[#This Row],[Need_RRA]]="Yes",  Table2[[#This Row],[RRA_pub_date]]=""),1, 0)))))</f>
        <v>0</v>
      </c>
      <c r="AO169" s="34">
        <f>IF(ISBLANK(Table2[[#This Row],[Need_EIS]]), 2,(IF(Table2[[#This Row],[Need_EIS]]="No", 0, (IF(AND(Table2[[#This Row],[Need_EIS]]="Yes",  Table2[[#This Row],[EIS_pub_date]]=""),1, 0)))))</f>
        <v>0</v>
      </c>
      <c r="AP169" s="34">
        <f>IF(ISBLANK(Table2[[#This Row],[Need_DON]]), 2,(IF(Table2[[#This Row],[Need_DON]]="No", 0, (IF(AND(Table2[[#This Row],[Need_DON]]="Yes",  Table2[[#This Row],[DON_pub_date]]=""),1, 0)))))</f>
        <v>0</v>
      </c>
      <c r="AQ169" s="34">
        <f>IF(ISBLANK(Table2[[#This Row],[Pending_question]]), 2,(IF(Table2[[#This Row],[Pending_question]]="Yes", 1, 0)))</f>
        <v>0</v>
      </c>
      <c r="AR169" s="43"/>
    </row>
    <row r="170" spans="1:44" ht="15" customHeight="1">
      <c r="A170" s="63">
        <v>44699</v>
      </c>
      <c r="B170" s="29" t="s">
        <v>15</v>
      </c>
      <c r="C170" s="34" t="str" cm="1">
        <f t="array" ref="C17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70" s="27" t="s">
        <v>738</v>
      </c>
      <c r="E170" s="67" t="s">
        <v>201</v>
      </c>
      <c r="F170" s="29" t="s">
        <v>318</v>
      </c>
      <c r="G170" s="29" t="s">
        <v>34</v>
      </c>
      <c r="H170" s="59">
        <v>44699</v>
      </c>
      <c r="I170" s="59">
        <v>44699</v>
      </c>
      <c r="J170" s="29"/>
      <c r="K170" s="59"/>
      <c r="L170" s="85"/>
      <c r="M170" s="70" t="s">
        <v>19</v>
      </c>
      <c r="N170" s="59"/>
      <c r="O170" s="85"/>
      <c r="P170" s="59" t="s">
        <v>19</v>
      </c>
      <c r="Q170" s="84"/>
      <c r="R170" s="29"/>
      <c r="S170" s="29"/>
      <c r="T170" s="59"/>
      <c r="U170" s="29"/>
      <c r="V170" s="29" t="s">
        <v>34</v>
      </c>
      <c r="W170" s="29" t="s">
        <v>34</v>
      </c>
      <c r="X170" s="27" t="s">
        <v>34</v>
      </c>
      <c r="Y170" s="29" t="s">
        <v>30</v>
      </c>
      <c r="Z170" s="29" t="s">
        <v>42</v>
      </c>
      <c r="AA170" s="29"/>
      <c r="AB170" s="29" t="s">
        <v>960</v>
      </c>
      <c r="AC170" s="59">
        <v>44699</v>
      </c>
      <c r="AD170" s="59"/>
      <c r="AE170" s="59">
        <v>44732</v>
      </c>
      <c r="AF170" s="59">
        <v>44736</v>
      </c>
      <c r="AG170" s="29"/>
      <c r="AH170" s="85">
        <v>44729</v>
      </c>
      <c r="AI170" s="29" t="s">
        <v>30</v>
      </c>
      <c r="AJ170" s="139"/>
      <c r="AK170" s="86">
        <v>44735</v>
      </c>
      <c r="AL170" s="102"/>
      <c r="AM170" s="41" t="str">
        <f>VLOOKUP(Table2[[#This Row],[country]],Countrycode!A:B,2,FALSE)</f>
        <v>MOZ</v>
      </c>
      <c r="AN170" s="34">
        <f>IF(ISBLANK(Table2[[#This Row],[Need_RRA]]), 2,(IF(Table2[[#This Row],[Need_RRA]]="No", 0, (IF(AND(Table2[[#This Row],[Need_RRA]]="Yes",  Table2[[#This Row],[RRA_pub_date]]=""),1, 0)))))</f>
        <v>0</v>
      </c>
      <c r="AO170" s="34">
        <f>IF(ISBLANK(Table2[[#This Row],[Need_EIS]]), 2,(IF(Table2[[#This Row],[Need_EIS]]="No", 0, (IF(AND(Table2[[#This Row],[Need_EIS]]="Yes",  Table2[[#This Row],[EIS_pub_date]]=""),1, 0)))))</f>
        <v>0</v>
      </c>
      <c r="AP170" s="34">
        <f>IF(ISBLANK(Table2[[#This Row],[Need_DON]]), 2,(IF(Table2[[#This Row],[Need_DON]]="No", 0, (IF(AND(Table2[[#This Row],[Need_DON]]="Yes",  Table2[[#This Row],[DON_pub_date]]=""),1, 0)))))</f>
        <v>0</v>
      </c>
      <c r="AQ170" s="34">
        <f>IF(ISBLANK(Table2[[#This Row],[Pending_question]]), 2,(IF(Table2[[#This Row],[Pending_question]]="Yes", 1, 0)))</f>
        <v>0</v>
      </c>
      <c r="AR170" s="43"/>
    </row>
    <row r="171" spans="1:44" ht="15" customHeight="1">
      <c r="A171" s="63">
        <v>44700</v>
      </c>
      <c r="B171" s="29" t="s">
        <v>15</v>
      </c>
      <c r="C171" s="34" t="str" cm="1">
        <f t="array" ref="C17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71" s="27" t="s">
        <v>927</v>
      </c>
      <c r="E171" s="67" t="s">
        <v>94</v>
      </c>
      <c r="F171" s="29" t="s">
        <v>173</v>
      </c>
      <c r="G171" s="29" t="s">
        <v>34</v>
      </c>
      <c r="H171" s="29"/>
      <c r="I171" s="59"/>
      <c r="J171" s="29"/>
      <c r="K171" s="59"/>
      <c r="L171" s="85"/>
      <c r="M171" s="70" t="s">
        <v>19</v>
      </c>
      <c r="N171" s="59"/>
      <c r="O171" s="85"/>
      <c r="P171" s="59" t="s">
        <v>19</v>
      </c>
      <c r="Q171" s="84"/>
      <c r="R171" s="29"/>
      <c r="S171" s="29"/>
      <c r="T171" s="59"/>
      <c r="U171" s="29"/>
      <c r="V171" s="29" t="s">
        <v>34</v>
      </c>
      <c r="W171" s="29" t="s">
        <v>34</v>
      </c>
      <c r="X171" s="27" t="s">
        <v>34</v>
      </c>
      <c r="Y171" s="29" t="s">
        <v>30</v>
      </c>
      <c r="Z171" s="29" t="s">
        <v>42</v>
      </c>
      <c r="AA171" s="29"/>
      <c r="AB171" s="29" t="s">
        <v>961</v>
      </c>
      <c r="AC171" s="59">
        <v>44700</v>
      </c>
      <c r="AD171" s="59"/>
      <c r="AE171" s="59">
        <v>44702</v>
      </c>
      <c r="AF171" s="29"/>
      <c r="AG171" s="59">
        <v>44707</v>
      </c>
      <c r="AH171" s="85">
        <v>44708</v>
      </c>
      <c r="AI171" s="29" t="s">
        <v>19</v>
      </c>
      <c r="AJ171" s="139"/>
      <c r="AK171" s="28"/>
      <c r="AL171" s="102"/>
      <c r="AM171" s="41" t="str">
        <f>VLOOKUP(Table2[[#This Row],[country]],Countrycode!A:B,2,FALSE)</f>
        <v>CHN</v>
      </c>
      <c r="AN171" s="34">
        <f>IF(ISBLANK(Table2[[#This Row],[Need_RRA]]), 2,(IF(Table2[[#This Row],[Need_RRA]]="No", 0, (IF(AND(Table2[[#This Row],[Need_RRA]]="Yes",  Table2[[#This Row],[RRA_pub_date]]=""),1, 0)))))</f>
        <v>0</v>
      </c>
      <c r="AO171" s="34">
        <f>IF(ISBLANK(Table2[[#This Row],[Need_EIS]]), 2,(IF(Table2[[#This Row],[Need_EIS]]="No", 0, (IF(AND(Table2[[#This Row],[Need_EIS]]="Yes",  Table2[[#This Row],[EIS_pub_date]]=""),1, 0)))))</f>
        <v>0</v>
      </c>
      <c r="AP171" s="34">
        <f>IF(ISBLANK(Table2[[#This Row],[Need_DON]]), 2,(IF(Table2[[#This Row],[Need_DON]]="No", 0, (IF(AND(Table2[[#This Row],[Need_DON]]="Yes",  Table2[[#This Row],[DON_pub_date]]=""),1, 0)))))</f>
        <v>0</v>
      </c>
      <c r="AQ171" s="34">
        <f>IF(ISBLANK(Table2[[#This Row],[Pending_question]]), 2,(IF(Table2[[#This Row],[Pending_question]]="Yes", 1, 0)))</f>
        <v>0</v>
      </c>
      <c r="AR171" s="43"/>
    </row>
    <row r="172" spans="1:44" ht="15" customHeight="1">
      <c r="A172" s="63">
        <v>44700</v>
      </c>
      <c r="B172" s="29" t="s">
        <v>15</v>
      </c>
      <c r="C172" s="34" t="str" cm="1">
        <f t="array" ref="C17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72" s="27" t="s">
        <v>738</v>
      </c>
      <c r="E172" s="67" t="s">
        <v>176</v>
      </c>
      <c r="F172" s="29" t="s">
        <v>93</v>
      </c>
      <c r="G172" s="29" t="s">
        <v>93</v>
      </c>
      <c r="H172" s="29"/>
      <c r="I172" s="59"/>
      <c r="J172" s="29"/>
      <c r="K172" s="59"/>
      <c r="L172" s="85"/>
      <c r="M172" s="70" t="s">
        <v>19</v>
      </c>
      <c r="N172" s="59"/>
      <c r="O172" s="85"/>
      <c r="P172" s="59" t="s">
        <v>19</v>
      </c>
      <c r="Q172" s="84"/>
      <c r="R172" s="29"/>
      <c r="S172" s="29"/>
      <c r="T172" s="59"/>
      <c r="U172" s="29"/>
      <c r="V172" s="29" t="s">
        <v>34</v>
      </c>
      <c r="W172" s="29" t="s">
        <v>34</v>
      </c>
      <c r="X172" s="27" t="s">
        <v>34</v>
      </c>
      <c r="Y172" s="29" t="s">
        <v>30</v>
      </c>
      <c r="Z172" s="29" t="s">
        <v>33</v>
      </c>
      <c r="AA172" s="29"/>
      <c r="AB172" s="29" t="s">
        <v>962</v>
      </c>
      <c r="AC172" s="59">
        <v>44700</v>
      </c>
      <c r="AD172" s="59"/>
      <c r="AE172" s="59">
        <v>44701</v>
      </c>
      <c r="AF172" s="29"/>
      <c r="AG172" s="29"/>
      <c r="AH172" s="85">
        <v>44708</v>
      </c>
      <c r="AI172" s="29" t="s">
        <v>19</v>
      </c>
      <c r="AJ172" s="139"/>
      <c r="AK172" s="28"/>
      <c r="AL172" s="102"/>
      <c r="AM172" s="41" t="e">
        <f>VLOOKUP(Table2[[#This Row],[country]],Countrycode!A:B,2,FALSE)</f>
        <v>#N/A</v>
      </c>
      <c r="AN172" s="34">
        <f>IF(ISBLANK(Table2[[#This Row],[Need_RRA]]), 2,(IF(Table2[[#This Row],[Need_RRA]]="No", 0, (IF(AND(Table2[[#This Row],[Need_RRA]]="Yes",  Table2[[#This Row],[RRA_pub_date]]=""),1, 0)))))</f>
        <v>0</v>
      </c>
      <c r="AO172" s="34">
        <f>IF(ISBLANK(Table2[[#This Row],[Need_EIS]]), 2,(IF(Table2[[#This Row],[Need_EIS]]="No", 0, (IF(AND(Table2[[#This Row],[Need_EIS]]="Yes",  Table2[[#This Row],[EIS_pub_date]]=""),1, 0)))))</f>
        <v>0</v>
      </c>
      <c r="AP172" s="34">
        <f>IF(ISBLANK(Table2[[#This Row],[Need_DON]]), 2,(IF(Table2[[#This Row],[Need_DON]]="No", 0, (IF(AND(Table2[[#This Row],[Need_DON]]="Yes",  Table2[[#This Row],[DON_pub_date]]=""),1, 0)))))</f>
        <v>0</v>
      </c>
      <c r="AQ172" s="34">
        <f>IF(ISBLANK(Table2[[#This Row],[Pending_question]]), 2,(IF(Table2[[#This Row],[Pending_question]]="Yes", 1, 0)))</f>
        <v>0</v>
      </c>
      <c r="AR172" s="43"/>
    </row>
    <row r="173" spans="1:44" ht="15" customHeight="1">
      <c r="A173" s="63">
        <v>44704</v>
      </c>
      <c r="B173" s="29" t="s">
        <v>15</v>
      </c>
      <c r="C173" s="34" t="str" cm="1">
        <f t="array" ref="C17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73" s="27" t="s">
        <v>963</v>
      </c>
      <c r="E173" s="67" t="s">
        <v>667</v>
      </c>
      <c r="F173" s="29" t="s">
        <v>93</v>
      </c>
      <c r="G173" s="29" t="s">
        <v>93</v>
      </c>
      <c r="H173" s="59">
        <v>44704</v>
      </c>
      <c r="I173" s="59"/>
      <c r="J173" s="59">
        <v>44694</v>
      </c>
      <c r="K173" s="59" t="s">
        <v>953</v>
      </c>
      <c r="L173" s="104" t="s">
        <v>954</v>
      </c>
      <c r="M173" s="70" t="s">
        <v>19</v>
      </c>
      <c r="N173" s="59"/>
      <c r="O173" s="85"/>
      <c r="P173" s="59" t="s">
        <v>19</v>
      </c>
      <c r="Q173" s="84"/>
      <c r="R173" s="29"/>
      <c r="S173" s="29"/>
      <c r="T173" s="59"/>
      <c r="U173" s="29"/>
      <c r="V173" s="29" t="s">
        <v>34</v>
      </c>
      <c r="W173" s="29" t="s">
        <v>34</v>
      </c>
      <c r="X173" s="27" t="s">
        <v>34</v>
      </c>
      <c r="Y173" s="29" t="s">
        <v>30</v>
      </c>
      <c r="Z173" s="29" t="s">
        <v>33</v>
      </c>
      <c r="AA173" s="29"/>
      <c r="AB173" s="29" t="s">
        <v>964</v>
      </c>
      <c r="AC173" s="59">
        <v>44707</v>
      </c>
      <c r="AD173" s="59"/>
      <c r="AE173" s="59">
        <v>44707</v>
      </c>
      <c r="AF173" s="29"/>
      <c r="AG173" s="29"/>
      <c r="AH173" s="85">
        <v>44708</v>
      </c>
      <c r="AI173" s="29" t="s">
        <v>30</v>
      </c>
      <c r="AJ173" s="139"/>
      <c r="AK173" s="86">
        <v>44710</v>
      </c>
      <c r="AL173" s="102"/>
      <c r="AM173" s="41" t="e">
        <f>VLOOKUP(Table2[[#This Row],[country]],Countrycode!A:B,2,FALSE)</f>
        <v>#N/A</v>
      </c>
      <c r="AN173" s="34">
        <f>IF(ISBLANK(Table2[[#This Row],[Need_RRA]]), 2,(IF(Table2[[#This Row],[Need_RRA]]="No", 0, (IF(AND(Table2[[#This Row],[Need_RRA]]="Yes",  Table2[[#This Row],[RRA_pub_date]]=""),1, 0)))))</f>
        <v>0</v>
      </c>
      <c r="AO173" s="34">
        <f>IF(ISBLANK(Table2[[#This Row],[Need_EIS]]), 2,(IF(Table2[[#This Row],[Need_EIS]]="No", 0, (IF(AND(Table2[[#This Row],[Need_EIS]]="Yes",  Table2[[#This Row],[EIS_pub_date]]=""),1, 0)))))</f>
        <v>0</v>
      </c>
      <c r="AP173" s="34">
        <f>IF(ISBLANK(Table2[[#This Row],[Need_DON]]), 2,(IF(Table2[[#This Row],[Need_DON]]="No", 0, (IF(AND(Table2[[#This Row],[Need_DON]]="Yes",  Table2[[#This Row],[DON_pub_date]]=""),1, 0)))))</f>
        <v>0</v>
      </c>
      <c r="AQ173" s="34">
        <f>IF(ISBLANK(Table2[[#This Row],[Pending_question]]), 2,(IF(Table2[[#This Row],[Pending_question]]="Yes", 1, 0)))</f>
        <v>0</v>
      </c>
      <c r="AR173" s="43"/>
    </row>
    <row r="174" spans="1:44" ht="15" customHeight="1">
      <c r="A174" s="63">
        <v>44713</v>
      </c>
      <c r="B174" s="29" t="s">
        <v>15</v>
      </c>
      <c r="C174" s="34" t="str" cm="1">
        <f t="array" ref="C17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74" s="27" t="s">
        <v>927</v>
      </c>
      <c r="E174" s="67" t="s">
        <v>110</v>
      </c>
      <c r="F174" s="29" t="s">
        <v>173</v>
      </c>
      <c r="G174" s="29" t="s">
        <v>34</v>
      </c>
      <c r="H174" s="29"/>
      <c r="I174" s="59"/>
      <c r="J174" s="59">
        <v>44713</v>
      </c>
      <c r="K174" s="59" t="s">
        <v>694</v>
      </c>
      <c r="L174" s="181" t="s">
        <v>795</v>
      </c>
      <c r="M174" s="70" t="s">
        <v>19</v>
      </c>
      <c r="N174" s="59"/>
      <c r="O174" s="85"/>
      <c r="P174" s="59" t="s">
        <v>19</v>
      </c>
      <c r="Q174" s="84"/>
      <c r="R174" s="29"/>
      <c r="S174" s="29"/>
      <c r="T174" s="59"/>
      <c r="U174" s="29"/>
      <c r="V174" s="29" t="s">
        <v>34</v>
      </c>
      <c r="W174" s="29" t="s">
        <v>34</v>
      </c>
      <c r="X174" s="27" t="s">
        <v>34</v>
      </c>
      <c r="Y174" s="29" t="s">
        <v>30</v>
      </c>
      <c r="Z174" s="29" t="s">
        <v>42</v>
      </c>
      <c r="AA174" s="29"/>
      <c r="AB174" s="29" t="s">
        <v>965</v>
      </c>
      <c r="AC174" s="59">
        <v>44714</v>
      </c>
      <c r="AD174" s="59"/>
      <c r="AE174" s="59">
        <v>44718</v>
      </c>
      <c r="AF174" s="29"/>
      <c r="AG174" s="59">
        <v>44728</v>
      </c>
      <c r="AH174" s="85">
        <v>44729</v>
      </c>
      <c r="AI174" s="29" t="s">
        <v>19</v>
      </c>
      <c r="AJ174" s="139"/>
      <c r="AK174" s="28"/>
      <c r="AL174" s="102"/>
      <c r="AM174" s="41" t="str">
        <f>VLOOKUP(Table2[[#This Row],[country]],Countrycode!A:B,2,FALSE)</f>
        <v>CHN</v>
      </c>
      <c r="AN174" s="34">
        <f>IF(ISBLANK(Table2[[#This Row],[Need_RRA]]), 2,(IF(Table2[[#This Row],[Need_RRA]]="No", 0, (IF(AND(Table2[[#This Row],[Need_RRA]]="Yes",  Table2[[#This Row],[RRA_pub_date]]=""),1, 0)))))</f>
        <v>0</v>
      </c>
      <c r="AO174" s="34">
        <f>IF(ISBLANK(Table2[[#This Row],[Need_EIS]]), 2,(IF(Table2[[#This Row],[Need_EIS]]="No", 0, (IF(AND(Table2[[#This Row],[Need_EIS]]="Yes",  Table2[[#This Row],[EIS_pub_date]]=""),1, 0)))))</f>
        <v>0</v>
      </c>
      <c r="AP174" s="34">
        <f>IF(ISBLANK(Table2[[#This Row],[Need_DON]]), 2,(IF(Table2[[#This Row],[Need_DON]]="No", 0, (IF(AND(Table2[[#This Row],[Need_DON]]="Yes",  Table2[[#This Row],[DON_pub_date]]=""),1, 0)))))</f>
        <v>0</v>
      </c>
      <c r="AQ174" s="34">
        <f>IF(ISBLANK(Table2[[#This Row],[Pending_question]]), 2,(IF(Table2[[#This Row],[Pending_question]]="Yes", 1, 0)))</f>
        <v>0</v>
      </c>
      <c r="AR174" s="43"/>
    </row>
    <row r="175" spans="1:44" ht="15.75" customHeight="1">
      <c r="A175" s="63">
        <v>44715</v>
      </c>
      <c r="B175" s="29" t="s">
        <v>15</v>
      </c>
      <c r="C175" s="34" t="str" cm="1">
        <f t="array" ref="C17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75" s="27" t="s">
        <v>927</v>
      </c>
      <c r="E175" s="67" t="s">
        <v>110</v>
      </c>
      <c r="F175" s="29" t="s">
        <v>173</v>
      </c>
      <c r="G175" s="29" t="s">
        <v>34</v>
      </c>
      <c r="H175" s="29"/>
      <c r="I175" s="59"/>
      <c r="J175" s="59">
        <v>44715</v>
      </c>
      <c r="K175" s="59" t="s">
        <v>694</v>
      </c>
      <c r="L175" s="181" t="s">
        <v>795</v>
      </c>
      <c r="M175" s="70" t="s">
        <v>19</v>
      </c>
      <c r="N175" s="59"/>
      <c r="O175" s="85"/>
      <c r="P175" s="59" t="s">
        <v>19</v>
      </c>
      <c r="Q175" s="84"/>
      <c r="R175" s="29"/>
      <c r="S175" s="29"/>
      <c r="T175" s="59"/>
      <c r="U175" s="29"/>
      <c r="V175" s="29" t="s">
        <v>34</v>
      </c>
      <c r="W175" s="29" t="s">
        <v>34</v>
      </c>
      <c r="X175" s="27" t="s">
        <v>34</v>
      </c>
      <c r="Y175" s="29" t="s">
        <v>30</v>
      </c>
      <c r="Z175" s="29" t="s">
        <v>42</v>
      </c>
      <c r="AA175" s="29"/>
      <c r="AB175" s="29" t="s">
        <v>966</v>
      </c>
      <c r="AC175" s="59">
        <v>44715</v>
      </c>
      <c r="AD175" s="59"/>
      <c r="AE175" s="59">
        <v>44718</v>
      </c>
      <c r="AF175" s="29"/>
      <c r="AG175" s="59">
        <v>44725</v>
      </c>
      <c r="AH175" s="85">
        <v>44726</v>
      </c>
      <c r="AI175" s="29" t="s">
        <v>19</v>
      </c>
      <c r="AJ175" s="139"/>
      <c r="AK175" s="28"/>
      <c r="AL175" s="102"/>
      <c r="AM175" s="41" t="str">
        <f>VLOOKUP(Table2[[#This Row],[country]],Countrycode!A:B,2,FALSE)</f>
        <v>CHN</v>
      </c>
      <c r="AN175" s="34">
        <f>IF(ISBLANK(Table2[[#This Row],[Need_RRA]]), 2,(IF(Table2[[#This Row],[Need_RRA]]="No", 0, (IF(AND(Table2[[#This Row],[Need_RRA]]="Yes",  Table2[[#This Row],[RRA_pub_date]]=""),1, 0)))))</f>
        <v>0</v>
      </c>
      <c r="AO175" s="34">
        <f>IF(ISBLANK(Table2[[#This Row],[Need_EIS]]), 2,(IF(Table2[[#This Row],[Need_EIS]]="No", 0, (IF(AND(Table2[[#This Row],[Need_EIS]]="Yes",  Table2[[#This Row],[EIS_pub_date]]=""),1, 0)))))</f>
        <v>0</v>
      </c>
      <c r="AP175" s="34">
        <f>IF(ISBLANK(Table2[[#This Row],[Need_DON]]), 2,(IF(Table2[[#This Row],[Need_DON]]="No", 0, (IF(AND(Table2[[#This Row],[Need_DON]]="Yes",  Table2[[#This Row],[DON_pub_date]]=""),1, 0)))))</f>
        <v>0</v>
      </c>
      <c r="AQ175" s="34">
        <f>IF(ISBLANK(Table2[[#This Row],[Pending_question]]), 2,(IF(Table2[[#This Row],[Pending_question]]="Yes", 1, 0)))</f>
        <v>0</v>
      </c>
      <c r="AR175" s="43"/>
    </row>
    <row r="176" spans="1:44" ht="15" customHeight="1">
      <c r="A176" s="63">
        <v>44715</v>
      </c>
      <c r="B176" s="29" t="s">
        <v>15</v>
      </c>
      <c r="C176" s="34" t="str" cm="1">
        <f t="array" ref="C17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76" s="27" t="s">
        <v>967</v>
      </c>
      <c r="E176" s="67" t="s">
        <v>239</v>
      </c>
      <c r="F176" s="29" t="s">
        <v>208</v>
      </c>
      <c r="G176" s="29" t="s">
        <v>34</v>
      </c>
      <c r="H176" s="29"/>
      <c r="I176" s="59"/>
      <c r="J176" s="29"/>
      <c r="K176" s="59"/>
      <c r="L176" s="85"/>
      <c r="M176" s="70" t="s">
        <v>19</v>
      </c>
      <c r="N176" s="59"/>
      <c r="O176" s="85"/>
      <c r="P176" s="59" t="s">
        <v>30</v>
      </c>
      <c r="Q176" s="84">
        <v>1</v>
      </c>
      <c r="R176" s="29" t="s">
        <v>968</v>
      </c>
      <c r="S176" s="59">
        <v>44715</v>
      </c>
      <c r="T176" s="59"/>
      <c r="U176" s="59">
        <v>44729</v>
      </c>
      <c r="V176" s="29" t="s">
        <v>20</v>
      </c>
      <c r="W176" s="29" t="s">
        <v>32</v>
      </c>
      <c r="X176" s="27" t="s">
        <v>51</v>
      </c>
      <c r="Y176" s="29" t="s">
        <v>30</v>
      </c>
      <c r="Z176" s="29"/>
      <c r="AA176" s="29"/>
      <c r="AB176" s="29" t="s">
        <v>969</v>
      </c>
      <c r="AC176" s="59">
        <v>44729</v>
      </c>
      <c r="AD176" s="59"/>
      <c r="AE176" s="29"/>
      <c r="AF176" s="29"/>
      <c r="AG176" s="29"/>
      <c r="AH176" s="85">
        <v>44777</v>
      </c>
      <c r="AI176" s="29" t="s">
        <v>19</v>
      </c>
      <c r="AJ176" s="139"/>
      <c r="AK176" s="28"/>
      <c r="AL176" s="102"/>
      <c r="AM176" s="41" t="str">
        <f>VLOOKUP(Table2[[#This Row],[country]],Countrycode!A:B,2,FALSE)</f>
        <v>COD</v>
      </c>
      <c r="AN176" s="34">
        <f>IF(ISBLANK(Table2[[#This Row],[Need_RRA]]), 2,(IF(Table2[[#This Row],[Need_RRA]]="No", 0, (IF(AND(Table2[[#This Row],[Need_RRA]]="Yes",  Table2[[#This Row],[RRA_pub_date]]=""),1, 0)))))</f>
        <v>0</v>
      </c>
      <c r="AO176" s="34">
        <f>IF(ISBLANK(Table2[[#This Row],[Need_EIS]]), 2,(IF(Table2[[#This Row],[Need_EIS]]="No", 0, (IF(AND(Table2[[#This Row],[Need_EIS]]="Yes",  Table2[[#This Row],[EIS_pub_date]]=""),1, 0)))))</f>
        <v>0</v>
      </c>
      <c r="AP176" s="34">
        <f>IF(ISBLANK(Table2[[#This Row],[Need_DON]]), 2,(IF(Table2[[#This Row],[Need_DON]]="No", 0, (IF(AND(Table2[[#This Row],[Need_DON]]="Yes",  Table2[[#This Row],[DON_pub_date]]=""),1, 0)))))</f>
        <v>0</v>
      </c>
      <c r="AQ176" s="34">
        <f>IF(ISBLANK(Table2[[#This Row],[Pending_question]]), 2,(IF(Table2[[#This Row],[Pending_question]]="Yes", 1, 0)))</f>
        <v>0</v>
      </c>
      <c r="AR176" s="43"/>
    </row>
    <row r="177" spans="1:44" ht="15" customHeight="1">
      <c r="A177" s="63">
        <v>44720</v>
      </c>
      <c r="B177" s="29" t="s">
        <v>15</v>
      </c>
      <c r="C177" s="34" t="str" cm="1">
        <f t="array" ref="C17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77" s="27" t="s">
        <v>482</v>
      </c>
      <c r="E177" s="67" t="s">
        <v>198</v>
      </c>
      <c r="F177" s="29" t="s">
        <v>226</v>
      </c>
      <c r="G177" s="29" t="s">
        <v>34</v>
      </c>
      <c r="H177" s="59">
        <v>44720</v>
      </c>
      <c r="I177" s="59">
        <v>44720</v>
      </c>
      <c r="J177" s="59">
        <v>44719</v>
      </c>
      <c r="K177" s="59" t="s">
        <v>970</v>
      </c>
      <c r="L177" s="104" t="s">
        <v>971</v>
      </c>
      <c r="M177" s="70" t="s">
        <v>19</v>
      </c>
      <c r="N177" s="59"/>
      <c r="O177" s="85"/>
      <c r="P177" s="59" t="s">
        <v>19</v>
      </c>
      <c r="Q177" s="84"/>
      <c r="R177" s="29"/>
      <c r="S177" s="29"/>
      <c r="T177" s="59"/>
      <c r="U177" s="29"/>
      <c r="V177" s="29" t="s">
        <v>34</v>
      </c>
      <c r="W177" s="29" t="s">
        <v>34</v>
      </c>
      <c r="X177" s="27" t="s">
        <v>34</v>
      </c>
      <c r="Y177" s="29" t="s">
        <v>19</v>
      </c>
      <c r="Z177" s="29" t="s">
        <v>34</v>
      </c>
      <c r="AA177" s="29"/>
      <c r="AB177" s="29" t="s">
        <v>972</v>
      </c>
      <c r="AC177" s="59">
        <v>44720</v>
      </c>
      <c r="AD177" s="59"/>
      <c r="AE177" s="29"/>
      <c r="AF177" s="29"/>
      <c r="AG177" s="29"/>
      <c r="AH177" s="29"/>
      <c r="AI177" s="29" t="s">
        <v>19</v>
      </c>
      <c r="AJ177" s="139"/>
      <c r="AK177" s="28"/>
      <c r="AL177" s="102"/>
      <c r="AM177" s="41" t="str">
        <f>VLOOKUP(Table2[[#This Row],[country]],Countrycode!A:B,2,FALSE)</f>
        <v>ERI</v>
      </c>
      <c r="AN177" s="34">
        <f>IF(ISBLANK(Table2[[#This Row],[Need_RRA]]), 2,(IF(Table2[[#This Row],[Need_RRA]]="No", 0, (IF(AND(Table2[[#This Row],[Need_RRA]]="Yes",  Table2[[#This Row],[RRA_pub_date]]=""),1, 0)))))</f>
        <v>0</v>
      </c>
      <c r="AO177" s="34">
        <f>IF(ISBLANK(Table2[[#This Row],[Need_EIS]]), 2,(IF(Table2[[#This Row],[Need_EIS]]="No", 0, (IF(AND(Table2[[#This Row],[Need_EIS]]="Yes",  Table2[[#This Row],[EIS_pub_date]]=""),1, 0)))))</f>
        <v>0</v>
      </c>
      <c r="AP177" s="34">
        <f>IF(ISBLANK(Table2[[#This Row],[Need_DON]]), 2,(IF(Table2[[#This Row],[Need_DON]]="No", 0, (IF(AND(Table2[[#This Row],[Need_DON]]="Yes",  Table2[[#This Row],[DON_pub_date]]=""),1, 0)))))</f>
        <v>0</v>
      </c>
      <c r="AQ177" s="34">
        <f>IF(ISBLANK(Table2[[#This Row],[Pending_question]]), 2,(IF(Table2[[#This Row],[Pending_question]]="Yes", 1, 0)))</f>
        <v>0</v>
      </c>
      <c r="AR177" s="43"/>
    </row>
    <row r="178" spans="1:44" ht="15" customHeight="1">
      <c r="A178" s="63">
        <v>44721</v>
      </c>
      <c r="B178" s="29" t="s">
        <v>15</v>
      </c>
      <c r="C178" s="34" t="str" cm="1">
        <f t="array" ref="C17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78" s="27" t="s">
        <v>759</v>
      </c>
      <c r="E178" s="67" t="s">
        <v>128</v>
      </c>
      <c r="F178" s="29" t="s">
        <v>373</v>
      </c>
      <c r="G178" s="29" t="s">
        <v>34</v>
      </c>
      <c r="H178" s="29"/>
      <c r="I178" s="59"/>
      <c r="J178" s="29"/>
      <c r="K178" s="59"/>
      <c r="L178" s="85"/>
      <c r="M178" s="70" t="s">
        <v>19</v>
      </c>
      <c r="N178" s="59"/>
      <c r="O178" s="85"/>
      <c r="P178" s="59" t="s">
        <v>30</v>
      </c>
      <c r="Q178" s="84">
        <v>1</v>
      </c>
      <c r="R178" s="29" t="s">
        <v>973</v>
      </c>
      <c r="S178" s="59">
        <v>44721</v>
      </c>
      <c r="T178" s="59"/>
      <c r="U178" s="59">
        <v>44728</v>
      </c>
      <c r="V178" s="29" t="s">
        <v>41</v>
      </c>
      <c r="W178" s="29" t="s">
        <v>20</v>
      </c>
      <c r="X178" s="27" t="s">
        <v>51</v>
      </c>
      <c r="Y178" s="29" t="s">
        <v>30</v>
      </c>
      <c r="Z178" s="29" t="s">
        <v>42</v>
      </c>
      <c r="AA178" s="29"/>
      <c r="AB178" s="29" t="s">
        <v>974</v>
      </c>
      <c r="AC178" s="59">
        <v>44728</v>
      </c>
      <c r="AD178" s="59"/>
      <c r="AE178" s="59">
        <v>44740</v>
      </c>
      <c r="AF178" s="29"/>
      <c r="AG178" s="29"/>
      <c r="AH178" s="85">
        <v>44746</v>
      </c>
      <c r="AI178" s="29" t="s">
        <v>30</v>
      </c>
      <c r="AJ178" s="139"/>
      <c r="AK178" s="86">
        <v>44762</v>
      </c>
      <c r="AL178" s="102"/>
      <c r="AM178" s="41" t="str">
        <f>VLOOKUP(Table2[[#This Row],[country]],Countrycode!A:B,2,FALSE)</f>
        <v>SOM</v>
      </c>
      <c r="AN178" s="34">
        <f>IF(ISBLANK(Table2[[#This Row],[Need_RRA]]), 2,(IF(Table2[[#This Row],[Need_RRA]]="No", 0, (IF(AND(Table2[[#This Row],[Need_RRA]]="Yes",  Table2[[#This Row],[RRA_pub_date]]=""),1, 0)))))</f>
        <v>0</v>
      </c>
      <c r="AO178" s="34">
        <f>IF(ISBLANK(Table2[[#This Row],[Need_EIS]]), 2,(IF(Table2[[#This Row],[Need_EIS]]="No", 0, (IF(AND(Table2[[#This Row],[Need_EIS]]="Yes",  Table2[[#This Row],[EIS_pub_date]]=""),1, 0)))))</f>
        <v>0</v>
      </c>
      <c r="AP178" s="34">
        <f>IF(ISBLANK(Table2[[#This Row],[Need_DON]]), 2,(IF(Table2[[#This Row],[Need_DON]]="No", 0, (IF(AND(Table2[[#This Row],[Need_DON]]="Yes",  Table2[[#This Row],[DON_pub_date]]=""),1, 0)))))</f>
        <v>0</v>
      </c>
      <c r="AQ178" s="34">
        <f>IF(ISBLANK(Table2[[#This Row],[Pending_question]]), 2,(IF(Table2[[#This Row],[Pending_question]]="Yes", 1, 0)))</f>
        <v>0</v>
      </c>
      <c r="AR178" s="43"/>
    </row>
    <row r="179" spans="1:44" ht="15" customHeight="1">
      <c r="A179" s="63">
        <v>44722</v>
      </c>
      <c r="B179" s="29" t="s">
        <v>15</v>
      </c>
      <c r="C179" s="34" t="str" cm="1">
        <f t="array" ref="C17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79" s="27" t="s">
        <v>927</v>
      </c>
      <c r="E179" s="67" t="s">
        <v>136</v>
      </c>
      <c r="F179" s="29" t="s">
        <v>378</v>
      </c>
      <c r="G179" s="29" t="s">
        <v>34</v>
      </c>
      <c r="H179" s="29"/>
      <c r="I179" s="59"/>
      <c r="J179" s="59">
        <v>44722</v>
      </c>
      <c r="K179" s="63" t="s">
        <v>975</v>
      </c>
      <c r="L179" s="112" t="s">
        <v>976</v>
      </c>
      <c r="M179" s="70" t="s">
        <v>19</v>
      </c>
      <c r="N179" s="59"/>
      <c r="O179" s="85"/>
      <c r="P179" s="59" t="s">
        <v>19</v>
      </c>
      <c r="Q179" s="84"/>
      <c r="R179" s="29"/>
      <c r="S179" s="29"/>
      <c r="T179" s="59"/>
      <c r="U179" s="29"/>
      <c r="V179" s="29" t="s">
        <v>34</v>
      </c>
      <c r="W179" s="29" t="s">
        <v>34</v>
      </c>
      <c r="X179" s="27" t="s">
        <v>34</v>
      </c>
      <c r="Y179" s="29" t="s">
        <v>19</v>
      </c>
      <c r="Z179" s="29" t="s">
        <v>34</v>
      </c>
      <c r="AA179" s="29"/>
      <c r="AB179" s="29" t="s">
        <v>977</v>
      </c>
      <c r="AC179" s="59">
        <v>44720</v>
      </c>
      <c r="AD179" s="59"/>
      <c r="AE179" s="29"/>
      <c r="AF179" s="29"/>
      <c r="AG179" s="29"/>
      <c r="AH179" s="27"/>
      <c r="AI179" s="29" t="s">
        <v>19</v>
      </c>
      <c r="AJ179" s="139"/>
      <c r="AK179" s="28"/>
      <c r="AL179" s="102"/>
      <c r="AM179" s="41" t="str">
        <f>VLOOKUP(Table2[[#This Row],[country]],Countrycode!A:B,2,FALSE)</f>
        <v>LKA</v>
      </c>
      <c r="AN179" s="34">
        <f>IF(ISBLANK(Table2[[#This Row],[Need_RRA]]), 2,(IF(Table2[[#This Row],[Need_RRA]]="No", 0, (IF(AND(Table2[[#This Row],[Need_RRA]]="Yes",  Table2[[#This Row],[RRA_pub_date]]=""),1, 0)))))</f>
        <v>0</v>
      </c>
      <c r="AO179" s="34">
        <f>IF(ISBLANK(Table2[[#This Row],[Need_EIS]]), 2,(IF(Table2[[#This Row],[Need_EIS]]="No", 0, (IF(AND(Table2[[#This Row],[Need_EIS]]="Yes",  Table2[[#This Row],[EIS_pub_date]]=""),1, 0)))))</f>
        <v>0</v>
      </c>
      <c r="AP179" s="34">
        <f>IF(ISBLANK(Table2[[#This Row],[Need_DON]]), 2,(IF(Table2[[#This Row],[Need_DON]]="No", 0, (IF(AND(Table2[[#This Row],[Need_DON]]="Yes",  Table2[[#This Row],[DON_pub_date]]=""),1, 0)))))</f>
        <v>0</v>
      </c>
      <c r="AQ179" s="34">
        <f>IF(ISBLANK(Table2[[#This Row],[Pending_question]]), 2,(IF(Table2[[#This Row],[Pending_question]]="Yes", 1, 0)))</f>
        <v>0</v>
      </c>
      <c r="AR179" s="43"/>
    </row>
    <row r="180" spans="1:44" ht="15" customHeight="1">
      <c r="A180" s="63">
        <v>44723</v>
      </c>
      <c r="B180" s="29" t="s">
        <v>15</v>
      </c>
      <c r="C180" s="34" t="str" cm="1">
        <f t="array" ref="C18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80" s="27" t="s">
        <v>978</v>
      </c>
      <c r="E180" s="67" t="s">
        <v>152</v>
      </c>
      <c r="F180" s="29" t="s">
        <v>93</v>
      </c>
      <c r="G180" s="29" t="s">
        <v>93</v>
      </c>
      <c r="H180" s="29"/>
      <c r="I180" s="59"/>
      <c r="J180" s="29"/>
      <c r="K180" s="59" t="s">
        <v>879</v>
      </c>
      <c r="L180" s="85"/>
      <c r="M180" s="70" t="s">
        <v>19</v>
      </c>
      <c r="N180" s="59"/>
      <c r="O180" s="85"/>
      <c r="P180" s="59" t="s">
        <v>19</v>
      </c>
      <c r="Q180" s="84"/>
      <c r="R180" s="29"/>
      <c r="S180" s="29"/>
      <c r="T180" s="59"/>
      <c r="U180" s="29"/>
      <c r="V180" s="29" t="s">
        <v>34</v>
      </c>
      <c r="W180" s="29" t="s">
        <v>34</v>
      </c>
      <c r="X180" s="27" t="s">
        <v>34</v>
      </c>
      <c r="Y180" s="29" t="s">
        <v>30</v>
      </c>
      <c r="Z180" s="29" t="s">
        <v>33</v>
      </c>
      <c r="AA180" s="29"/>
      <c r="AB180" s="29"/>
      <c r="AC180" s="59"/>
      <c r="AD180" s="59"/>
      <c r="AE180" s="59">
        <v>44723</v>
      </c>
      <c r="AF180" s="59">
        <v>44724</v>
      </c>
      <c r="AG180" s="29"/>
      <c r="AH180" s="85">
        <v>44729</v>
      </c>
      <c r="AI180" s="29" t="s">
        <v>30</v>
      </c>
      <c r="AJ180" s="139"/>
      <c r="AK180" s="86">
        <v>44754</v>
      </c>
      <c r="AL180" s="102"/>
      <c r="AM180" s="41" t="e">
        <f>VLOOKUP(Table2[[#This Row],[country]],Countrycode!A:B,2,FALSE)</f>
        <v>#N/A</v>
      </c>
      <c r="AN180" s="34">
        <f>IF(ISBLANK(Table2[[#This Row],[Need_RRA]]), 2,(IF(Table2[[#This Row],[Need_RRA]]="No", 0, (IF(AND(Table2[[#This Row],[Need_RRA]]="Yes",  Table2[[#This Row],[RRA_pub_date]]=""),1, 0)))))</f>
        <v>0</v>
      </c>
      <c r="AO180" s="34">
        <f>IF(ISBLANK(Table2[[#This Row],[Need_EIS]]), 2,(IF(Table2[[#This Row],[Need_EIS]]="No", 0, (IF(AND(Table2[[#This Row],[Need_EIS]]="Yes",  Table2[[#This Row],[EIS_pub_date]]=""),1, 0)))))</f>
        <v>0</v>
      </c>
      <c r="AP180" s="34">
        <f>IF(ISBLANK(Table2[[#This Row],[Need_DON]]), 2,(IF(Table2[[#This Row],[Need_DON]]="No", 0, (IF(AND(Table2[[#This Row],[Need_DON]]="Yes",  Table2[[#This Row],[DON_pub_date]]=""),1, 0)))))</f>
        <v>0</v>
      </c>
      <c r="AQ180" s="34">
        <f>IF(ISBLANK(Table2[[#This Row],[Pending_question]]), 2,(IF(Table2[[#This Row],[Pending_question]]="Yes", 1, 0)))</f>
        <v>0</v>
      </c>
      <c r="AR180" s="43"/>
    </row>
    <row r="181" spans="1:44" ht="15" customHeight="1">
      <c r="A181" s="63">
        <v>44726</v>
      </c>
      <c r="B181" s="29" t="s">
        <v>15</v>
      </c>
      <c r="C181" s="34" t="str" cm="1">
        <f t="array" ref="C18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81" s="27" t="s">
        <v>927</v>
      </c>
      <c r="E181" s="67" t="s">
        <v>104</v>
      </c>
      <c r="F181" s="29" t="s">
        <v>173</v>
      </c>
      <c r="G181" s="29" t="s">
        <v>34</v>
      </c>
      <c r="H181" s="29"/>
      <c r="I181" s="59"/>
      <c r="J181" s="59">
        <v>44726</v>
      </c>
      <c r="K181" s="59" t="s">
        <v>636</v>
      </c>
      <c r="L181" s="104" t="s">
        <v>712</v>
      </c>
      <c r="M181" s="70" t="s">
        <v>19</v>
      </c>
      <c r="N181" s="59"/>
      <c r="O181" s="85"/>
      <c r="P181" s="59" t="s">
        <v>19</v>
      </c>
      <c r="Q181" s="84"/>
      <c r="R181" s="29"/>
      <c r="S181" s="29"/>
      <c r="T181" s="59"/>
      <c r="U181" s="29"/>
      <c r="V181" s="29" t="s">
        <v>34</v>
      </c>
      <c r="W181" s="29" t="s">
        <v>34</v>
      </c>
      <c r="X181" s="27" t="s">
        <v>34</v>
      </c>
      <c r="Y181" s="29" t="s">
        <v>30</v>
      </c>
      <c r="Z181" s="29" t="s">
        <v>42</v>
      </c>
      <c r="AA181" s="29"/>
      <c r="AB181" s="29" t="s">
        <v>979</v>
      </c>
      <c r="AC181" s="59">
        <v>44726</v>
      </c>
      <c r="AD181" s="59"/>
      <c r="AE181" s="59">
        <v>44726</v>
      </c>
      <c r="AF181" s="29"/>
      <c r="AG181" s="59">
        <v>44736</v>
      </c>
      <c r="AH181" s="85">
        <v>44736</v>
      </c>
      <c r="AI181" s="29" t="s">
        <v>19</v>
      </c>
      <c r="AJ181" s="139"/>
      <c r="AK181" s="28"/>
      <c r="AL181" s="102"/>
      <c r="AM181" s="41" t="str">
        <f>VLOOKUP(Table2[[#This Row],[country]],Countrycode!A:B,2,FALSE)</f>
        <v>CHN</v>
      </c>
      <c r="AN181" s="34">
        <f>IF(ISBLANK(Table2[[#This Row],[Need_RRA]]), 2,(IF(Table2[[#This Row],[Need_RRA]]="No", 0, (IF(AND(Table2[[#This Row],[Need_RRA]]="Yes",  Table2[[#This Row],[RRA_pub_date]]=""),1, 0)))))</f>
        <v>0</v>
      </c>
      <c r="AO181" s="34">
        <f>IF(ISBLANK(Table2[[#This Row],[Need_EIS]]), 2,(IF(Table2[[#This Row],[Need_EIS]]="No", 0, (IF(AND(Table2[[#This Row],[Need_EIS]]="Yes",  Table2[[#This Row],[EIS_pub_date]]=""),1, 0)))))</f>
        <v>0</v>
      </c>
      <c r="AP181" s="34">
        <f>IF(ISBLANK(Table2[[#This Row],[Need_DON]]), 2,(IF(Table2[[#This Row],[Need_DON]]="No", 0, (IF(AND(Table2[[#This Row],[Need_DON]]="Yes",  Table2[[#This Row],[DON_pub_date]]=""),1, 0)))))</f>
        <v>0</v>
      </c>
      <c r="AQ181" s="34">
        <f>IF(ISBLANK(Table2[[#This Row],[Pending_question]]), 2,(IF(Table2[[#This Row],[Pending_question]]="Yes", 1, 0)))</f>
        <v>0</v>
      </c>
      <c r="AR181" s="43"/>
    </row>
    <row r="182" spans="1:44" ht="15" customHeight="1">
      <c r="A182" s="63">
        <v>44728</v>
      </c>
      <c r="B182" s="29" t="s">
        <v>15</v>
      </c>
      <c r="C182" s="34" t="str" cm="1">
        <f t="array" ref="C18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82" s="27" t="s">
        <v>759</v>
      </c>
      <c r="E182" s="67" t="s">
        <v>128</v>
      </c>
      <c r="F182" s="29" t="s">
        <v>277</v>
      </c>
      <c r="G182" s="29" t="s">
        <v>34</v>
      </c>
      <c r="H182" s="59">
        <v>44728</v>
      </c>
      <c r="I182" s="59">
        <v>44757</v>
      </c>
      <c r="J182" s="59">
        <v>44732</v>
      </c>
      <c r="K182" s="59" t="s">
        <v>980</v>
      </c>
      <c r="L182" s="112" t="s">
        <v>981</v>
      </c>
      <c r="M182" s="70" t="s">
        <v>19</v>
      </c>
      <c r="N182" s="59"/>
      <c r="O182" s="85"/>
      <c r="P182" s="59" t="s">
        <v>30</v>
      </c>
      <c r="Q182" s="84">
        <v>1</v>
      </c>
      <c r="R182" s="29" t="s">
        <v>982</v>
      </c>
      <c r="S182" s="59">
        <v>44748</v>
      </c>
      <c r="T182" s="59"/>
      <c r="U182" s="59">
        <v>44784</v>
      </c>
      <c r="V182" s="29" t="s">
        <v>41</v>
      </c>
      <c r="W182" s="29" t="s">
        <v>20</v>
      </c>
      <c r="X182" s="27" t="s">
        <v>51</v>
      </c>
      <c r="Y182" s="29" t="s">
        <v>30</v>
      </c>
      <c r="Z182" s="29" t="s">
        <v>21</v>
      </c>
      <c r="AA182" s="29"/>
      <c r="AB182" s="29"/>
      <c r="AC182" s="59">
        <v>44738</v>
      </c>
      <c r="AD182" s="59"/>
      <c r="AE182" s="29"/>
      <c r="AF182" s="29"/>
      <c r="AG182" s="27"/>
      <c r="AH182" s="85">
        <v>44746</v>
      </c>
      <c r="AI182" s="29" t="s">
        <v>19</v>
      </c>
      <c r="AJ182" s="139"/>
      <c r="AK182" s="28"/>
      <c r="AL182" s="102" t="s">
        <v>983</v>
      </c>
      <c r="AM182" s="41" t="str">
        <f>VLOOKUP(Table2[[#This Row],[country]],Countrycode!A:B,2,FALSE)</f>
        <v>IRQ</v>
      </c>
      <c r="AN182" s="34">
        <f>IF(ISBLANK(Table2[[#This Row],[Need_RRA]]), 2,(IF(Table2[[#This Row],[Need_RRA]]="No", 0, (IF(AND(Table2[[#This Row],[Need_RRA]]="Yes",  Table2[[#This Row],[RRA_pub_date]]=""),1, 0)))))</f>
        <v>0</v>
      </c>
      <c r="AO182" s="34">
        <f>IF(ISBLANK(Table2[[#This Row],[Need_EIS]]), 2,(IF(Table2[[#This Row],[Need_EIS]]="No", 0, (IF(AND(Table2[[#This Row],[Need_EIS]]="Yes",  Table2[[#This Row],[EIS_pub_date]]=""),1, 0)))))</f>
        <v>0</v>
      </c>
      <c r="AP182" s="34">
        <f>IF(ISBLANK(Table2[[#This Row],[Need_DON]]), 2,(IF(Table2[[#This Row],[Need_DON]]="No", 0, (IF(AND(Table2[[#This Row],[Need_DON]]="Yes",  Table2[[#This Row],[DON_pub_date]]=""),1, 0)))))</f>
        <v>0</v>
      </c>
      <c r="AQ182" s="34">
        <f>IF(ISBLANK(Table2[[#This Row],[Pending_question]]), 2,(IF(Table2[[#This Row],[Pending_question]]="Yes", 1, 0)))</f>
        <v>0</v>
      </c>
      <c r="AR182" s="43"/>
    </row>
    <row r="183" spans="1:44" ht="15" customHeight="1">
      <c r="A183" s="63">
        <v>44739</v>
      </c>
      <c r="B183" s="29" t="s">
        <v>15</v>
      </c>
      <c r="C183" s="34" t="str" cm="1">
        <f t="array" ref="C18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83" s="27" t="s">
        <v>984</v>
      </c>
      <c r="E183" s="67" t="s">
        <v>110</v>
      </c>
      <c r="F183" s="29" t="s">
        <v>173</v>
      </c>
      <c r="G183" s="29" t="s">
        <v>34</v>
      </c>
      <c r="H183" s="59">
        <v>44739</v>
      </c>
      <c r="I183" s="59">
        <v>44748</v>
      </c>
      <c r="J183" s="59">
        <v>44736</v>
      </c>
      <c r="K183" s="264" t="s">
        <v>694</v>
      </c>
      <c r="L183" s="104" t="s">
        <v>795</v>
      </c>
      <c r="M183" s="70" t="s">
        <v>19</v>
      </c>
      <c r="N183" s="59"/>
      <c r="O183" s="85"/>
      <c r="P183" s="59" t="s">
        <v>19</v>
      </c>
      <c r="Q183" s="84"/>
      <c r="R183" s="29"/>
      <c r="S183" s="29"/>
      <c r="T183" s="59"/>
      <c r="U183" s="29"/>
      <c r="V183" s="29" t="s">
        <v>34</v>
      </c>
      <c r="W183" s="29" t="s">
        <v>34</v>
      </c>
      <c r="X183" s="27" t="s">
        <v>34</v>
      </c>
      <c r="Y183" s="29" t="s">
        <v>30</v>
      </c>
      <c r="Z183" s="29" t="s">
        <v>42</v>
      </c>
      <c r="AA183" s="29"/>
      <c r="AB183" s="29" t="s">
        <v>985</v>
      </c>
      <c r="AC183" s="59">
        <v>44737</v>
      </c>
      <c r="AD183" s="59"/>
      <c r="AE183" s="59">
        <v>44739</v>
      </c>
      <c r="AF183" s="29"/>
      <c r="AG183" s="59">
        <v>44749</v>
      </c>
      <c r="AH183" s="85">
        <v>44753</v>
      </c>
      <c r="AI183" s="29" t="s">
        <v>19</v>
      </c>
      <c r="AJ183" s="139"/>
      <c r="AK183" s="28"/>
      <c r="AL183" s="102"/>
      <c r="AM183" s="41" t="str">
        <f>VLOOKUP(Table2[[#This Row],[country]],Countrycode!A:B,2,FALSE)</f>
        <v>CHN</v>
      </c>
      <c r="AN183" s="34">
        <f>IF(ISBLANK(Table2[[#This Row],[Need_RRA]]), 2,(IF(Table2[[#This Row],[Need_RRA]]="No", 0, (IF(AND(Table2[[#This Row],[Need_RRA]]="Yes",  Table2[[#This Row],[RRA_pub_date]]=""),1, 0)))))</f>
        <v>0</v>
      </c>
      <c r="AO183" s="34">
        <f>IF(ISBLANK(Table2[[#This Row],[Need_EIS]]), 2,(IF(Table2[[#This Row],[Need_EIS]]="No", 0, (IF(AND(Table2[[#This Row],[Need_EIS]]="Yes",  Table2[[#This Row],[EIS_pub_date]]=""),1, 0)))))</f>
        <v>0</v>
      </c>
      <c r="AP183" s="34">
        <f>IF(ISBLANK(Table2[[#This Row],[Need_DON]]), 2,(IF(Table2[[#This Row],[Need_DON]]="No", 0, (IF(AND(Table2[[#This Row],[Need_DON]]="Yes",  Table2[[#This Row],[DON_pub_date]]=""),1, 0)))))</f>
        <v>0</v>
      </c>
      <c r="AQ183" s="34">
        <f>IF(ISBLANK(Table2[[#This Row],[Pending_question]]), 2,(IF(Table2[[#This Row],[Pending_question]]="Yes", 1, 0)))</f>
        <v>0</v>
      </c>
      <c r="AR183" s="43"/>
    </row>
    <row r="184" spans="1:44" ht="15" customHeight="1">
      <c r="A184" s="63">
        <v>44739</v>
      </c>
      <c r="B184" s="29" t="s">
        <v>15</v>
      </c>
      <c r="C184" s="34" t="str" cm="1">
        <f t="array" ref="C18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84" s="27" t="s">
        <v>986</v>
      </c>
      <c r="E184" s="67" t="s">
        <v>140</v>
      </c>
      <c r="F184" s="29" t="s">
        <v>208</v>
      </c>
      <c r="G184" s="29" t="s">
        <v>34</v>
      </c>
      <c r="H184" s="29"/>
      <c r="I184" s="59"/>
      <c r="J184" s="29"/>
      <c r="K184" s="59"/>
      <c r="L184" s="85"/>
      <c r="M184" s="70" t="s">
        <v>19</v>
      </c>
      <c r="N184" s="59" t="s">
        <v>987</v>
      </c>
      <c r="O184" s="85"/>
      <c r="P184" s="59" t="s">
        <v>19</v>
      </c>
      <c r="Q184" s="84"/>
      <c r="R184" s="29"/>
      <c r="S184" s="29"/>
      <c r="T184" s="59"/>
      <c r="U184" s="29"/>
      <c r="V184" s="29" t="s">
        <v>34</v>
      </c>
      <c r="W184" s="29" t="s">
        <v>34</v>
      </c>
      <c r="X184" s="27" t="s">
        <v>34</v>
      </c>
      <c r="Y184" s="29" t="s">
        <v>30</v>
      </c>
      <c r="Z184" s="29" t="s">
        <v>21</v>
      </c>
      <c r="AA184" s="29"/>
      <c r="AB184" s="29" t="s">
        <v>988</v>
      </c>
      <c r="AC184" s="59">
        <v>44739</v>
      </c>
      <c r="AD184" s="59"/>
      <c r="AE184" s="59">
        <v>44741</v>
      </c>
      <c r="AF184" s="59">
        <v>44742</v>
      </c>
      <c r="AG184" s="59">
        <v>44743</v>
      </c>
      <c r="AH184" s="85">
        <v>44746</v>
      </c>
      <c r="AI184" s="29" t="s">
        <v>30</v>
      </c>
      <c r="AJ184" s="139"/>
      <c r="AK184" s="86">
        <v>44746</v>
      </c>
      <c r="AL184" s="102"/>
      <c r="AM184" s="41" t="str">
        <f>VLOOKUP(Table2[[#This Row],[country]],Countrycode!A:B,2,FALSE)</f>
        <v>COD</v>
      </c>
      <c r="AN184" s="34">
        <f>IF(ISBLANK(Table2[[#This Row],[Need_RRA]]), 2,(IF(Table2[[#This Row],[Need_RRA]]="No", 0, (IF(AND(Table2[[#This Row],[Need_RRA]]="Yes",  Table2[[#This Row],[RRA_pub_date]]=""),1, 0)))))</f>
        <v>0</v>
      </c>
      <c r="AO184" s="34">
        <f>IF(ISBLANK(Table2[[#This Row],[Need_EIS]]), 2,(IF(Table2[[#This Row],[Need_EIS]]="No", 0, (IF(AND(Table2[[#This Row],[Need_EIS]]="Yes",  Table2[[#This Row],[EIS_pub_date]]=""),1, 0)))))</f>
        <v>0</v>
      </c>
      <c r="AP184" s="34">
        <f>IF(ISBLANK(Table2[[#This Row],[Need_DON]]), 2,(IF(Table2[[#This Row],[Need_DON]]="No", 0, (IF(AND(Table2[[#This Row],[Need_DON]]="Yes",  Table2[[#This Row],[DON_pub_date]]=""),1, 0)))))</f>
        <v>0</v>
      </c>
      <c r="AQ184" s="34">
        <f>IF(ISBLANK(Table2[[#This Row],[Pending_question]]), 2,(IF(Table2[[#This Row],[Pending_question]]="Yes", 1, 0)))</f>
        <v>0</v>
      </c>
      <c r="AR184" s="43"/>
    </row>
    <row r="185" spans="1:44" ht="15" customHeight="1">
      <c r="A185" s="63">
        <v>44749</v>
      </c>
      <c r="B185" s="29" t="s">
        <v>15</v>
      </c>
      <c r="C185" s="34" t="str" cm="1">
        <f t="array" ref="C18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85" s="27" t="s">
        <v>927</v>
      </c>
      <c r="E185" s="67" t="s">
        <v>136</v>
      </c>
      <c r="F185" s="29" t="s">
        <v>117</v>
      </c>
      <c r="G185" s="29" t="s">
        <v>34</v>
      </c>
      <c r="H185" s="59">
        <v>44749</v>
      </c>
      <c r="I185" s="59"/>
      <c r="J185" s="59">
        <v>44732</v>
      </c>
      <c r="K185" s="59" t="s">
        <v>989</v>
      </c>
      <c r="L185" s="104" t="s">
        <v>990</v>
      </c>
      <c r="M185" s="70" t="s">
        <v>19</v>
      </c>
      <c r="N185" s="109"/>
      <c r="O185" s="85"/>
      <c r="P185" s="59" t="s">
        <v>19</v>
      </c>
      <c r="Q185" s="84"/>
      <c r="R185" s="29"/>
      <c r="S185" s="29"/>
      <c r="T185" s="59"/>
      <c r="U185" s="29"/>
      <c r="V185" s="29" t="s">
        <v>34</v>
      </c>
      <c r="W185" s="29" t="s">
        <v>34</v>
      </c>
      <c r="X185" s="27" t="s">
        <v>34</v>
      </c>
      <c r="Y185" s="29" t="s">
        <v>30</v>
      </c>
      <c r="Z185" s="29" t="s">
        <v>42</v>
      </c>
      <c r="AA185" s="29"/>
      <c r="AB185" s="29" t="s">
        <v>991</v>
      </c>
      <c r="AC185" s="59">
        <v>44746</v>
      </c>
      <c r="AD185" s="59"/>
      <c r="AE185" s="59">
        <v>44746</v>
      </c>
      <c r="AF185" s="59">
        <v>44749</v>
      </c>
      <c r="AG185" s="59">
        <v>44750</v>
      </c>
      <c r="AH185" s="85">
        <v>44756</v>
      </c>
      <c r="AI185" s="29" t="s">
        <v>30</v>
      </c>
      <c r="AJ185" s="139"/>
      <c r="AK185" s="86">
        <v>44776</v>
      </c>
      <c r="AL185" s="102"/>
      <c r="AM185" s="41" t="str">
        <f>VLOOKUP(Table2[[#This Row],[country]],Countrycode!A:B,2,FALSE)</f>
        <v>BGD</v>
      </c>
      <c r="AN185" s="34">
        <f>IF(ISBLANK(Table2[[#This Row],[Need_RRA]]), 2,(IF(Table2[[#This Row],[Need_RRA]]="No", 0, (IF(AND(Table2[[#This Row],[Need_RRA]]="Yes",  Table2[[#This Row],[RRA_pub_date]]=""),1, 0)))))</f>
        <v>0</v>
      </c>
      <c r="AO185" s="34">
        <f>IF(ISBLANK(Table2[[#This Row],[Need_EIS]]), 2,(IF(Table2[[#This Row],[Need_EIS]]="No", 0, (IF(AND(Table2[[#This Row],[Need_EIS]]="Yes",  Table2[[#This Row],[EIS_pub_date]]=""),1, 0)))))</f>
        <v>0</v>
      </c>
      <c r="AP185" s="34">
        <f>IF(ISBLANK(Table2[[#This Row],[Need_DON]]), 2,(IF(Table2[[#This Row],[Need_DON]]="No", 0, (IF(AND(Table2[[#This Row],[Need_DON]]="Yes",  Table2[[#This Row],[DON_pub_date]]=""),1, 0)))))</f>
        <v>0</v>
      </c>
      <c r="AQ185" s="34">
        <f>IF(ISBLANK(Table2[[#This Row],[Pending_question]]), 2,(IF(Table2[[#This Row],[Pending_question]]="Yes", 1, 0)))</f>
        <v>0</v>
      </c>
      <c r="AR185" s="43"/>
    </row>
    <row r="186" spans="1:44" ht="15" customHeight="1">
      <c r="A186" s="63">
        <v>44753</v>
      </c>
      <c r="B186" s="29" t="s">
        <v>15</v>
      </c>
      <c r="C186" s="34" t="str" cm="1">
        <f t="array" ref="C18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86" s="27" t="s">
        <v>992</v>
      </c>
      <c r="E186" s="67" t="s">
        <v>174</v>
      </c>
      <c r="F186" s="29" t="s">
        <v>256</v>
      </c>
      <c r="G186" s="29" t="s">
        <v>34</v>
      </c>
      <c r="H186" s="29"/>
      <c r="I186" s="59"/>
      <c r="J186" s="29"/>
      <c r="K186" s="63" t="s">
        <v>993</v>
      </c>
      <c r="L186" s="85"/>
      <c r="M186" s="70" t="s">
        <v>19</v>
      </c>
      <c r="N186" s="59" t="s">
        <v>19</v>
      </c>
      <c r="O186" s="85"/>
      <c r="P186" s="59" t="s">
        <v>30</v>
      </c>
      <c r="Q186" s="84">
        <v>1</v>
      </c>
      <c r="R186" s="29" t="s">
        <v>994</v>
      </c>
      <c r="S186" s="59">
        <v>44753</v>
      </c>
      <c r="T186" s="59"/>
      <c r="U186" s="59">
        <v>44755</v>
      </c>
      <c r="V186" s="29" t="s">
        <v>20</v>
      </c>
      <c r="W186" s="29" t="s">
        <v>32</v>
      </c>
      <c r="X186" s="27" t="s">
        <v>51</v>
      </c>
      <c r="Y186" s="29" t="s">
        <v>30</v>
      </c>
      <c r="Z186" s="29" t="s">
        <v>42</v>
      </c>
      <c r="AA186" s="29"/>
      <c r="AB186" s="29"/>
      <c r="AC186" s="59">
        <v>44753</v>
      </c>
      <c r="AD186" s="59"/>
      <c r="AE186" s="29"/>
      <c r="AF186" s="29"/>
      <c r="AG186" s="27"/>
      <c r="AH186" s="85">
        <v>44761</v>
      </c>
      <c r="AI186" s="29" t="s">
        <v>30</v>
      </c>
      <c r="AJ186" s="139"/>
      <c r="AK186" s="86">
        <v>44764</v>
      </c>
      <c r="AL186" s="102"/>
      <c r="AM186" s="41" t="str">
        <f>VLOOKUP(Table2[[#This Row],[country]],Countrycode!A:B,2,FALSE)</f>
        <v>GHA</v>
      </c>
      <c r="AN186" s="34">
        <f>IF(ISBLANK(Table2[[#This Row],[Need_RRA]]), 2,(IF(Table2[[#This Row],[Need_RRA]]="No", 0, (IF(AND(Table2[[#This Row],[Need_RRA]]="Yes",  Table2[[#This Row],[RRA_pub_date]]=""),1, 0)))))</f>
        <v>0</v>
      </c>
      <c r="AO186" s="34">
        <f>IF(ISBLANK(Table2[[#This Row],[Need_EIS]]), 2,(IF(Table2[[#This Row],[Need_EIS]]="No", 0, (IF(AND(Table2[[#This Row],[Need_EIS]]="Yes",  Table2[[#This Row],[EIS_pub_date]]=""),1, 0)))))</f>
        <v>0</v>
      </c>
      <c r="AP186" s="34">
        <f>IF(ISBLANK(Table2[[#This Row],[Need_DON]]), 2,(IF(Table2[[#This Row],[Need_DON]]="No", 0, (IF(AND(Table2[[#This Row],[Need_DON]]="Yes",  Table2[[#This Row],[DON_pub_date]]=""),1, 0)))))</f>
        <v>0</v>
      </c>
      <c r="AQ186" s="34">
        <f>IF(ISBLANK(Table2[[#This Row],[Pending_question]]), 2,(IF(Table2[[#This Row],[Pending_question]]="Yes", 1, 0)))</f>
        <v>0</v>
      </c>
      <c r="AR186" s="43"/>
    </row>
    <row r="187" spans="1:44" ht="15" customHeight="1">
      <c r="A187" s="63">
        <v>44753</v>
      </c>
      <c r="B187" s="29" t="s">
        <v>15</v>
      </c>
      <c r="C187" s="34" t="str" cm="1">
        <f t="array" ref="C18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87" s="27" t="s">
        <v>995</v>
      </c>
      <c r="E187" s="67" t="s">
        <v>516</v>
      </c>
      <c r="F187" s="29" t="s">
        <v>39</v>
      </c>
      <c r="G187" s="29" t="s">
        <v>34</v>
      </c>
      <c r="H187" s="29"/>
      <c r="I187" s="59"/>
      <c r="J187" s="29"/>
      <c r="K187" s="59" t="s">
        <v>948</v>
      </c>
      <c r="L187" s="104" t="s">
        <v>996</v>
      </c>
      <c r="M187" s="70" t="s">
        <v>19</v>
      </c>
      <c r="N187" s="59"/>
      <c r="O187" s="85"/>
      <c r="P187" s="59" t="s">
        <v>30</v>
      </c>
      <c r="Q187" s="84">
        <v>3</v>
      </c>
      <c r="R187" s="29" t="s">
        <v>997</v>
      </c>
      <c r="S187" s="59">
        <v>44753</v>
      </c>
      <c r="T187" s="59"/>
      <c r="U187" s="59">
        <v>44760</v>
      </c>
      <c r="V187" s="29" t="s">
        <v>34</v>
      </c>
      <c r="W187" s="29" t="s">
        <v>34</v>
      </c>
      <c r="X187" s="27" t="s">
        <v>32</v>
      </c>
      <c r="Y187" s="29" t="s">
        <v>19</v>
      </c>
      <c r="Z187" s="29"/>
      <c r="AA187" s="29"/>
      <c r="AB187" s="29"/>
      <c r="AC187" s="29"/>
      <c r="AD187" s="59"/>
      <c r="AE187" s="29"/>
      <c r="AF187" s="29"/>
      <c r="AG187" s="29"/>
      <c r="AH187" s="29"/>
      <c r="AI187" s="29" t="s">
        <v>19</v>
      </c>
      <c r="AJ187" s="139"/>
      <c r="AK187" s="28"/>
      <c r="AL187" s="102"/>
      <c r="AM187" s="41" t="str">
        <f>VLOOKUP(Table2[[#This Row],[country]],Countrycode!A:B,2,FALSE)</f>
        <v>MLX</v>
      </c>
      <c r="AN187" s="34">
        <f>IF(ISBLANK(Table2[[#This Row],[Need_RRA]]), 2,(IF(Table2[[#This Row],[Need_RRA]]="No", 0, (IF(AND(Table2[[#This Row],[Need_RRA]]="Yes",  Table2[[#This Row],[RRA_pub_date]]=""),1, 0)))))</f>
        <v>0</v>
      </c>
      <c r="AO187" s="34">
        <f>IF(ISBLANK(Table2[[#This Row],[Need_EIS]]), 2,(IF(Table2[[#This Row],[Need_EIS]]="No", 0, (IF(AND(Table2[[#This Row],[Need_EIS]]="Yes",  Table2[[#This Row],[EIS_pub_date]]=""),1, 0)))))</f>
        <v>0</v>
      </c>
      <c r="AP187" s="34">
        <f>IF(ISBLANK(Table2[[#This Row],[Need_DON]]), 2,(IF(Table2[[#This Row],[Need_DON]]="No", 0, (IF(AND(Table2[[#This Row],[Need_DON]]="Yes",  Table2[[#This Row],[DON_pub_date]]=""),1, 0)))))</f>
        <v>0</v>
      </c>
      <c r="AQ187" s="34">
        <f>IF(ISBLANK(Table2[[#This Row],[Pending_question]]), 2,(IF(Table2[[#This Row],[Pending_question]]="Yes", 1, 0)))</f>
        <v>0</v>
      </c>
      <c r="AR187" s="43"/>
    </row>
    <row r="188" spans="1:44" ht="15" customHeight="1">
      <c r="A188" s="63">
        <v>44757</v>
      </c>
      <c r="B188" s="29" t="s">
        <v>15</v>
      </c>
      <c r="C188" s="34" t="str" cm="1">
        <f t="array" ref="C18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88" s="27" t="s">
        <v>482</v>
      </c>
      <c r="E188" s="67" t="s">
        <v>198</v>
      </c>
      <c r="F188" s="29" t="s">
        <v>55</v>
      </c>
      <c r="G188" s="29" t="s">
        <v>34</v>
      </c>
      <c r="H188" s="59">
        <v>44757</v>
      </c>
      <c r="I188" s="59"/>
      <c r="J188" s="59">
        <v>44757</v>
      </c>
      <c r="K188" s="59" t="s">
        <v>998</v>
      </c>
      <c r="L188" s="104" t="s">
        <v>999</v>
      </c>
      <c r="M188" s="70" t="s">
        <v>19</v>
      </c>
      <c r="N188" s="59"/>
      <c r="O188" s="85"/>
      <c r="P188" s="59" t="s">
        <v>19</v>
      </c>
      <c r="Q188" s="84"/>
      <c r="R188" s="29"/>
      <c r="S188" s="29"/>
      <c r="T188" s="59"/>
      <c r="U188" s="29"/>
      <c r="V188" s="29" t="s">
        <v>34</v>
      </c>
      <c r="W188" s="29" t="s">
        <v>34</v>
      </c>
      <c r="X188" s="27" t="s">
        <v>34</v>
      </c>
      <c r="Y188" s="29" t="s">
        <v>30</v>
      </c>
      <c r="Z188" s="29" t="s">
        <v>42</v>
      </c>
      <c r="AA188" s="29"/>
      <c r="AB188" s="29" t="s">
        <v>1000</v>
      </c>
      <c r="AC188" s="59">
        <v>44757</v>
      </c>
      <c r="AD188" s="59"/>
      <c r="AE188" s="59">
        <v>44768</v>
      </c>
      <c r="AF188" s="59">
        <v>44769</v>
      </c>
      <c r="AG188" s="29"/>
      <c r="AH188" s="85">
        <v>44803</v>
      </c>
      <c r="AI188" s="29" t="s">
        <v>30</v>
      </c>
      <c r="AJ188" s="139"/>
      <c r="AK188" s="86">
        <v>44817</v>
      </c>
      <c r="AL188" s="102"/>
      <c r="AM188" s="41" t="str">
        <f>VLOOKUP(Table2[[#This Row],[country]],Countrycode!A:B,2,FALSE)</f>
        <v>DZA</v>
      </c>
      <c r="AN188" s="34">
        <f>IF(ISBLANK(Table2[[#This Row],[Need_RRA]]), 2,(IF(Table2[[#This Row],[Need_RRA]]="No", 0, (IF(AND(Table2[[#This Row],[Need_RRA]]="Yes",  Table2[[#This Row],[RRA_pub_date]]=""),1, 0)))))</f>
        <v>0</v>
      </c>
      <c r="AO188" s="34">
        <f>IF(ISBLANK(Table2[[#This Row],[Need_EIS]]), 2,(IF(Table2[[#This Row],[Need_EIS]]="No", 0, (IF(AND(Table2[[#This Row],[Need_EIS]]="Yes",  Table2[[#This Row],[EIS_pub_date]]=""),1, 0)))))</f>
        <v>0</v>
      </c>
      <c r="AP188" s="34">
        <f>IF(ISBLANK(Table2[[#This Row],[Need_DON]]), 2,(IF(Table2[[#This Row],[Need_DON]]="No", 0, (IF(AND(Table2[[#This Row],[Need_DON]]="Yes",  Table2[[#This Row],[DON_pub_date]]=""),1, 0)))))</f>
        <v>0</v>
      </c>
      <c r="AQ188" s="34">
        <f>IF(ISBLANK(Table2[[#This Row],[Pending_question]]), 2,(IF(Table2[[#This Row],[Pending_question]]="Yes", 1, 0)))</f>
        <v>0</v>
      </c>
      <c r="AR188" s="43"/>
    </row>
    <row r="189" spans="1:44" ht="15" customHeight="1">
      <c r="A189" s="63">
        <v>44760</v>
      </c>
      <c r="B189" s="29" t="s">
        <v>15</v>
      </c>
      <c r="C189" s="34" t="str" cm="1">
        <f t="array" ref="C18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89" s="27" t="s">
        <v>456</v>
      </c>
      <c r="E189" s="67" t="s">
        <v>170</v>
      </c>
      <c r="F189" s="29" t="s">
        <v>401</v>
      </c>
      <c r="G189" s="29" t="s">
        <v>34</v>
      </c>
      <c r="H189" s="59">
        <v>44760</v>
      </c>
      <c r="I189" s="59">
        <v>44760</v>
      </c>
      <c r="J189" s="59">
        <v>44757</v>
      </c>
      <c r="K189" s="368" t="s">
        <v>1001</v>
      </c>
      <c r="L189" s="104" t="s">
        <v>1002</v>
      </c>
      <c r="M189" s="70" t="s">
        <v>19</v>
      </c>
      <c r="N189" s="59"/>
      <c r="O189" s="85"/>
      <c r="P189" s="59" t="s">
        <v>30</v>
      </c>
      <c r="Q189" s="84">
        <v>1</v>
      </c>
      <c r="R189" s="29" t="s">
        <v>997</v>
      </c>
      <c r="S189" s="59">
        <v>44761</v>
      </c>
      <c r="T189" s="59"/>
      <c r="U189" s="59">
        <v>44766</v>
      </c>
      <c r="V189" s="29" t="s">
        <v>32</v>
      </c>
      <c r="W189" s="29" t="s">
        <v>51</v>
      </c>
      <c r="X189" s="27" t="s">
        <v>51</v>
      </c>
      <c r="Y189" s="29" t="s">
        <v>30</v>
      </c>
      <c r="Z189" s="29" t="s">
        <v>42</v>
      </c>
      <c r="AA189" s="29"/>
      <c r="AB189" s="29" t="s">
        <v>1003</v>
      </c>
      <c r="AC189" s="59">
        <v>44765</v>
      </c>
      <c r="AD189" s="59"/>
      <c r="AE189" s="59">
        <v>44767</v>
      </c>
      <c r="AF189" s="29"/>
      <c r="AG189" s="59">
        <v>44773</v>
      </c>
      <c r="AH189" s="85">
        <v>44775</v>
      </c>
      <c r="AI189" s="29" t="s">
        <v>30</v>
      </c>
      <c r="AJ189" s="139"/>
      <c r="AK189" s="86">
        <v>44785</v>
      </c>
      <c r="AL189" s="102"/>
      <c r="AM189" s="41" t="str">
        <f>VLOOKUP(Table2[[#This Row],[country]],Countrycode!A:B,2,FALSE)</f>
        <v>TZA</v>
      </c>
      <c r="AN189" s="34">
        <f>IF(ISBLANK(Table2[[#This Row],[Need_RRA]]), 2,(IF(Table2[[#This Row],[Need_RRA]]="No", 0, (IF(AND(Table2[[#This Row],[Need_RRA]]="Yes",  Table2[[#This Row],[RRA_pub_date]]=""),1, 0)))))</f>
        <v>0</v>
      </c>
      <c r="AO189" s="34">
        <f>IF(ISBLANK(Table2[[#This Row],[Need_EIS]]), 2,(IF(Table2[[#This Row],[Need_EIS]]="No", 0, (IF(AND(Table2[[#This Row],[Need_EIS]]="Yes",  Table2[[#This Row],[EIS_pub_date]]=""),1, 0)))))</f>
        <v>0</v>
      </c>
      <c r="AP189" s="34">
        <f>IF(ISBLANK(Table2[[#This Row],[Need_DON]]), 2,(IF(Table2[[#This Row],[Need_DON]]="No", 0, (IF(AND(Table2[[#This Row],[Need_DON]]="Yes",  Table2[[#This Row],[DON_pub_date]]=""),1, 0)))))</f>
        <v>0</v>
      </c>
      <c r="AQ189" s="34">
        <f>IF(ISBLANK(Table2[[#This Row],[Pending_question]]), 2,(IF(Table2[[#This Row],[Pending_question]]="Yes", 1, 0)))</f>
        <v>0</v>
      </c>
      <c r="AR189" s="43"/>
    </row>
    <row r="190" spans="1:44" ht="15" customHeight="1">
      <c r="A190" s="63">
        <v>44767</v>
      </c>
      <c r="B190" s="29" t="s">
        <v>15</v>
      </c>
      <c r="C190" s="34" t="str" cm="1">
        <f t="array" ref="C19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90" s="27" t="s">
        <v>978</v>
      </c>
      <c r="E190" s="67" t="s">
        <v>152</v>
      </c>
      <c r="F190" s="29" t="s">
        <v>93</v>
      </c>
      <c r="G190" s="29" t="s">
        <v>93</v>
      </c>
      <c r="H190" s="29"/>
      <c r="I190" s="59"/>
      <c r="J190" s="29"/>
      <c r="K190" s="63" t="s">
        <v>879</v>
      </c>
      <c r="L190" s="85"/>
      <c r="M190" s="70" t="s">
        <v>19</v>
      </c>
      <c r="N190" s="59"/>
      <c r="O190" s="85"/>
      <c r="P190" s="59" t="s">
        <v>19</v>
      </c>
      <c r="Q190" s="84"/>
      <c r="R190" s="29"/>
      <c r="S190" s="29"/>
      <c r="T190" s="59"/>
      <c r="U190" s="29"/>
      <c r="V190" s="29" t="s">
        <v>34</v>
      </c>
      <c r="W190" s="29" t="s">
        <v>34</v>
      </c>
      <c r="X190" s="27" t="s">
        <v>34</v>
      </c>
      <c r="Y190" s="29" t="s">
        <v>30</v>
      </c>
      <c r="Z190" s="29" t="s">
        <v>33</v>
      </c>
      <c r="AA190" s="29"/>
      <c r="AB190" s="29" t="s">
        <v>1004</v>
      </c>
      <c r="AC190" s="59">
        <v>44767</v>
      </c>
      <c r="AD190" s="59"/>
      <c r="AE190" s="59">
        <v>44767</v>
      </c>
      <c r="AF190" s="29"/>
      <c r="AG190" s="29"/>
      <c r="AH190" s="85">
        <v>44771</v>
      </c>
      <c r="AI190" s="29" t="s">
        <v>19</v>
      </c>
      <c r="AJ190" s="139"/>
      <c r="AK190" s="28"/>
      <c r="AL190" s="102" t="s">
        <v>1005</v>
      </c>
      <c r="AM190" s="41" t="e">
        <f>VLOOKUP(Table2[[#This Row],[country]],Countrycode!A:B,2,FALSE)</f>
        <v>#N/A</v>
      </c>
      <c r="AN190" s="34">
        <f>IF(ISBLANK(Table2[[#This Row],[Need_RRA]]), 2,(IF(Table2[[#This Row],[Need_RRA]]="No", 0, (IF(AND(Table2[[#This Row],[Need_RRA]]="Yes",  Table2[[#This Row],[RRA_pub_date]]=""),1, 0)))))</f>
        <v>0</v>
      </c>
      <c r="AO190" s="34">
        <f>IF(ISBLANK(Table2[[#This Row],[Need_EIS]]), 2,(IF(Table2[[#This Row],[Need_EIS]]="No", 0, (IF(AND(Table2[[#This Row],[Need_EIS]]="Yes",  Table2[[#This Row],[EIS_pub_date]]=""),1, 0)))))</f>
        <v>0</v>
      </c>
      <c r="AP190" s="34">
        <f>IF(ISBLANK(Table2[[#This Row],[Need_DON]]), 2,(IF(Table2[[#This Row],[Need_DON]]="No", 0, (IF(AND(Table2[[#This Row],[Need_DON]]="Yes",  Table2[[#This Row],[DON_pub_date]]=""),1, 0)))))</f>
        <v>0</v>
      </c>
      <c r="AQ190" s="34">
        <f>IF(ISBLANK(Table2[[#This Row],[Pending_question]]), 2,(IF(Table2[[#This Row],[Pending_question]]="Yes", 1, 0)))</f>
        <v>0</v>
      </c>
      <c r="AR190" s="43"/>
    </row>
    <row r="191" spans="1:44" ht="15" customHeight="1">
      <c r="A191" s="63">
        <v>44771</v>
      </c>
      <c r="B191" s="29" t="s">
        <v>15</v>
      </c>
      <c r="C191" s="34" t="str" cm="1">
        <f t="array" ref="C19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91" s="27" t="s">
        <v>978</v>
      </c>
      <c r="E191" s="67" t="s">
        <v>152</v>
      </c>
      <c r="F191" s="29" t="s">
        <v>93</v>
      </c>
      <c r="G191" s="29" t="s">
        <v>93</v>
      </c>
      <c r="H191" s="29"/>
      <c r="I191" s="59"/>
      <c r="J191" s="29"/>
      <c r="K191" s="59" t="s">
        <v>879</v>
      </c>
      <c r="L191" s="85"/>
      <c r="M191" s="70" t="s">
        <v>19</v>
      </c>
      <c r="N191" s="59"/>
      <c r="O191" s="85"/>
      <c r="P191" s="59" t="s">
        <v>19</v>
      </c>
      <c r="Q191" s="84"/>
      <c r="R191" s="29"/>
      <c r="S191" s="29"/>
      <c r="T191" s="59"/>
      <c r="U191" s="29"/>
      <c r="V191" s="29" t="s">
        <v>34</v>
      </c>
      <c r="W191" s="29" t="s">
        <v>34</v>
      </c>
      <c r="X191" s="27" t="s">
        <v>34</v>
      </c>
      <c r="Y191" s="29" t="s">
        <v>30</v>
      </c>
      <c r="Z191" s="29" t="s">
        <v>33</v>
      </c>
      <c r="AA191" s="29"/>
      <c r="AB191" s="29" t="s">
        <v>1006</v>
      </c>
      <c r="AC191" s="59">
        <v>44771</v>
      </c>
      <c r="AD191" s="59"/>
      <c r="AE191" s="59">
        <v>44804</v>
      </c>
      <c r="AF191" s="59">
        <v>44806</v>
      </c>
      <c r="AG191" s="27"/>
      <c r="AH191" s="85">
        <v>44812</v>
      </c>
      <c r="AI191" s="29" t="s">
        <v>19</v>
      </c>
      <c r="AJ191" s="139"/>
      <c r="AK191" s="28"/>
      <c r="AL191" s="102"/>
      <c r="AM191" s="41" t="e">
        <f>VLOOKUP(Table2[[#This Row],[country]],Countrycode!A:B,2,FALSE)</f>
        <v>#N/A</v>
      </c>
      <c r="AN191" s="34">
        <f>IF(ISBLANK(Table2[[#This Row],[Need_RRA]]), 2,(IF(Table2[[#This Row],[Need_RRA]]="No", 0, (IF(AND(Table2[[#This Row],[Need_RRA]]="Yes",  Table2[[#This Row],[RRA_pub_date]]=""),1, 0)))))</f>
        <v>0</v>
      </c>
      <c r="AO191" s="34">
        <f>IF(ISBLANK(Table2[[#This Row],[Need_EIS]]), 2,(IF(Table2[[#This Row],[Need_EIS]]="No", 0, (IF(AND(Table2[[#This Row],[Need_EIS]]="Yes",  Table2[[#This Row],[EIS_pub_date]]=""),1, 0)))))</f>
        <v>0</v>
      </c>
      <c r="AP191" s="34">
        <f>IF(ISBLANK(Table2[[#This Row],[Need_DON]]), 2,(IF(Table2[[#This Row],[Need_DON]]="No", 0, (IF(AND(Table2[[#This Row],[Need_DON]]="Yes",  Table2[[#This Row],[DON_pub_date]]=""),1, 0)))))</f>
        <v>0</v>
      </c>
      <c r="AQ191" s="34">
        <f>IF(ISBLANK(Table2[[#This Row],[Pending_question]]), 2,(IF(Table2[[#This Row],[Pending_question]]="Yes", 1, 0)))</f>
        <v>0</v>
      </c>
      <c r="AR191" s="43"/>
    </row>
    <row r="192" spans="1:44" ht="15" customHeight="1">
      <c r="A192" s="63">
        <v>44777</v>
      </c>
      <c r="B192" s="29" t="s">
        <v>15</v>
      </c>
      <c r="C192" s="34" t="str" cm="1">
        <f t="array" ref="C19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92" s="27" t="s">
        <v>1007</v>
      </c>
      <c r="E192" s="67" t="s">
        <v>245</v>
      </c>
      <c r="F192" s="29" t="s">
        <v>335</v>
      </c>
      <c r="G192" s="29" t="s">
        <v>34</v>
      </c>
      <c r="H192" s="29" t="s">
        <v>34</v>
      </c>
      <c r="I192" s="59"/>
      <c r="J192" s="59">
        <v>44777</v>
      </c>
      <c r="K192" s="59" t="s">
        <v>1008</v>
      </c>
      <c r="L192" s="104" t="s">
        <v>1009</v>
      </c>
      <c r="M192" s="70" t="s">
        <v>19</v>
      </c>
      <c r="N192" s="59"/>
      <c r="O192" s="85"/>
      <c r="P192" s="59" t="s">
        <v>19</v>
      </c>
      <c r="Q192" s="84"/>
      <c r="R192" s="29" t="s">
        <v>1010</v>
      </c>
      <c r="S192" s="29"/>
      <c r="T192" s="59"/>
      <c r="U192" s="29"/>
      <c r="V192" s="29"/>
      <c r="W192" s="29"/>
      <c r="X192" s="27"/>
      <c r="Y192" s="29" t="s">
        <v>19</v>
      </c>
      <c r="Z192" s="29"/>
      <c r="AA192" s="29"/>
      <c r="AB192" s="29"/>
      <c r="AC192" s="29"/>
      <c r="AD192" s="59"/>
      <c r="AE192" s="29"/>
      <c r="AF192" s="29"/>
      <c r="AG192" s="29"/>
      <c r="AH192" s="27"/>
      <c r="AI192" s="29" t="s">
        <v>19</v>
      </c>
      <c r="AJ192" s="139"/>
      <c r="AK192" s="28"/>
      <c r="AL192" s="102" t="s">
        <v>1011</v>
      </c>
      <c r="AM192" s="41" t="str">
        <f>VLOOKUP(Table2[[#This Row],[country]],Countrycode!A:B,2,FALSE)</f>
        <v>PAK</v>
      </c>
      <c r="AN192" s="34">
        <f>IF(ISBLANK(Table2[[#This Row],[Need_RRA]]), 2,(IF(Table2[[#This Row],[Need_RRA]]="No", 0, (IF(AND(Table2[[#This Row],[Need_RRA]]="Yes",  Table2[[#This Row],[RRA_pub_date]]=""),1, 0)))))</f>
        <v>0</v>
      </c>
      <c r="AO192" s="34">
        <f>IF(ISBLANK(Table2[[#This Row],[Need_EIS]]), 2,(IF(Table2[[#This Row],[Need_EIS]]="No", 0, (IF(AND(Table2[[#This Row],[Need_EIS]]="Yes",  Table2[[#This Row],[EIS_pub_date]]=""),1, 0)))))</f>
        <v>0</v>
      </c>
      <c r="AP192" s="34">
        <f>IF(ISBLANK(Table2[[#This Row],[Need_DON]]), 2,(IF(Table2[[#This Row],[Need_DON]]="No", 0, (IF(AND(Table2[[#This Row],[Need_DON]]="Yes",  Table2[[#This Row],[DON_pub_date]]=""),1, 0)))))</f>
        <v>0</v>
      </c>
      <c r="AQ192" s="34">
        <f>IF(ISBLANK(Table2[[#This Row],[Pending_question]]), 2,(IF(Table2[[#This Row],[Pending_question]]="Yes", 1, 0)))</f>
        <v>0</v>
      </c>
      <c r="AR192" s="43"/>
    </row>
    <row r="193" spans="1:44" ht="15" customHeight="1">
      <c r="A193" s="63">
        <v>44778</v>
      </c>
      <c r="B193" s="29" t="s">
        <v>15</v>
      </c>
      <c r="C193" s="34" t="str" cm="1">
        <f t="array" ref="C19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93" s="27" t="s">
        <v>1012</v>
      </c>
      <c r="E193" s="67" t="s">
        <v>40</v>
      </c>
      <c r="F193" s="29" t="s">
        <v>251</v>
      </c>
      <c r="G193" s="29" t="s">
        <v>34</v>
      </c>
      <c r="H193" s="59">
        <v>44778</v>
      </c>
      <c r="I193" s="59"/>
      <c r="J193" s="59">
        <v>44777</v>
      </c>
      <c r="K193" s="59" t="s">
        <v>1013</v>
      </c>
      <c r="L193" s="112" t="s">
        <v>1014</v>
      </c>
      <c r="M193" s="70" t="s">
        <v>19</v>
      </c>
      <c r="N193" s="59"/>
      <c r="O193" s="85"/>
      <c r="P193" s="59" t="s">
        <v>30</v>
      </c>
      <c r="Q193" s="84">
        <v>1</v>
      </c>
      <c r="R193" s="29"/>
      <c r="S193" s="59">
        <v>44823</v>
      </c>
      <c r="T193" s="59"/>
      <c r="U193" s="59">
        <v>44826</v>
      </c>
      <c r="V193" s="29" t="s">
        <v>20</v>
      </c>
      <c r="W193" s="29" t="s">
        <v>51</v>
      </c>
      <c r="X193" s="27" t="s">
        <v>51</v>
      </c>
      <c r="Y193" s="29" t="s">
        <v>19</v>
      </c>
      <c r="Z193" s="29"/>
      <c r="AA193" s="29"/>
      <c r="AB193" s="29"/>
      <c r="AC193" s="59">
        <v>44826</v>
      </c>
      <c r="AD193" s="59"/>
      <c r="AE193" s="29"/>
      <c r="AF193" s="29"/>
      <c r="AG193" s="29"/>
      <c r="AH193" s="27"/>
      <c r="AI193" s="29" t="s">
        <v>19</v>
      </c>
      <c r="AJ193" s="139"/>
      <c r="AK193" s="28"/>
      <c r="AL193" s="102" t="s">
        <v>1015</v>
      </c>
      <c r="AM193" s="41" t="str">
        <f>VLOOKUP(Table2[[#This Row],[country]],Countrycode!A:B,2,FALSE)</f>
        <v>GMB</v>
      </c>
      <c r="AN193" s="34">
        <f>IF(ISBLANK(Table2[[#This Row],[Need_RRA]]), 2,(IF(Table2[[#This Row],[Need_RRA]]="No", 0, (IF(AND(Table2[[#This Row],[Need_RRA]]="Yes",  Table2[[#This Row],[RRA_pub_date]]=""),1, 0)))))</f>
        <v>0</v>
      </c>
      <c r="AO193" s="34">
        <f>IF(ISBLANK(Table2[[#This Row],[Need_EIS]]), 2,(IF(Table2[[#This Row],[Need_EIS]]="No", 0, (IF(AND(Table2[[#This Row],[Need_EIS]]="Yes",  Table2[[#This Row],[EIS_pub_date]]=""),1, 0)))))</f>
        <v>0</v>
      </c>
      <c r="AP193" s="34">
        <f>IF(ISBLANK(Table2[[#This Row],[Need_DON]]), 2,(IF(Table2[[#This Row],[Need_DON]]="No", 0, (IF(AND(Table2[[#This Row],[Need_DON]]="Yes",  Table2[[#This Row],[DON_pub_date]]=""),1, 0)))))</f>
        <v>0</v>
      </c>
      <c r="AQ193" s="34">
        <f>IF(ISBLANK(Table2[[#This Row],[Pending_question]]), 2,(IF(Table2[[#This Row],[Pending_question]]="Yes", 1, 0)))</f>
        <v>0</v>
      </c>
      <c r="AR193" s="43"/>
    </row>
    <row r="194" spans="1:44" ht="15" customHeight="1">
      <c r="A194" s="63">
        <v>44780</v>
      </c>
      <c r="B194" s="29" t="s">
        <v>15</v>
      </c>
      <c r="C194" s="34" t="str" cm="1">
        <f t="array" ref="C19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94" s="27" t="s">
        <v>838</v>
      </c>
      <c r="E194" s="67" t="s">
        <v>221</v>
      </c>
      <c r="F194" s="29" t="s">
        <v>133</v>
      </c>
      <c r="G194" s="29" t="s">
        <v>34</v>
      </c>
      <c r="H194" s="59">
        <v>44780</v>
      </c>
      <c r="I194" s="59">
        <v>44780</v>
      </c>
      <c r="J194" s="59">
        <v>44771</v>
      </c>
      <c r="K194" s="59" t="s">
        <v>1016</v>
      </c>
      <c r="L194" s="85" t="s">
        <v>1017</v>
      </c>
      <c r="M194" s="70" t="s">
        <v>19</v>
      </c>
      <c r="N194" s="59" t="s">
        <v>1018</v>
      </c>
      <c r="O194" s="85"/>
      <c r="P194" s="59" t="s">
        <v>19</v>
      </c>
      <c r="Q194" s="84"/>
      <c r="R194" s="29"/>
      <c r="S194" s="29"/>
      <c r="T194" s="59"/>
      <c r="U194" s="29"/>
      <c r="V194" s="29" t="s">
        <v>34</v>
      </c>
      <c r="W194" s="29" t="s">
        <v>34</v>
      </c>
      <c r="X194" s="27" t="s">
        <v>34</v>
      </c>
      <c r="Y194" s="29" t="s">
        <v>19</v>
      </c>
      <c r="Z194" s="29" t="s">
        <v>34</v>
      </c>
      <c r="AA194" s="29" t="s">
        <v>22</v>
      </c>
      <c r="AB194" s="29" t="s">
        <v>1019</v>
      </c>
      <c r="AC194" s="59">
        <v>44780</v>
      </c>
      <c r="AD194" s="59">
        <v>44780</v>
      </c>
      <c r="AE194" s="59">
        <v>44782</v>
      </c>
      <c r="AF194" s="29"/>
      <c r="AG194" s="29"/>
      <c r="AH194" s="27"/>
      <c r="AI194" s="29" t="s">
        <v>19</v>
      </c>
      <c r="AJ194" s="139"/>
      <c r="AK194" s="28"/>
      <c r="AL194" s="102"/>
      <c r="AM194" s="41" t="str">
        <f>VLOOKUP(Table2[[#This Row],[country]],Countrycode!A:B,2,FALSE)</f>
        <v>BOL</v>
      </c>
      <c r="AN194" s="34">
        <f>IF(ISBLANK(Table2[[#This Row],[Need_RRA]]), 2,(IF(Table2[[#This Row],[Need_RRA]]="No", 0, (IF(AND(Table2[[#This Row],[Need_RRA]]="Yes",  Table2[[#This Row],[RRA_pub_date]]=""),1, 0)))))</f>
        <v>0</v>
      </c>
      <c r="AO194" s="34">
        <f>IF(ISBLANK(Table2[[#This Row],[Need_EIS]]), 2,(IF(Table2[[#This Row],[Need_EIS]]="No", 0, (IF(AND(Table2[[#This Row],[Need_EIS]]="Yes",  Table2[[#This Row],[EIS_pub_date]]=""),1, 0)))))</f>
        <v>0</v>
      </c>
      <c r="AP194" s="34">
        <f>IF(ISBLANK(Table2[[#This Row],[Need_DON]]), 2,(IF(Table2[[#This Row],[Need_DON]]="No", 0, (IF(AND(Table2[[#This Row],[Need_DON]]="Yes",  Table2[[#This Row],[DON_pub_date]]=""),1, 0)))))</f>
        <v>0</v>
      </c>
      <c r="AQ194" s="34">
        <f>IF(ISBLANK(Table2[[#This Row],[Pending_question]]), 2,(IF(Table2[[#This Row],[Pending_question]]="Yes", 1, 0)))</f>
        <v>0</v>
      </c>
      <c r="AR194" s="43"/>
    </row>
    <row r="195" spans="1:44" ht="15" customHeight="1">
      <c r="A195" s="63">
        <v>44780</v>
      </c>
      <c r="B195" s="29" t="s">
        <v>15</v>
      </c>
      <c r="C195" s="34" t="str" cm="1">
        <f t="array" ref="C19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95" s="27" t="s">
        <v>1020</v>
      </c>
      <c r="E195" s="67" t="s">
        <v>504</v>
      </c>
      <c r="F195" s="29" t="s">
        <v>403</v>
      </c>
      <c r="G195" s="29" t="s">
        <v>34</v>
      </c>
      <c r="H195" s="59">
        <v>44780</v>
      </c>
      <c r="I195" s="59">
        <v>44780</v>
      </c>
      <c r="J195" s="59">
        <v>44781</v>
      </c>
      <c r="K195" s="167" t="s">
        <v>1021</v>
      </c>
      <c r="L195" s="104" t="s">
        <v>1022</v>
      </c>
      <c r="M195" s="70" t="s">
        <v>19</v>
      </c>
      <c r="N195" s="59"/>
      <c r="O195" s="85"/>
      <c r="P195" s="59" t="s">
        <v>19</v>
      </c>
      <c r="Q195" s="84"/>
      <c r="R195" s="29"/>
      <c r="S195" s="29"/>
      <c r="T195" s="59"/>
      <c r="U195" s="29"/>
      <c r="V195" s="29" t="s">
        <v>34</v>
      </c>
      <c r="W195" s="29" t="s">
        <v>34</v>
      </c>
      <c r="X195" s="27" t="s">
        <v>34</v>
      </c>
      <c r="Y195" s="29" t="s">
        <v>30</v>
      </c>
      <c r="Z195" s="29" t="s">
        <v>42</v>
      </c>
      <c r="AA195" s="29"/>
      <c r="AB195" s="29" t="s">
        <v>1023</v>
      </c>
      <c r="AC195" s="59">
        <v>44780</v>
      </c>
      <c r="AD195" s="59"/>
      <c r="AE195" s="59">
        <v>44781</v>
      </c>
      <c r="AF195" s="59">
        <v>44781</v>
      </c>
      <c r="AG195" s="59">
        <v>44782</v>
      </c>
      <c r="AH195" s="85">
        <v>44783</v>
      </c>
      <c r="AI195" s="29" t="s">
        <v>19</v>
      </c>
      <c r="AJ195" s="139"/>
      <c r="AK195" s="28"/>
      <c r="AL195" s="102"/>
      <c r="AM195" s="41" t="str">
        <f>VLOOKUP(Table2[[#This Row],[country]],Countrycode!A:B,2,FALSE)</f>
        <v>USA</v>
      </c>
      <c r="AN195" s="34">
        <f>IF(ISBLANK(Table2[[#This Row],[Need_RRA]]), 2,(IF(Table2[[#This Row],[Need_RRA]]="No", 0, (IF(AND(Table2[[#This Row],[Need_RRA]]="Yes",  Table2[[#This Row],[RRA_pub_date]]=""),1, 0)))))</f>
        <v>0</v>
      </c>
      <c r="AO195" s="34">
        <f>IF(ISBLANK(Table2[[#This Row],[Need_EIS]]), 2,(IF(Table2[[#This Row],[Need_EIS]]="No", 0, (IF(AND(Table2[[#This Row],[Need_EIS]]="Yes",  Table2[[#This Row],[EIS_pub_date]]=""),1, 0)))))</f>
        <v>0</v>
      </c>
      <c r="AP195" s="34">
        <f>IF(ISBLANK(Table2[[#This Row],[Need_DON]]), 2,(IF(Table2[[#This Row],[Need_DON]]="No", 0, (IF(AND(Table2[[#This Row],[Need_DON]]="Yes",  Table2[[#This Row],[DON_pub_date]]=""),1, 0)))))</f>
        <v>0</v>
      </c>
      <c r="AQ195" s="34">
        <f>IF(ISBLANK(Table2[[#This Row],[Pending_question]]), 2,(IF(Table2[[#This Row],[Pending_question]]="Yes", 1, 0)))</f>
        <v>0</v>
      </c>
      <c r="AR195" s="43"/>
    </row>
    <row r="196" spans="1:44" ht="15" customHeight="1">
      <c r="A196" s="63">
        <v>44783</v>
      </c>
      <c r="B196" s="29" t="s">
        <v>15</v>
      </c>
      <c r="C196" s="34" t="str" cm="1">
        <f t="array" ref="C19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96" s="27" t="s">
        <v>1020</v>
      </c>
      <c r="E196" s="67" t="s">
        <v>110</v>
      </c>
      <c r="F196" s="29" t="s">
        <v>173</v>
      </c>
      <c r="G196" s="29" t="s">
        <v>34</v>
      </c>
      <c r="H196" s="59">
        <v>44783</v>
      </c>
      <c r="I196" s="59">
        <v>44783</v>
      </c>
      <c r="J196" s="59">
        <v>44783</v>
      </c>
      <c r="K196" s="321" t="s">
        <v>694</v>
      </c>
      <c r="L196" s="104" t="s">
        <v>795</v>
      </c>
      <c r="M196" s="70" t="s">
        <v>19</v>
      </c>
      <c r="N196" s="59"/>
      <c r="O196" s="85"/>
      <c r="P196" s="59" t="s">
        <v>19</v>
      </c>
      <c r="Q196" s="84"/>
      <c r="R196" s="29"/>
      <c r="S196" s="29"/>
      <c r="T196" s="59"/>
      <c r="U196" s="29"/>
      <c r="V196" s="29" t="s">
        <v>34</v>
      </c>
      <c r="W196" s="29" t="s">
        <v>34</v>
      </c>
      <c r="X196" s="27" t="s">
        <v>34</v>
      </c>
      <c r="Y196" s="29" t="s">
        <v>30</v>
      </c>
      <c r="Z196" s="29" t="s">
        <v>42</v>
      </c>
      <c r="AB196" s="16" t="s">
        <v>1024</v>
      </c>
      <c r="AC196" s="59">
        <v>44783</v>
      </c>
      <c r="AD196" s="59"/>
      <c r="AE196" s="59">
        <v>44785</v>
      </c>
      <c r="AF196" s="59">
        <v>44785</v>
      </c>
      <c r="AG196" s="29"/>
      <c r="AH196" s="85">
        <v>44795</v>
      </c>
      <c r="AI196" s="29" t="s">
        <v>19</v>
      </c>
      <c r="AJ196" s="139"/>
      <c r="AK196" s="28"/>
      <c r="AL196" s="102"/>
      <c r="AM196" s="41" t="str">
        <f>VLOOKUP(Table2[[#This Row],[country]],Countrycode!A:B,2,FALSE)</f>
        <v>CHN</v>
      </c>
      <c r="AN196" s="34">
        <f>IF(ISBLANK(Table2[[#This Row],[Need_RRA]]), 2,(IF(Table2[[#This Row],[Need_RRA]]="No", 0, (IF(AND(Table2[[#This Row],[Need_RRA]]="Yes",  Table2[[#This Row],[RRA_pub_date]]=""),1, 0)))))</f>
        <v>0</v>
      </c>
      <c r="AO196" s="34">
        <f>IF(ISBLANK(Table2[[#This Row],[Need_EIS]]), 2,(IF(Table2[[#This Row],[Need_EIS]]="No", 0, (IF(AND(Table2[[#This Row],[Need_EIS]]="Yes",  Table2[[#This Row],[EIS_pub_date]]=""),1, 0)))))</f>
        <v>0</v>
      </c>
      <c r="AP196" s="34">
        <f>IF(ISBLANK(Table2[[#This Row],[Need_DON]]), 2,(IF(Table2[[#This Row],[Need_DON]]="No", 0, (IF(AND(Table2[[#This Row],[Need_DON]]="Yes",  Table2[[#This Row],[DON_pub_date]]=""),1, 0)))))</f>
        <v>0</v>
      </c>
      <c r="AQ196" s="34">
        <f>IF(ISBLANK(Table2[[#This Row],[Pending_question]]), 2,(IF(Table2[[#This Row],[Pending_question]]="Yes", 1, 0)))</f>
        <v>0</v>
      </c>
      <c r="AR196" s="43"/>
    </row>
    <row r="197" spans="1:44" ht="15" customHeight="1">
      <c r="A197" s="63">
        <v>44786</v>
      </c>
      <c r="B197" s="29" t="s">
        <v>15</v>
      </c>
      <c r="C197" s="34" t="str" cm="1">
        <f t="array" ref="C19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97" s="27" t="s">
        <v>1025</v>
      </c>
      <c r="E197" s="67" t="s">
        <v>166</v>
      </c>
      <c r="F197" s="29" t="s">
        <v>265</v>
      </c>
      <c r="G197" s="29" t="s">
        <v>34</v>
      </c>
      <c r="H197" s="29"/>
      <c r="I197" s="59"/>
      <c r="J197" s="59">
        <v>44786</v>
      </c>
      <c r="K197" s="59" t="s">
        <v>1026</v>
      </c>
      <c r="L197" s="112" t="s">
        <v>1027</v>
      </c>
      <c r="M197" s="70" t="s">
        <v>19</v>
      </c>
      <c r="N197" s="59"/>
      <c r="O197" s="85"/>
      <c r="P197" s="59" t="s">
        <v>30</v>
      </c>
      <c r="Q197" s="84">
        <v>1</v>
      </c>
      <c r="R197" s="29" t="s">
        <v>1028</v>
      </c>
      <c r="S197" s="59">
        <v>44803</v>
      </c>
      <c r="T197" s="59"/>
      <c r="U197" s="59">
        <v>44820</v>
      </c>
      <c r="V197" s="29" t="s">
        <v>32</v>
      </c>
      <c r="W197" s="29" t="s">
        <v>51</v>
      </c>
      <c r="X197" s="27" t="s">
        <v>51</v>
      </c>
      <c r="Y197" s="29" t="s">
        <v>19</v>
      </c>
      <c r="Z197" s="29"/>
      <c r="AA197" s="29"/>
      <c r="AB197" s="29"/>
      <c r="AC197" s="29"/>
      <c r="AD197" s="59"/>
      <c r="AE197" s="29"/>
      <c r="AF197" s="29"/>
      <c r="AG197" s="29"/>
      <c r="AH197" s="27"/>
      <c r="AI197" s="29" t="s">
        <v>19</v>
      </c>
      <c r="AJ197" s="139"/>
      <c r="AK197" s="28"/>
      <c r="AL197" s="102"/>
      <c r="AM197" s="41" t="str">
        <f>VLOOKUP(Table2[[#This Row],[country]],Countrycode!A:B,2,FALSE)</f>
        <v>GIN</v>
      </c>
      <c r="AN197" s="34">
        <f>IF(ISBLANK(Table2[[#This Row],[Need_RRA]]), 2,(IF(Table2[[#This Row],[Need_RRA]]="No", 0, (IF(AND(Table2[[#This Row],[Need_RRA]]="Yes",  Table2[[#This Row],[RRA_pub_date]]=""),1, 0)))))</f>
        <v>0</v>
      </c>
      <c r="AO197" s="34">
        <f>IF(ISBLANK(Table2[[#This Row],[Need_EIS]]), 2,(IF(Table2[[#This Row],[Need_EIS]]="No", 0, (IF(AND(Table2[[#This Row],[Need_EIS]]="Yes",  Table2[[#This Row],[EIS_pub_date]]=""),1, 0)))))</f>
        <v>0</v>
      </c>
      <c r="AP197" s="34">
        <f>IF(ISBLANK(Table2[[#This Row],[Need_DON]]), 2,(IF(Table2[[#This Row],[Need_DON]]="No", 0, (IF(AND(Table2[[#This Row],[Need_DON]]="Yes",  Table2[[#This Row],[DON_pub_date]]=""),1, 0)))))</f>
        <v>0</v>
      </c>
      <c r="AQ197" s="34">
        <f>IF(ISBLANK(Table2[[#This Row],[Pending_question]]), 2,(IF(Table2[[#This Row],[Pending_question]]="Yes", 1, 0)))</f>
        <v>0</v>
      </c>
      <c r="AR197" s="43"/>
    </row>
    <row r="198" spans="1:44" ht="15" customHeight="1">
      <c r="A198" s="63">
        <v>44790</v>
      </c>
      <c r="B198" s="29" t="s">
        <v>15</v>
      </c>
      <c r="C198" s="34" t="str" cm="1">
        <f t="array" ref="C19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98" s="27" t="s">
        <v>1025</v>
      </c>
      <c r="E198" s="67" t="s">
        <v>140</v>
      </c>
      <c r="F198" s="29" t="s">
        <v>208</v>
      </c>
      <c r="G198" s="29" t="s">
        <v>34</v>
      </c>
      <c r="H198" s="59">
        <v>44790</v>
      </c>
      <c r="I198" s="59"/>
      <c r="J198" s="59">
        <v>44791</v>
      </c>
      <c r="K198" s="59" t="s">
        <v>1029</v>
      </c>
      <c r="L198" s="112" t="s">
        <v>1030</v>
      </c>
      <c r="M198" s="70" t="s">
        <v>19</v>
      </c>
      <c r="N198" s="59"/>
      <c r="O198" s="85"/>
      <c r="P198" s="59" t="s">
        <v>30</v>
      </c>
      <c r="Q198" s="84">
        <v>1</v>
      </c>
      <c r="R198" s="29" t="s">
        <v>1031</v>
      </c>
      <c r="S198" s="59">
        <v>44791</v>
      </c>
      <c r="T198" s="59"/>
      <c r="U198" s="59">
        <v>44792</v>
      </c>
      <c r="V198" s="29" t="s">
        <v>20</v>
      </c>
      <c r="W198" s="29" t="s">
        <v>32</v>
      </c>
      <c r="X198" s="27" t="s">
        <v>51</v>
      </c>
      <c r="Y198" s="29" t="s">
        <v>30</v>
      </c>
      <c r="Z198" s="29" t="s">
        <v>42</v>
      </c>
      <c r="AA198" s="29"/>
      <c r="AB198" s="29" t="s">
        <v>1032</v>
      </c>
      <c r="AC198" s="59">
        <v>44791</v>
      </c>
      <c r="AD198" s="59"/>
      <c r="AE198" s="59">
        <v>44794</v>
      </c>
      <c r="AF198" s="59">
        <v>44795</v>
      </c>
      <c r="AG198" s="59">
        <v>44796</v>
      </c>
      <c r="AH198" s="85">
        <v>44796</v>
      </c>
      <c r="AI198" s="29" t="s">
        <v>30</v>
      </c>
      <c r="AJ198" s="139"/>
      <c r="AK198" s="86">
        <v>44798</v>
      </c>
      <c r="AL198" s="102"/>
      <c r="AM198" s="41" t="str">
        <f>VLOOKUP(Table2[[#This Row],[country]],Countrycode!A:B,2,FALSE)</f>
        <v>COD</v>
      </c>
      <c r="AN198" s="34">
        <f>IF(ISBLANK(Table2[[#This Row],[Need_RRA]]), 2,(IF(Table2[[#This Row],[Need_RRA]]="No", 0, (IF(AND(Table2[[#This Row],[Need_RRA]]="Yes",  Table2[[#This Row],[RRA_pub_date]]=""),1, 0)))))</f>
        <v>0</v>
      </c>
      <c r="AO198" s="34">
        <f>IF(ISBLANK(Table2[[#This Row],[Need_EIS]]), 2,(IF(Table2[[#This Row],[Need_EIS]]="No", 0, (IF(AND(Table2[[#This Row],[Need_EIS]]="Yes",  Table2[[#This Row],[EIS_pub_date]]=""),1, 0)))))</f>
        <v>0</v>
      </c>
      <c r="AP198" s="34">
        <f>IF(ISBLANK(Table2[[#This Row],[Need_DON]]), 2,(IF(Table2[[#This Row],[Need_DON]]="No", 0, (IF(AND(Table2[[#This Row],[Need_DON]]="Yes",  Table2[[#This Row],[DON_pub_date]]=""),1, 0)))))</f>
        <v>0</v>
      </c>
      <c r="AQ198" s="34">
        <f>IF(ISBLANK(Table2[[#This Row],[Pending_question]]), 2,(IF(Table2[[#This Row],[Pending_question]]="Yes", 1, 0)))</f>
        <v>0</v>
      </c>
      <c r="AR198" s="43"/>
    </row>
    <row r="199" spans="1:44" ht="15" customHeight="1">
      <c r="A199" s="63">
        <v>44790</v>
      </c>
      <c r="B199" s="29" t="s">
        <v>15</v>
      </c>
      <c r="C199" s="34" t="str" cm="1">
        <f t="array" ref="C19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199" s="27" t="s">
        <v>512</v>
      </c>
      <c r="E199" s="67" t="s">
        <v>140</v>
      </c>
      <c r="F199" s="29" t="s">
        <v>208</v>
      </c>
      <c r="G199" s="29" t="s">
        <v>34</v>
      </c>
      <c r="H199" s="59">
        <v>44790</v>
      </c>
      <c r="I199" s="59"/>
      <c r="J199" s="59">
        <v>44791</v>
      </c>
      <c r="K199" s="59" t="s">
        <v>1029</v>
      </c>
      <c r="L199" s="112" t="s">
        <v>1030</v>
      </c>
      <c r="M199" s="70" t="s">
        <v>19</v>
      </c>
      <c r="N199" s="59"/>
      <c r="O199" s="85"/>
      <c r="P199" s="59" t="s">
        <v>19</v>
      </c>
      <c r="Q199" s="84"/>
      <c r="R199" s="29"/>
      <c r="S199" s="29"/>
      <c r="T199" s="59"/>
      <c r="U199" s="29"/>
      <c r="V199" s="29"/>
      <c r="W199" s="29"/>
      <c r="X199" s="27"/>
      <c r="Y199" s="29" t="s">
        <v>30</v>
      </c>
      <c r="Z199" s="29" t="s">
        <v>21</v>
      </c>
      <c r="AA199" s="29"/>
      <c r="AB199" s="29"/>
      <c r="AC199" s="59">
        <v>44830</v>
      </c>
      <c r="AD199" s="59"/>
      <c r="AE199" s="59">
        <v>44830</v>
      </c>
      <c r="AF199" s="29"/>
      <c r="AG199" s="29"/>
      <c r="AH199" s="85">
        <v>44832</v>
      </c>
      <c r="AI199" s="29" t="s">
        <v>30</v>
      </c>
      <c r="AJ199" s="139"/>
      <c r="AK199" s="86">
        <v>44833</v>
      </c>
      <c r="AL199" s="102"/>
      <c r="AM199" s="41" t="str">
        <f>VLOOKUP(Table2[[#This Row],[country]],Countrycode!A:B,2,FALSE)</f>
        <v>COD</v>
      </c>
      <c r="AN199" s="34">
        <f>IF(ISBLANK(Table2[[#This Row],[Need_RRA]]), 2,(IF(Table2[[#This Row],[Need_RRA]]="No", 0, (IF(AND(Table2[[#This Row],[Need_RRA]]="Yes",  Table2[[#This Row],[RRA_pub_date]]=""),1, 0)))))</f>
        <v>0</v>
      </c>
      <c r="AO199" s="34">
        <f>IF(ISBLANK(Table2[[#This Row],[Need_EIS]]), 2,(IF(Table2[[#This Row],[Need_EIS]]="No", 0, (IF(AND(Table2[[#This Row],[Need_EIS]]="Yes",  Table2[[#This Row],[EIS_pub_date]]=""),1, 0)))))</f>
        <v>0</v>
      </c>
      <c r="AP199" s="34">
        <f>IF(ISBLANK(Table2[[#This Row],[Need_DON]]), 2,(IF(Table2[[#This Row],[Need_DON]]="No", 0, (IF(AND(Table2[[#This Row],[Need_DON]]="Yes",  Table2[[#This Row],[DON_pub_date]]=""),1, 0)))))</f>
        <v>0</v>
      </c>
      <c r="AQ199" s="34">
        <f>IF(ISBLANK(Table2[[#This Row],[Pending_question]]), 2,(IF(Table2[[#This Row],[Pending_question]]="Yes", 1, 0)))</f>
        <v>0</v>
      </c>
      <c r="AR199" s="43"/>
    </row>
    <row r="200" spans="1:44" ht="15" customHeight="1">
      <c r="A200" s="63">
        <v>44795</v>
      </c>
      <c r="B200" s="29" t="s">
        <v>15</v>
      </c>
      <c r="C200" s="34" t="str" cm="1">
        <f t="array" ref="C20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00" s="27" t="s">
        <v>1033</v>
      </c>
      <c r="E200" s="67" t="s">
        <v>104</v>
      </c>
      <c r="F200" s="29" t="s">
        <v>173</v>
      </c>
      <c r="G200" s="29" t="s">
        <v>34</v>
      </c>
      <c r="H200" s="59">
        <v>44795</v>
      </c>
      <c r="I200" s="59"/>
      <c r="J200" s="29"/>
      <c r="K200" s="63"/>
      <c r="L200" s="85"/>
      <c r="M200" s="70" t="s">
        <v>19</v>
      </c>
      <c r="N200" s="59"/>
      <c r="O200" s="85"/>
      <c r="P200" s="59" t="s">
        <v>19</v>
      </c>
      <c r="Q200" s="84"/>
      <c r="R200" s="29"/>
      <c r="S200" s="29"/>
      <c r="T200" s="59"/>
      <c r="U200" s="29"/>
      <c r="V200" s="29" t="s">
        <v>34</v>
      </c>
      <c r="W200" s="29" t="s">
        <v>34</v>
      </c>
      <c r="X200" s="27" t="s">
        <v>34</v>
      </c>
      <c r="Y200" s="29" t="s">
        <v>30</v>
      </c>
      <c r="Z200" s="29" t="s">
        <v>42</v>
      </c>
      <c r="AA200" s="29"/>
      <c r="AB200" s="29" t="s">
        <v>1034</v>
      </c>
      <c r="AC200" s="59">
        <v>44793</v>
      </c>
      <c r="AD200" s="59"/>
      <c r="AE200" s="59">
        <v>44795</v>
      </c>
      <c r="AF200" s="59">
        <v>44795</v>
      </c>
      <c r="AG200" s="29"/>
      <c r="AH200" s="85">
        <v>44809</v>
      </c>
      <c r="AI200" s="29" t="s">
        <v>19</v>
      </c>
      <c r="AJ200" s="139"/>
      <c r="AK200" s="28"/>
      <c r="AL200" s="102"/>
      <c r="AM200" s="41" t="str">
        <f>VLOOKUP(Table2[[#This Row],[country]],Countrycode!A:B,2,FALSE)</f>
        <v>CHN</v>
      </c>
      <c r="AN200" s="34">
        <f>IF(ISBLANK(Table2[[#This Row],[Need_RRA]]), 2,(IF(Table2[[#This Row],[Need_RRA]]="No", 0, (IF(AND(Table2[[#This Row],[Need_RRA]]="Yes",  Table2[[#This Row],[RRA_pub_date]]=""),1, 0)))))</f>
        <v>0</v>
      </c>
      <c r="AO200" s="34">
        <f>IF(ISBLANK(Table2[[#This Row],[Need_EIS]]), 2,(IF(Table2[[#This Row],[Need_EIS]]="No", 0, (IF(AND(Table2[[#This Row],[Need_EIS]]="Yes",  Table2[[#This Row],[EIS_pub_date]]=""),1, 0)))))</f>
        <v>0</v>
      </c>
      <c r="AP200" s="34">
        <f>IF(ISBLANK(Table2[[#This Row],[Need_DON]]), 2,(IF(Table2[[#This Row],[Need_DON]]="No", 0, (IF(AND(Table2[[#This Row],[Need_DON]]="Yes",  Table2[[#This Row],[DON_pub_date]]=""),1, 0)))))</f>
        <v>0</v>
      </c>
      <c r="AQ200" s="34">
        <f>IF(ISBLANK(Table2[[#This Row],[Pending_question]]), 2,(IF(Table2[[#This Row],[Pending_question]]="Yes", 1, 0)))</f>
        <v>0</v>
      </c>
      <c r="AR200" s="43"/>
    </row>
    <row r="201" spans="1:44" ht="15" customHeight="1">
      <c r="A201" s="63">
        <v>44795</v>
      </c>
      <c r="B201" s="29" t="s">
        <v>15</v>
      </c>
      <c r="C201" s="34" t="str" cm="1">
        <f t="array" ref="C20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01" s="27" t="s">
        <v>1033</v>
      </c>
      <c r="E201" s="67" t="s">
        <v>594</v>
      </c>
      <c r="F201" s="29" t="s">
        <v>403</v>
      </c>
      <c r="G201" s="29" t="s">
        <v>34</v>
      </c>
      <c r="H201" s="59">
        <v>44795</v>
      </c>
      <c r="I201" s="59"/>
      <c r="J201" s="59">
        <v>44792</v>
      </c>
      <c r="K201" s="59" t="s">
        <v>1035</v>
      </c>
      <c r="L201" s="112" t="s">
        <v>1036</v>
      </c>
      <c r="M201" s="70" t="s">
        <v>19</v>
      </c>
      <c r="N201" s="59"/>
      <c r="O201" s="85"/>
      <c r="P201" s="59" t="s">
        <v>19</v>
      </c>
      <c r="Q201" s="84"/>
      <c r="R201" s="29"/>
      <c r="S201" s="29"/>
      <c r="T201" s="59"/>
      <c r="U201" s="29"/>
      <c r="V201" s="29" t="s">
        <v>34</v>
      </c>
      <c r="W201" s="29" t="s">
        <v>34</v>
      </c>
      <c r="X201" s="27" t="s">
        <v>34</v>
      </c>
      <c r="Y201" s="29" t="s">
        <v>30</v>
      </c>
      <c r="Z201" s="29"/>
      <c r="AA201" s="29"/>
      <c r="AB201" s="29" t="s">
        <v>1037</v>
      </c>
      <c r="AC201" s="59">
        <v>44794</v>
      </c>
      <c r="AD201" s="59"/>
      <c r="AE201" s="59">
        <v>44794</v>
      </c>
      <c r="AF201" s="59">
        <v>44794</v>
      </c>
      <c r="AG201" s="59">
        <v>44795</v>
      </c>
      <c r="AH201" s="85">
        <v>44796</v>
      </c>
      <c r="AI201" s="29" t="s">
        <v>19</v>
      </c>
      <c r="AJ201" s="139"/>
      <c r="AK201" s="28"/>
      <c r="AL201" s="102"/>
      <c r="AM201" s="41" t="str">
        <f>VLOOKUP(Table2[[#This Row],[country]],Countrycode!A:B,2,FALSE)</f>
        <v>USA</v>
      </c>
      <c r="AN201" s="34">
        <f>IF(ISBLANK(Table2[[#This Row],[Need_RRA]]), 2,(IF(Table2[[#This Row],[Need_RRA]]="No", 0, (IF(AND(Table2[[#This Row],[Need_RRA]]="Yes",  Table2[[#This Row],[RRA_pub_date]]=""),1, 0)))))</f>
        <v>0</v>
      </c>
      <c r="AO201" s="34">
        <f>IF(ISBLANK(Table2[[#This Row],[Need_EIS]]), 2,(IF(Table2[[#This Row],[Need_EIS]]="No", 0, (IF(AND(Table2[[#This Row],[Need_EIS]]="Yes",  Table2[[#This Row],[EIS_pub_date]]=""),1, 0)))))</f>
        <v>0</v>
      </c>
      <c r="AP201" s="34">
        <f>IF(ISBLANK(Table2[[#This Row],[Need_DON]]), 2,(IF(Table2[[#This Row],[Need_DON]]="No", 0, (IF(AND(Table2[[#This Row],[Need_DON]]="Yes",  Table2[[#This Row],[DON_pub_date]]=""),1, 0)))))</f>
        <v>0</v>
      </c>
      <c r="AQ201" s="34">
        <f>IF(ISBLANK(Table2[[#This Row],[Pending_question]]), 2,(IF(Table2[[#This Row],[Pending_question]]="Yes", 1, 0)))</f>
        <v>0</v>
      </c>
      <c r="AR201" s="43"/>
    </row>
    <row r="202" spans="1:44" ht="15" customHeight="1">
      <c r="A202" s="63">
        <v>44803</v>
      </c>
      <c r="B202" s="29" t="s">
        <v>15</v>
      </c>
      <c r="C202" s="34" t="str" cm="1">
        <f t="array" ref="C20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02" s="27" t="s">
        <v>1033</v>
      </c>
      <c r="E202" s="67" t="s">
        <v>80</v>
      </c>
      <c r="F202" s="29" t="s">
        <v>173</v>
      </c>
      <c r="G202" s="29" t="s">
        <v>34</v>
      </c>
      <c r="H202" s="59">
        <v>44803</v>
      </c>
      <c r="I202" s="59"/>
      <c r="J202" s="59">
        <v>44803</v>
      </c>
      <c r="K202" s="59" t="s">
        <v>1038</v>
      </c>
      <c r="L202" s="104" t="s">
        <v>1039</v>
      </c>
      <c r="M202" s="70" t="s">
        <v>19</v>
      </c>
      <c r="N202" s="59"/>
      <c r="O202" s="85"/>
      <c r="P202" s="59" t="s">
        <v>19</v>
      </c>
      <c r="Q202" s="84"/>
      <c r="R202" s="29"/>
      <c r="S202" s="29"/>
      <c r="T202" s="59"/>
      <c r="U202" s="29"/>
      <c r="V202" s="29" t="s">
        <v>34</v>
      </c>
      <c r="W202" s="29" t="s">
        <v>34</v>
      </c>
      <c r="X202" s="27" t="s">
        <v>34</v>
      </c>
      <c r="Y202" s="29" t="s">
        <v>30</v>
      </c>
      <c r="Z202" s="29" t="s">
        <v>42</v>
      </c>
      <c r="AB202" s="16" t="s">
        <v>1040</v>
      </c>
      <c r="AC202" s="59">
        <v>44803</v>
      </c>
      <c r="AD202" s="59"/>
      <c r="AE202" s="59">
        <v>44804</v>
      </c>
      <c r="AF202" s="29"/>
      <c r="AG202" s="29"/>
      <c r="AH202" s="85">
        <v>44816</v>
      </c>
      <c r="AI202" s="29" t="s">
        <v>19</v>
      </c>
      <c r="AJ202" s="86"/>
      <c r="AK202" s="28"/>
      <c r="AL202" s="102"/>
      <c r="AM202" s="41" t="str">
        <f>VLOOKUP(Table2[[#This Row],[country]],Countrycode!A:B,2,FALSE)</f>
        <v>CHN</v>
      </c>
      <c r="AN202" s="34">
        <f>IF(ISBLANK(Table2[[#This Row],[Need_RRA]]), 2,(IF(Table2[[#This Row],[Need_RRA]]="No", 0, (IF(AND(Table2[[#This Row],[Need_RRA]]="Yes",  Table2[[#This Row],[RRA_pub_date]]=""),1, 0)))))</f>
        <v>0</v>
      </c>
      <c r="AO202" s="34">
        <f>IF(ISBLANK(Table2[[#This Row],[Need_EIS]]), 2,(IF(Table2[[#This Row],[Need_EIS]]="No", 0, (IF(AND(Table2[[#This Row],[Need_EIS]]="Yes",  Table2[[#This Row],[EIS_pub_date]]=""),1, 0)))))</f>
        <v>0</v>
      </c>
      <c r="AP202" s="34">
        <f>IF(ISBLANK(Table2[[#This Row],[Need_DON]]), 2,(IF(Table2[[#This Row],[Need_DON]]="No", 0, (IF(AND(Table2[[#This Row],[Need_DON]]="Yes",  Table2[[#This Row],[DON_pub_date]]=""),1, 0)))))</f>
        <v>0</v>
      </c>
      <c r="AQ202" s="34">
        <f>IF(ISBLANK(Table2[[#This Row],[Pending_question]]), 2,(IF(Table2[[#This Row],[Pending_question]]="Yes", 1, 0)))</f>
        <v>0</v>
      </c>
      <c r="AR202" s="43"/>
    </row>
    <row r="203" spans="1:44" ht="15" customHeight="1">
      <c r="A203" s="63">
        <v>44803</v>
      </c>
      <c r="B203" s="29" t="s">
        <v>15</v>
      </c>
      <c r="C203" s="34" t="str" cm="1">
        <f t="array" ref="C20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03" s="27" t="s">
        <v>1033</v>
      </c>
      <c r="E203" s="67" t="s">
        <v>68</v>
      </c>
      <c r="F203" s="29" t="s">
        <v>173</v>
      </c>
      <c r="G203" s="29" t="s">
        <v>34</v>
      </c>
      <c r="H203" s="59">
        <v>44803</v>
      </c>
      <c r="I203" s="59"/>
      <c r="J203" s="59">
        <v>44803</v>
      </c>
      <c r="K203" s="264" t="s">
        <v>1041</v>
      </c>
      <c r="L203" s="104" t="s">
        <v>1042</v>
      </c>
      <c r="M203" s="70" t="s">
        <v>19</v>
      </c>
      <c r="N203" s="59"/>
      <c r="O203" s="85"/>
      <c r="P203" s="59" t="s">
        <v>19</v>
      </c>
      <c r="Q203" s="84"/>
      <c r="R203" s="29"/>
      <c r="S203" s="29"/>
      <c r="T203" s="59"/>
      <c r="U203" s="29"/>
      <c r="V203" s="29" t="s">
        <v>34</v>
      </c>
      <c r="W203" s="29" t="s">
        <v>34</v>
      </c>
      <c r="X203" s="27" t="s">
        <v>34</v>
      </c>
      <c r="Y203" s="29" t="s">
        <v>30</v>
      </c>
      <c r="Z203" s="29" t="s">
        <v>42</v>
      </c>
      <c r="AA203" s="29"/>
      <c r="AB203" s="263" t="s">
        <v>1040</v>
      </c>
      <c r="AC203" s="59">
        <v>44803</v>
      </c>
      <c r="AD203" s="59"/>
      <c r="AE203" s="59">
        <v>44804</v>
      </c>
      <c r="AF203" s="29"/>
      <c r="AG203" s="29"/>
      <c r="AH203" s="85">
        <v>44816</v>
      </c>
      <c r="AI203" s="29" t="s">
        <v>19</v>
      </c>
      <c r="AJ203" s="139"/>
      <c r="AK203" s="28"/>
      <c r="AL203" s="102"/>
      <c r="AM203" s="41" t="str">
        <f>VLOOKUP(Table2[[#This Row],[country]],Countrycode!A:B,2,FALSE)</f>
        <v>CHN</v>
      </c>
      <c r="AN203" s="34">
        <f>IF(ISBLANK(Table2[[#This Row],[Need_RRA]]), 2,(IF(Table2[[#This Row],[Need_RRA]]="No", 0, (IF(AND(Table2[[#This Row],[Need_RRA]]="Yes",  Table2[[#This Row],[RRA_pub_date]]=""),1, 0)))))</f>
        <v>0</v>
      </c>
      <c r="AO203" s="34">
        <f>IF(ISBLANK(Table2[[#This Row],[Need_EIS]]), 2,(IF(Table2[[#This Row],[Need_EIS]]="No", 0, (IF(AND(Table2[[#This Row],[Need_EIS]]="Yes",  Table2[[#This Row],[EIS_pub_date]]=""),1, 0)))))</f>
        <v>0</v>
      </c>
      <c r="AP203" s="34">
        <f>IF(ISBLANK(Table2[[#This Row],[Need_DON]]), 2,(IF(Table2[[#This Row],[Need_DON]]="No", 0, (IF(AND(Table2[[#This Row],[Need_DON]]="Yes",  Table2[[#This Row],[DON_pub_date]]=""),1, 0)))))</f>
        <v>0</v>
      </c>
      <c r="AQ203" s="34">
        <f>IF(ISBLANK(Table2[[#This Row],[Pending_question]]), 2,(IF(Table2[[#This Row],[Pending_question]]="Yes", 1, 0)))</f>
        <v>0</v>
      </c>
      <c r="AR203" s="43"/>
    </row>
    <row r="204" spans="1:44" ht="15" customHeight="1">
      <c r="A204" s="63">
        <v>44806</v>
      </c>
      <c r="B204" s="29" t="s">
        <v>15</v>
      </c>
      <c r="C204" s="34" t="str" cm="1">
        <f t="array" ref="C20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04" s="27" t="s">
        <v>635</v>
      </c>
      <c r="E204" s="67" t="s">
        <v>168</v>
      </c>
      <c r="F204" s="29" t="s">
        <v>92</v>
      </c>
      <c r="G204" s="29" t="s">
        <v>34</v>
      </c>
      <c r="H204" s="59">
        <v>44806</v>
      </c>
      <c r="I204" s="59"/>
      <c r="J204" s="59">
        <v>44803</v>
      </c>
      <c r="K204" s="59" t="s">
        <v>1043</v>
      </c>
      <c r="L204" s="104" t="s">
        <v>1044</v>
      </c>
      <c r="M204" s="70" t="s">
        <v>19</v>
      </c>
      <c r="N204" s="59"/>
      <c r="O204" s="85"/>
      <c r="P204" s="59" t="s">
        <v>19</v>
      </c>
      <c r="Q204" s="84"/>
      <c r="R204" s="29"/>
      <c r="S204" s="29"/>
      <c r="T204" s="59"/>
      <c r="U204" s="29"/>
      <c r="V204" s="29" t="s">
        <v>34</v>
      </c>
      <c r="W204" s="29" t="s">
        <v>34</v>
      </c>
      <c r="X204" s="27" t="s">
        <v>34</v>
      </c>
      <c r="Y204" s="29" t="s">
        <v>30</v>
      </c>
      <c r="Z204" s="29" t="s">
        <v>42</v>
      </c>
      <c r="AA204" s="29"/>
      <c r="AB204" s="29"/>
      <c r="AC204" s="59">
        <v>44775</v>
      </c>
      <c r="AD204" s="59"/>
      <c r="AE204" s="59">
        <v>44776</v>
      </c>
      <c r="AF204" s="59">
        <v>44776</v>
      </c>
      <c r="AG204" s="59">
        <v>44777</v>
      </c>
      <c r="AH204" s="85">
        <v>44777</v>
      </c>
      <c r="AI204" s="29" t="s">
        <v>30</v>
      </c>
      <c r="AJ204" s="139"/>
      <c r="AK204" s="86">
        <v>44809</v>
      </c>
      <c r="AL204" s="102"/>
      <c r="AM204" s="41" t="str">
        <f>VLOOKUP(Table2[[#This Row],[country]],Countrycode!A:B,2,FALSE)</f>
        <v>ARG</v>
      </c>
      <c r="AN204" s="34">
        <f>IF(ISBLANK(Table2[[#This Row],[Need_RRA]]), 2,(IF(Table2[[#This Row],[Need_RRA]]="No", 0, (IF(AND(Table2[[#This Row],[Need_RRA]]="Yes",  Table2[[#This Row],[RRA_pub_date]]=""),1, 0)))))</f>
        <v>0</v>
      </c>
      <c r="AO204" s="34">
        <f>IF(ISBLANK(Table2[[#This Row],[Need_EIS]]), 2,(IF(Table2[[#This Row],[Need_EIS]]="No", 0, (IF(AND(Table2[[#This Row],[Need_EIS]]="Yes",  Table2[[#This Row],[EIS_pub_date]]=""),1, 0)))))</f>
        <v>0</v>
      </c>
      <c r="AP204" s="34">
        <f>IF(ISBLANK(Table2[[#This Row],[Need_DON]]), 2,(IF(Table2[[#This Row],[Need_DON]]="No", 0, (IF(AND(Table2[[#This Row],[Need_DON]]="Yes",  Table2[[#This Row],[DON_pub_date]]=""),1, 0)))))</f>
        <v>0</v>
      </c>
      <c r="AQ204" s="34">
        <f>IF(ISBLANK(Table2[[#This Row],[Pending_question]]), 2,(IF(Table2[[#This Row],[Pending_question]]="Yes", 1, 0)))</f>
        <v>0</v>
      </c>
      <c r="AR204" s="43"/>
    </row>
    <row r="205" spans="1:44" ht="15" customHeight="1">
      <c r="A205" s="63">
        <v>44806</v>
      </c>
      <c r="B205" s="29" t="s">
        <v>15</v>
      </c>
      <c r="C205" s="34" t="str" cm="1">
        <f t="array" ref="C20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05" s="27" t="s">
        <v>1045</v>
      </c>
      <c r="E205" s="67" t="s">
        <v>18</v>
      </c>
      <c r="F205" s="29" t="s">
        <v>39</v>
      </c>
      <c r="G205" s="29" t="s">
        <v>34</v>
      </c>
      <c r="H205" s="29"/>
      <c r="I205" s="59"/>
      <c r="J205" s="29"/>
      <c r="K205" s="59"/>
      <c r="L205" s="85"/>
      <c r="M205" s="70" t="s">
        <v>19</v>
      </c>
      <c r="N205" s="59"/>
      <c r="O205" s="85"/>
      <c r="P205" s="59" t="s">
        <v>19</v>
      </c>
      <c r="Q205" s="84"/>
      <c r="R205" s="29"/>
      <c r="S205" s="29"/>
      <c r="T205" s="59"/>
      <c r="U205" s="29"/>
      <c r="V205" s="29" t="s">
        <v>34</v>
      </c>
      <c r="W205" s="29" t="s">
        <v>34</v>
      </c>
      <c r="X205" s="27" t="s">
        <v>34</v>
      </c>
      <c r="Y205" s="29" t="s">
        <v>30</v>
      </c>
      <c r="Z205" s="29" t="s">
        <v>33</v>
      </c>
      <c r="AA205" s="29"/>
      <c r="AB205" s="157" t="s">
        <v>1046</v>
      </c>
      <c r="AC205" s="59">
        <v>44806</v>
      </c>
      <c r="AD205" s="59"/>
      <c r="AE205" s="59">
        <v>44806</v>
      </c>
      <c r="AF205" s="59">
        <v>44806</v>
      </c>
      <c r="AG205" s="29"/>
      <c r="AH205" s="59">
        <v>44811</v>
      </c>
      <c r="AI205" s="29" t="s">
        <v>19</v>
      </c>
      <c r="AJ205" s="139"/>
      <c r="AK205" s="27"/>
      <c r="AL205" s="102"/>
      <c r="AM205" s="41" t="str">
        <f>VLOOKUP(Table2[[#This Row],[country]],Countrycode!A:B,2,FALSE)</f>
        <v>MLX</v>
      </c>
      <c r="AN205" s="34">
        <f>IF(ISBLANK(Table2[[#This Row],[Need_RRA]]), 2,(IF(Table2[[#This Row],[Need_RRA]]="No", 0, (IF(AND(Table2[[#This Row],[Need_RRA]]="Yes",  Table2[[#This Row],[RRA_pub_date]]=""),1, 0)))))</f>
        <v>0</v>
      </c>
      <c r="AO205" s="34">
        <f>IF(ISBLANK(Table2[[#This Row],[Need_EIS]]), 2,(IF(Table2[[#This Row],[Need_EIS]]="No", 0, (IF(AND(Table2[[#This Row],[Need_EIS]]="Yes",  Table2[[#This Row],[EIS_pub_date]]=""),1, 0)))))</f>
        <v>0</v>
      </c>
      <c r="AP205" s="34">
        <f>IF(ISBLANK(Table2[[#This Row],[Need_DON]]), 2,(IF(Table2[[#This Row],[Need_DON]]="No", 0, (IF(AND(Table2[[#This Row],[Need_DON]]="Yes",  Table2[[#This Row],[DON_pub_date]]=""),1, 0)))))</f>
        <v>0</v>
      </c>
      <c r="AQ205" s="34">
        <f>IF(ISBLANK(Table2[[#This Row],[Pending_question]]), 2,(IF(Table2[[#This Row],[Pending_question]]="Yes", 1, 0)))</f>
        <v>0</v>
      </c>
      <c r="AR205" s="43"/>
    </row>
    <row r="206" spans="1:44" ht="15" customHeight="1">
      <c r="A206" s="63">
        <v>44806</v>
      </c>
      <c r="B206" s="29" t="s">
        <v>15</v>
      </c>
      <c r="C206" s="34" t="str" cm="1">
        <f t="array" ref="C20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06" s="27" t="s">
        <v>1047</v>
      </c>
      <c r="E206" s="67" t="s">
        <v>136</v>
      </c>
      <c r="F206" s="29" t="s">
        <v>322</v>
      </c>
      <c r="G206" s="29" t="s">
        <v>34</v>
      </c>
      <c r="H206" s="29"/>
      <c r="I206" s="59"/>
      <c r="J206" s="59">
        <v>44806</v>
      </c>
      <c r="K206" s="59" t="s">
        <v>1048</v>
      </c>
      <c r="L206" s="112" t="s">
        <v>1049</v>
      </c>
      <c r="M206" s="70" t="s">
        <v>19</v>
      </c>
      <c r="N206" s="59"/>
      <c r="O206" s="85"/>
      <c r="P206" s="59" t="s">
        <v>30</v>
      </c>
      <c r="Q206" s="84">
        <v>1</v>
      </c>
      <c r="R206" s="29" t="s">
        <v>1050</v>
      </c>
      <c r="S206" s="59">
        <v>44819</v>
      </c>
      <c r="T206" s="59">
        <v>44819</v>
      </c>
      <c r="U206" s="59">
        <v>44827</v>
      </c>
      <c r="V206" s="29" t="s">
        <v>20</v>
      </c>
      <c r="W206" s="29" t="s">
        <v>32</v>
      </c>
      <c r="X206" s="27" t="s">
        <v>51</v>
      </c>
      <c r="Y206" s="29" t="s">
        <v>30</v>
      </c>
      <c r="Z206" s="29" t="s">
        <v>42</v>
      </c>
      <c r="AA206" s="29" t="s">
        <v>22</v>
      </c>
      <c r="AB206" s="29" t="s">
        <v>1051</v>
      </c>
      <c r="AC206" s="59">
        <v>44824</v>
      </c>
      <c r="AD206" s="59">
        <v>44824</v>
      </c>
      <c r="AE206" s="59">
        <v>44825</v>
      </c>
      <c r="AF206" s="29"/>
      <c r="AG206" s="29"/>
      <c r="AH206" s="85">
        <v>44834</v>
      </c>
      <c r="AI206" s="29" t="s">
        <v>30</v>
      </c>
      <c r="AJ206" s="85">
        <v>44834</v>
      </c>
      <c r="AK206" s="86">
        <v>44844</v>
      </c>
      <c r="AL206" s="102"/>
      <c r="AM206" s="41" t="str">
        <f>VLOOKUP(Table2[[#This Row],[country]],Countrycode!A:B,2,FALSE)</f>
        <v>NPL</v>
      </c>
      <c r="AN206" s="34">
        <f>IF(ISBLANK(Table2[[#This Row],[Need_RRA]]), 2,(IF(Table2[[#This Row],[Need_RRA]]="No", 0, (IF(AND(Table2[[#This Row],[Need_RRA]]="Yes",  Table2[[#This Row],[RRA_pub_date]]=""),1, 0)))))</f>
        <v>0</v>
      </c>
      <c r="AO206" s="34">
        <f>IF(ISBLANK(Table2[[#This Row],[Need_EIS]]), 2,(IF(Table2[[#This Row],[Need_EIS]]="No", 0, (IF(AND(Table2[[#This Row],[Need_EIS]]="Yes",  Table2[[#This Row],[EIS_pub_date]]=""),1, 0)))))</f>
        <v>0</v>
      </c>
      <c r="AP206" s="34">
        <f>IF(ISBLANK(Table2[[#This Row],[Need_DON]]), 2,(IF(Table2[[#This Row],[Need_DON]]="No", 0, (IF(AND(Table2[[#This Row],[Need_DON]]="Yes",  Table2[[#This Row],[DON_pub_date]]=""),1, 0)))))</f>
        <v>0</v>
      </c>
      <c r="AQ206" s="34">
        <f>IF(ISBLANK(Table2[[#This Row],[Pending_question]]), 2,(IF(Table2[[#This Row],[Pending_question]]="Yes", 1, 0)))</f>
        <v>0</v>
      </c>
      <c r="AR206" s="43"/>
    </row>
    <row r="207" spans="1:44" ht="15" customHeight="1">
      <c r="A207" s="63">
        <v>44809</v>
      </c>
      <c r="B207" s="29" t="s">
        <v>15</v>
      </c>
      <c r="C207" s="34" t="str" cm="1">
        <f t="array" ref="C20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07" s="27" t="s">
        <v>1052</v>
      </c>
      <c r="E207" s="67" t="s">
        <v>128</v>
      </c>
      <c r="F207" s="29" t="s">
        <v>327</v>
      </c>
      <c r="G207" s="29" t="s">
        <v>34</v>
      </c>
      <c r="H207" s="59">
        <v>44809</v>
      </c>
      <c r="I207" s="59">
        <v>44844</v>
      </c>
      <c r="J207" s="59">
        <v>44819</v>
      </c>
      <c r="K207" s="59" t="s">
        <v>1053</v>
      </c>
      <c r="L207" s="112" t="s">
        <v>1054</v>
      </c>
      <c r="M207" s="70" t="s">
        <v>19</v>
      </c>
      <c r="N207" s="59"/>
      <c r="O207" s="85"/>
      <c r="P207" s="59" t="s">
        <v>30</v>
      </c>
      <c r="Q207" s="84">
        <v>1</v>
      </c>
      <c r="R207" s="29" t="s">
        <v>1055</v>
      </c>
      <c r="S207" s="59">
        <v>44817</v>
      </c>
      <c r="T207" s="59">
        <v>44818</v>
      </c>
      <c r="U207" s="59">
        <v>44831</v>
      </c>
      <c r="V207" s="29" t="s">
        <v>20</v>
      </c>
      <c r="W207" s="29" t="s">
        <v>20</v>
      </c>
      <c r="X207" s="27" t="s">
        <v>51</v>
      </c>
      <c r="Y207" s="29" t="s">
        <v>30</v>
      </c>
      <c r="Z207" s="29" t="s">
        <v>42</v>
      </c>
      <c r="AA207" s="29" t="s">
        <v>22</v>
      </c>
      <c r="AB207" s="29" t="s">
        <v>1056</v>
      </c>
      <c r="AC207" s="59">
        <v>44832</v>
      </c>
      <c r="AD207" s="59">
        <v>44838</v>
      </c>
      <c r="AE207" s="59">
        <v>44839</v>
      </c>
      <c r="AF207" s="29"/>
      <c r="AG207" s="29"/>
      <c r="AH207" s="85">
        <v>44853</v>
      </c>
      <c r="AI207" s="29" t="s">
        <v>19</v>
      </c>
      <c r="AJ207" s="139"/>
      <c r="AK207" s="28"/>
      <c r="AL207" s="102" t="s">
        <v>1057</v>
      </c>
      <c r="AM207" s="41" t="str">
        <f>VLOOKUP(Table2[[#This Row],[country]],Countrycode!A:B,2,FALSE)</f>
        <v>NER</v>
      </c>
      <c r="AN207" s="34">
        <f>IF(ISBLANK(Table2[[#This Row],[Need_RRA]]), 2,(IF(Table2[[#This Row],[Need_RRA]]="No", 0, (IF(AND(Table2[[#This Row],[Need_RRA]]="Yes",  Table2[[#This Row],[RRA_pub_date]]=""),1, 0)))))</f>
        <v>0</v>
      </c>
      <c r="AO207" s="34">
        <f>IF(ISBLANK(Table2[[#This Row],[Need_EIS]]), 2,(IF(Table2[[#This Row],[Need_EIS]]="No", 0, (IF(AND(Table2[[#This Row],[Need_EIS]]="Yes",  Table2[[#This Row],[EIS_pub_date]]=""),1, 0)))))</f>
        <v>0</v>
      </c>
      <c r="AP207" s="34">
        <f>IF(ISBLANK(Table2[[#This Row],[Need_DON]]), 2,(IF(Table2[[#This Row],[Need_DON]]="No", 0, (IF(AND(Table2[[#This Row],[Need_DON]]="Yes",  Table2[[#This Row],[DON_pub_date]]=""),1, 0)))))</f>
        <v>0</v>
      </c>
      <c r="AQ207" s="34">
        <f>IF(ISBLANK(Table2[[#This Row],[Pending_question]]), 2,(IF(Table2[[#This Row],[Pending_question]]="Yes", 1, 0)))</f>
        <v>0</v>
      </c>
      <c r="AR207" s="43"/>
    </row>
    <row r="208" spans="1:44" ht="15" customHeight="1">
      <c r="A208" s="63">
        <v>44809</v>
      </c>
      <c r="B208" s="29" t="s">
        <v>15</v>
      </c>
      <c r="C208" s="34" t="str" cm="1">
        <f t="array" ref="C20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08" s="27" t="s">
        <v>482</v>
      </c>
      <c r="E208" s="67" t="s">
        <v>1058</v>
      </c>
      <c r="F208" s="29" t="s">
        <v>400</v>
      </c>
      <c r="G208" s="29" t="s">
        <v>34</v>
      </c>
      <c r="H208" s="59">
        <v>44809</v>
      </c>
      <c r="I208" s="59"/>
      <c r="J208" s="59">
        <v>44806</v>
      </c>
      <c r="K208" s="59"/>
      <c r="L208" s="85"/>
      <c r="M208" s="70" t="s">
        <v>19</v>
      </c>
      <c r="N208" s="59"/>
      <c r="O208" s="85"/>
      <c r="P208" s="59" t="s">
        <v>19</v>
      </c>
      <c r="Q208" s="84"/>
      <c r="R208" s="29"/>
      <c r="S208" s="29"/>
      <c r="T208" s="59"/>
      <c r="U208" s="29"/>
      <c r="V208" s="29" t="s">
        <v>34</v>
      </c>
      <c r="W208" s="29" t="s">
        <v>34</v>
      </c>
      <c r="X208" s="27" t="s">
        <v>34</v>
      </c>
      <c r="Y208" s="29" t="s">
        <v>30</v>
      </c>
      <c r="Z208" s="29" t="s">
        <v>42</v>
      </c>
      <c r="AA208" s="29"/>
      <c r="AB208" s="29" t="s">
        <v>1059</v>
      </c>
      <c r="AC208" s="59">
        <v>44806</v>
      </c>
      <c r="AD208" s="59"/>
      <c r="AE208" s="59">
        <v>44809</v>
      </c>
      <c r="AF208" s="29" t="s">
        <v>1060</v>
      </c>
      <c r="AG208" s="59">
        <v>44810</v>
      </c>
      <c r="AH208" s="85">
        <v>44811</v>
      </c>
      <c r="AI208" s="29" t="s">
        <v>30</v>
      </c>
      <c r="AJ208" s="139"/>
      <c r="AK208" s="86">
        <v>44818</v>
      </c>
      <c r="AL208" s="102"/>
      <c r="AM208" s="41" t="str">
        <f>VLOOKUP(Table2[[#This Row],[country]],Countrycode!A:B,2,FALSE)</f>
        <v>GBR</v>
      </c>
      <c r="AN208" s="34">
        <f>IF(ISBLANK(Table2[[#This Row],[Need_RRA]]), 2,(IF(Table2[[#This Row],[Need_RRA]]="No", 0, (IF(AND(Table2[[#This Row],[Need_RRA]]="Yes",  Table2[[#This Row],[RRA_pub_date]]=""),1, 0)))))</f>
        <v>0</v>
      </c>
      <c r="AO208" s="34">
        <f>IF(ISBLANK(Table2[[#This Row],[Need_EIS]]), 2,(IF(Table2[[#This Row],[Need_EIS]]="No", 0, (IF(AND(Table2[[#This Row],[Need_EIS]]="Yes",  Table2[[#This Row],[EIS_pub_date]]=""),1, 0)))))</f>
        <v>0</v>
      </c>
      <c r="AP208" s="34">
        <f>IF(ISBLANK(Table2[[#This Row],[Need_DON]]), 2,(IF(Table2[[#This Row],[Need_DON]]="No", 0, (IF(AND(Table2[[#This Row],[Need_DON]]="Yes",  Table2[[#This Row],[DON_pub_date]]=""),1, 0)))))</f>
        <v>0</v>
      </c>
      <c r="AQ208" s="34">
        <f>IF(ISBLANK(Table2[[#This Row],[Pending_question]]), 2,(IF(Table2[[#This Row],[Pending_question]]="Yes", 1, 0)))</f>
        <v>0</v>
      </c>
      <c r="AR208" s="43"/>
    </row>
    <row r="209" spans="1:44" ht="15" customHeight="1">
      <c r="A209" s="63">
        <v>44810</v>
      </c>
      <c r="B209" s="29" t="s">
        <v>15</v>
      </c>
      <c r="C209" s="34" t="str" cm="1">
        <f t="array" ref="C20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09" s="27" t="s">
        <v>1052</v>
      </c>
      <c r="E209" s="67" t="s">
        <v>128</v>
      </c>
      <c r="F209" s="29" t="s">
        <v>335</v>
      </c>
      <c r="G209" s="29" t="s">
        <v>34</v>
      </c>
      <c r="H209" s="29"/>
      <c r="I209" s="59">
        <v>44781</v>
      </c>
      <c r="J209" s="29"/>
      <c r="K209" s="264" t="s">
        <v>902</v>
      </c>
      <c r="L209" s="104" t="s">
        <v>1061</v>
      </c>
      <c r="M209" s="70" t="s">
        <v>19</v>
      </c>
      <c r="N209" s="59"/>
      <c r="O209" s="85"/>
      <c r="P209" s="59" t="s">
        <v>30</v>
      </c>
      <c r="Q209" s="84">
        <v>2</v>
      </c>
      <c r="R209" s="29" t="s">
        <v>1062</v>
      </c>
      <c r="S209" s="59">
        <v>44810</v>
      </c>
      <c r="T209" s="59"/>
      <c r="U209" s="59">
        <v>44823</v>
      </c>
      <c r="V209" s="29" t="s">
        <v>41</v>
      </c>
      <c r="W209" s="29" t="s">
        <v>20</v>
      </c>
      <c r="X209" s="27" t="s">
        <v>51</v>
      </c>
      <c r="Y209" s="29" t="s">
        <v>19</v>
      </c>
      <c r="Z209" s="29"/>
      <c r="AA209" s="29"/>
      <c r="AB209" s="29"/>
      <c r="AC209" s="29"/>
      <c r="AD209" s="59"/>
      <c r="AE209" s="29"/>
      <c r="AF209" s="29"/>
      <c r="AG209" s="29"/>
      <c r="AH209" s="27"/>
      <c r="AI209" s="29" t="s">
        <v>19</v>
      </c>
      <c r="AJ209" s="139"/>
      <c r="AK209" s="28"/>
      <c r="AL209" s="102"/>
      <c r="AM209" s="41" t="str">
        <f>VLOOKUP(Table2[[#This Row],[country]],Countrycode!A:B,2,FALSE)</f>
        <v>PAK</v>
      </c>
      <c r="AN209" s="34">
        <f>IF(ISBLANK(Table2[[#This Row],[Need_RRA]]), 2,(IF(Table2[[#This Row],[Need_RRA]]="No", 0, (IF(AND(Table2[[#This Row],[Need_RRA]]="Yes",  Table2[[#This Row],[RRA_pub_date]]=""),1, 0)))))</f>
        <v>0</v>
      </c>
      <c r="AO209" s="34">
        <f>IF(ISBLANK(Table2[[#This Row],[Need_EIS]]), 2,(IF(Table2[[#This Row],[Need_EIS]]="No", 0, (IF(AND(Table2[[#This Row],[Need_EIS]]="Yes",  Table2[[#This Row],[EIS_pub_date]]=""),1, 0)))))</f>
        <v>0</v>
      </c>
      <c r="AP209" s="34">
        <f>IF(ISBLANK(Table2[[#This Row],[Need_DON]]), 2,(IF(Table2[[#This Row],[Need_DON]]="No", 0, (IF(AND(Table2[[#This Row],[Need_DON]]="Yes",  Table2[[#This Row],[DON_pub_date]]=""),1, 0)))))</f>
        <v>0</v>
      </c>
      <c r="AQ209" s="34">
        <f>IF(ISBLANK(Table2[[#This Row],[Pending_question]]), 2,(IF(Table2[[#This Row],[Pending_question]]="Yes", 1, 0)))</f>
        <v>0</v>
      </c>
      <c r="AR209" s="43"/>
    </row>
    <row r="210" spans="1:44" ht="15" customHeight="1">
      <c r="A210" s="63">
        <v>44816</v>
      </c>
      <c r="B210" s="29" t="s">
        <v>15</v>
      </c>
      <c r="C210" s="34" t="str" cm="1">
        <f t="array" ref="C21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10" s="27" t="s">
        <v>1052</v>
      </c>
      <c r="E210" s="67" t="s">
        <v>128</v>
      </c>
      <c r="F210" s="29" t="s">
        <v>384</v>
      </c>
      <c r="G210" s="29" t="s">
        <v>34</v>
      </c>
      <c r="H210" s="59">
        <v>44816</v>
      </c>
      <c r="I210" s="59"/>
      <c r="J210" s="59">
        <v>44815</v>
      </c>
      <c r="K210" s="59" t="s">
        <v>1063</v>
      </c>
      <c r="L210" s="104" t="s">
        <v>1064</v>
      </c>
      <c r="M210" s="70" t="s">
        <v>19</v>
      </c>
      <c r="N210" s="59"/>
      <c r="O210" s="85"/>
      <c r="P210" s="59" t="s">
        <v>30</v>
      </c>
      <c r="Q210" s="84">
        <v>1</v>
      </c>
      <c r="R210" s="29" t="s">
        <v>1065</v>
      </c>
      <c r="S210" s="59">
        <v>44815</v>
      </c>
      <c r="T210" s="59"/>
      <c r="U210" s="59">
        <v>44819</v>
      </c>
      <c r="V210" s="29" t="s">
        <v>41</v>
      </c>
      <c r="W210" s="29" t="s">
        <v>20</v>
      </c>
      <c r="X210" s="27" t="s">
        <v>51</v>
      </c>
      <c r="Y210" s="29" t="s">
        <v>30</v>
      </c>
      <c r="Z210" s="29" t="s">
        <v>42</v>
      </c>
      <c r="AA210" s="29"/>
      <c r="AB210" s="29" t="s">
        <v>1066</v>
      </c>
      <c r="AC210" s="59">
        <v>44819</v>
      </c>
      <c r="AD210" s="59"/>
      <c r="AE210" s="59">
        <v>44824</v>
      </c>
      <c r="AF210" s="29"/>
      <c r="AG210" s="29"/>
      <c r="AH210" s="85">
        <v>44830</v>
      </c>
      <c r="AI210" s="29" t="s">
        <v>19</v>
      </c>
      <c r="AJ210" s="139"/>
      <c r="AK210" s="28"/>
      <c r="AL210" s="102"/>
      <c r="AM210" s="41" t="str">
        <f>VLOOKUP(Table2[[#This Row],[country]],Countrycode!A:B,2,FALSE)</f>
        <v>SYR</v>
      </c>
      <c r="AN210" s="34">
        <f>IF(ISBLANK(Table2[[#This Row],[Need_RRA]]), 2,(IF(Table2[[#This Row],[Need_RRA]]="No", 0, (IF(AND(Table2[[#This Row],[Need_RRA]]="Yes",  Table2[[#This Row],[RRA_pub_date]]=""),1, 0)))))</f>
        <v>0</v>
      </c>
      <c r="AO210" s="34">
        <f>IF(ISBLANK(Table2[[#This Row],[Need_EIS]]), 2,(IF(Table2[[#This Row],[Need_EIS]]="No", 0, (IF(AND(Table2[[#This Row],[Need_EIS]]="Yes",  Table2[[#This Row],[EIS_pub_date]]=""),1, 0)))))</f>
        <v>0</v>
      </c>
      <c r="AP210" s="34">
        <f>IF(ISBLANK(Table2[[#This Row],[Need_DON]]), 2,(IF(Table2[[#This Row],[Need_DON]]="No", 0, (IF(AND(Table2[[#This Row],[Need_DON]]="Yes",  Table2[[#This Row],[DON_pub_date]]=""),1, 0)))))</f>
        <v>0</v>
      </c>
      <c r="AQ210" s="34">
        <f>IF(ISBLANK(Table2[[#This Row],[Pending_question]]), 2,(IF(Table2[[#This Row],[Pending_question]]="Yes", 1, 0)))</f>
        <v>0</v>
      </c>
      <c r="AR210" s="43"/>
    </row>
    <row r="211" spans="1:44" ht="15" customHeight="1">
      <c r="A211" s="63">
        <v>44817</v>
      </c>
      <c r="B211" s="29" t="s">
        <v>15</v>
      </c>
      <c r="C211" s="34" t="str" cm="1">
        <f t="array" ref="C21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11" s="27" t="s">
        <v>1047</v>
      </c>
      <c r="E211" s="67" t="s">
        <v>136</v>
      </c>
      <c r="F211" s="29" t="s">
        <v>335</v>
      </c>
      <c r="G211" s="29" t="s">
        <v>34</v>
      </c>
      <c r="H211" s="29"/>
      <c r="I211" s="59"/>
      <c r="J211" s="59">
        <v>44817</v>
      </c>
      <c r="K211" s="59" t="s">
        <v>1067</v>
      </c>
      <c r="L211" s="112" t="s">
        <v>1068</v>
      </c>
      <c r="M211" s="70" t="s">
        <v>19</v>
      </c>
      <c r="N211" s="59"/>
      <c r="O211" s="85"/>
      <c r="P211" s="59" t="s">
        <v>19</v>
      </c>
      <c r="Q211" s="84"/>
      <c r="R211" s="29"/>
      <c r="S211" s="29"/>
      <c r="T211" s="59"/>
      <c r="U211" s="29"/>
      <c r="V211" s="29" t="s">
        <v>20</v>
      </c>
      <c r="W211" s="29" t="s">
        <v>32</v>
      </c>
      <c r="X211" s="27" t="s">
        <v>51</v>
      </c>
      <c r="Y211" s="29" t="s">
        <v>30</v>
      </c>
      <c r="Z211" s="29" t="s">
        <v>42</v>
      </c>
      <c r="AA211" s="29" t="s">
        <v>22</v>
      </c>
      <c r="AB211" s="308" t="s">
        <v>1069</v>
      </c>
      <c r="AC211" s="59">
        <v>44825</v>
      </c>
      <c r="AD211" s="59">
        <v>44825</v>
      </c>
      <c r="AE211" s="59">
        <v>44826</v>
      </c>
      <c r="AF211" s="29"/>
      <c r="AG211" s="29"/>
      <c r="AH211" s="85">
        <v>44840</v>
      </c>
      <c r="AI211" s="29" t="s">
        <v>30</v>
      </c>
      <c r="AJ211" s="139">
        <v>44841</v>
      </c>
      <c r="AK211" s="86">
        <v>44847</v>
      </c>
      <c r="AL211" s="102"/>
      <c r="AM211" s="41" t="str">
        <f>VLOOKUP(Table2[[#This Row],[country]],Countrycode!A:B,2,FALSE)</f>
        <v>PAK</v>
      </c>
      <c r="AN211" s="34">
        <f>IF(ISBLANK(Table2[[#This Row],[Need_RRA]]), 2,(IF(Table2[[#This Row],[Need_RRA]]="No", 0, (IF(AND(Table2[[#This Row],[Need_RRA]]="Yes",  Table2[[#This Row],[RRA_pub_date]]=""),1, 0)))))</f>
        <v>0</v>
      </c>
      <c r="AO211" s="34">
        <f>IF(ISBLANK(Table2[[#This Row],[Need_EIS]]), 2,(IF(Table2[[#This Row],[Need_EIS]]="No", 0, (IF(AND(Table2[[#This Row],[Need_EIS]]="Yes",  Table2[[#This Row],[EIS_pub_date]]=""),1, 0)))))</f>
        <v>0</v>
      </c>
      <c r="AP211" s="34">
        <f>IF(ISBLANK(Table2[[#This Row],[Need_DON]]), 2,(IF(Table2[[#This Row],[Need_DON]]="No", 0, (IF(AND(Table2[[#This Row],[Need_DON]]="Yes",  Table2[[#This Row],[DON_pub_date]]=""),1, 0)))))</f>
        <v>0</v>
      </c>
      <c r="AQ211" s="34">
        <f>IF(ISBLANK(Table2[[#This Row],[Pending_question]]), 2,(IF(Table2[[#This Row],[Pending_question]]="Yes", 1, 0)))</f>
        <v>0</v>
      </c>
      <c r="AR211" s="43"/>
    </row>
    <row r="212" spans="1:44" ht="15" customHeight="1">
      <c r="A212" s="63">
        <v>44818</v>
      </c>
      <c r="B212" s="29" t="s">
        <v>15</v>
      </c>
      <c r="C212" s="34" t="str" cm="1">
        <f t="array" ref="C21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12" s="27" t="s">
        <v>833</v>
      </c>
      <c r="E212" s="67" t="s">
        <v>148</v>
      </c>
      <c r="F212" s="29" t="s">
        <v>92</v>
      </c>
      <c r="G212" s="29" t="s">
        <v>34</v>
      </c>
      <c r="H212" s="59">
        <v>44818</v>
      </c>
      <c r="I212" s="59"/>
      <c r="J212" s="59">
        <v>44762</v>
      </c>
      <c r="K212" s="59" t="s">
        <v>1070</v>
      </c>
      <c r="L212" s="104" t="s">
        <v>1071</v>
      </c>
      <c r="M212" s="70" t="s">
        <v>19</v>
      </c>
      <c r="N212" s="59"/>
      <c r="O212" s="85"/>
      <c r="P212" s="59" t="s">
        <v>19</v>
      </c>
      <c r="Q212" s="84"/>
      <c r="R212" s="29"/>
      <c r="S212" s="29"/>
      <c r="T212" s="59"/>
      <c r="U212" s="29"/>
      <c r="V212" s="29" t="s">
        <v>34</v>
      </c>
      <c r="W212" s="29" t="s">
        <v>34</v>
      </c>
      <c r="X212" s="27" t="s">
        <v>34</v>
      </c>
      <c r="Y212" s="29" t="s">
        <v>30</v>
      </c>
      <c r="Z212" s="29" t="s">
        <v>42</v>
      </c>
      <c r="AB212" s="16" t="s">
        <v>1072</v>
      </c>
      <c r="AC212" s="59">
        <v>44816</v>
      </c>
      <c r="AD212" s="59"/>
      <c r="AE212" s="59">
        <v>44816</v>
      </c>
      <c r="AF212" s="29"/>
      <c r="AG212" s="29"/>
      <c r="AH212" s="85">
        <v>44819</v>
      </c>
      <c r="AI212" s="29" t="s">
        <v>19</v>
      </c>
      <c r="AJ212" s="139"/>
      <c r="AK212" s="27"/>
      <c r="AL212" s="102"/>
      <c r="AM212" s="41" t="str">
        <f>VLOOKUP(Table2[[#This Row],[country]],Countrycode!A:B,2,FALSE)</f>
        <v>ARG</v>
      </c>
      <c r="AN212" s="34">
        <f>IF(ISBLANK(Table2[[#This Row],[Need_RRA]]), 2,(IF(Table2[[#This Row],[Need_RRA]]="No", 0, (IF(AND(Table2[[#This Row],[Need_RRA]]="Yes",  Table2[[#This Row],[RRA_pub_date]]=""),1, 0)))))</f>
        <v>0</v>
      </c>
      <c r="AO212" s="34">
        <f>IF(ISBLANK(Table2[[#This Row],[Need_EIS]]), 2,(IF(Table2[[#This Row],[Need_EIS]]="No", 0, (IF(AND(Table2[[#This Row],[Need_EIS]]="Yes",  Table2[[#This Row],[EIS_pub_date]]=""),1, 0)))))</f>
        <v>0</v>
      </c>
      <c r="AP212" s="34">
        <f>IF(ISBLANK(Table2[[#This Row],[Need_DON]]), 2,(IF(Table2[[#This Row],[Need_DON]]="No", 0, (IF(AND(Table2[[#This Row],[Need_DON]]="Yes",  Table2[[#This Row],[DON_pub_date]]=""),1, 0)))))</f>
        <v>0</v>
      </c>
      <c r="AQ212" s="34">
        <f>IF(ISBLANK(Table2[[#This Row],[Pending_question]]), 2,(IF(Table2[[#This Row],[Pending_question]]="Yes", 1, 0)))</f>
        <v>0</v>
      </c>
      <c r="AR212" s="43"/>
    </row>
    <row r="213" spans="1:44" ht="15" customHeight="1">
      <c r="A213" s="63">
        <v>44818</v>
      </c>
      <c r="B213" s="29" t="s">
        <v>15</v>
      </c>
      <c r="C213" s="34" t="str" cm="1">
        <f t="array" ref="C21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13" s="27" t="s">
        <v>1025</v>
      </c>
      <c r="E213" s="67" t="s">
        <v>174</v>
      </c>
      <c r="F213" s="29" t="s">
        <v>256</v>
      </c>
      <c r="G213" s="29" t="s">
        <v>34</v>
      </c>
      <c r="H213" s="59">
        <v>44818</v>
      </c>
      <c r="I213" s="59"/>
      <c r="J213" s="59">
        <v>44749</v>
      </c>
      <c r="K213" s="59" t="s">
        <v>1073</v>
      </c>
      <c r="L213" s="112" t="s">
        <v>1074</v>
      </c>
      <c r="M213" s="70" t="s">
        <v>19</v>
      </c>
      <c r="N213" s="59" t="s">
        <v>1075</v>
      </c>
      <c r="O213" s="85"/>
      <c r="P213" s="59" t="s">
        <v>19</v>
      </c>
      <c r="Q213" s="84"/>
      <c r="R213" s="29"/>
      <c r="S213" s="29"/>
      <c r="T213" s="59"/>
      <c r="U213" s="29"/>
      <c r="V213" s="29" t="s">
        <v>34</v>
      </c>
      <c r="W213" s="29" t="s">
        <v>34</v>
      </c>
      <c r="X213" s="27" t="s">
        <v>34</v>
      </c>
      <c r="Y213" s="29" t="s">
        <v>30</v>
      </c>
      <c r="Z213" s="29" t="s">
        <v>21</v>
      </c>
      <c r="AA213" s="29"/>
      <c r="AB213" s="346" t="s">
        <v>1076</v>
      </c>
      <c r="AC213" s="59">
        <v>44816</v>
      </c>
      <c r="AD213" s="59"/>
      <c r="AE213" s="59">
        <v>44817</v>
      </c>
      <c r="AF213" s="29"/>
      <c r="AG213" s="29"/>
      <c r="AH213" s="85">
        <v>44824</v>
      </c>
      <c r="AI213" s="29" t="s">
        <v>30</v>
      </c>
      <c r="AJ213" s="139">
        <v>44825</v>
      </c>
      <c r="AK213" s="85">
        <v>44832</v>
      </c>
      <c r="AL213" s="102"/>
      <c r="AM213" s="41" t="str">
        <f>VLOOKUP(Table2[[#This Row],[country]],Countrycode!A:B,2,FALSE)</f>
        <v>GHA</v>
      </c>
      <c r="AN213" s="34">
        <f>IF(ISBLANK(Table2[[#This Row],[Need_RRA]]), 2,(IF(Table2[[#This Row],[Need_RRA]]="No", 0, (IF(AND(Table2[[#This Row],[Need_RRA]]="Yes",  Table2[[#This Row],[RRA_pub_date]]=""),1, 0)))))</f>
        <v>0</v>
      </c>
      <c r="AO213" s="34">
        <f>IF(ISBLANK(Table2[[#This Row],[Need_EIS]]), 2,(IF(Table2[[#This Row],[Need_EIS]]="No", 0, (IF(AND(Table2[[#This Row],[Need_EIS]]="Yes",  Table2[[#This Row],[EIS_pub_date]]=""),1, 0)))))</f>
        <v>0</v>
      </c>
      <c r="AP213" s="34">
        <f>IF(ISBLANK(Table2[[#This Row],[Need_DON]]), 2,(IF(Table2[[#This Row],[Need_DON]]="No", 0, (IF(AND(Table2[[#This Row],[Need_DON]]="Yes",  Table2[[#This Row],[DON_pub_date]]=""),1, 0)))))</f>
        <v>0</v>
      </c>
      <c r="AQ213" s="34">
        <f>IF(ISBLANK(Table2[[#This Row],[Pending_question]]), 2,(IF(Table2[[#This Row],[Pending_question]]="Yes", 1, 0)))</f>
        <v>0</v>
      </c>
      <c r="AR213" s="43"/>
    </row>
    <row r="214" spans="1:44" ht="15" customHeight="1">
      <c r="A214" s="63">
        <v>44820</v>
      </c>
      <c r="B214" s="29" t="s">
        <v>15</v>
      </c>
      <c r="C214" s="34" t="str" cm="1">
        <f t="array" ref="C21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14" s="27" t="s">
        <v>1077</v>
      </c>
      <c r="E214" s="67" t="s">
        <v>128</v>
      </c>
      <c r="F214" s="29" t="s">
        <v>232</v>
      </c>
      <c r="G214" s="29" t="s">
        <v>34</v>
      </c>
      <c r="H214" s="59">
        <v>44820</v>
      </c>
      <c r="I214" s="59">
        <v>44847</v>
      </c>
      <c r="J214" s="59">
        <v>44823</v>
      </c>
      <c r="K214" s="59" t="s">
        <v>1078</v>
      </c>
      <c r="L214" s="112" t="s">
        <v>1079</v>
      </c>
      <c r="M214" s="67" t="s">
        <v>19</v>
      </c>
      <c r="N214" s="59"/>
      <c r="O214" s="85"/>
      <c r="P214" s="59" t="s">
        <v>30</v>
      </c>
      <c r="Q214" s="84">
        <v>1</v>
      </c>
      <c r="R214" s="29" t="s">
        <v>1080</v>
      </c>
      <c r="S214" s="59">
        <v>44849</v>
      </c>
      <c r="T214" s="59">
        <v>44851</v>
      </c>
      <c r="U214" s="59">
        <v>44858</v>
      </c>
      <c r="V214" s="29" t="s">
        <v>41</v>
      </c>
      <c r="W214" s="29" t="s">
        <v>20</v>
      </c>
      <c r="X214" s="27" t="s">
        <v>51</v>
      </c>
      <c r="Y214" s="29" t="s">
        <v>19</v>
      </c>
      <c r="Z214" s="29"/>
      <c r="AA214" s="29"/>
      <c r="AB214" s="29"/>
      <c r="AC214" s="29"/>
      <c r="AD214" s="59"/>
      <c r="AE214" s="29"/>
      <c r="AF214" s="29"/>
      <c r="AG214" s="29"/>
      <c r="AH214" s="27"/>
      <c r="AI214" s="29" t="s">
        <v>19</v>
      </c>
      <c r="AJ214" s="59"/>
      <c r="AK214" s="29"/>
      <c r="AL214" s="102"/>
      <c r="AM214" s="41" t="str">
        <f>VLOOKUP(Table2[[#This Row],[country]],Countrycode!A:B,2,FALSE)</f>
        <v>ETH</v>
      </c>
      <c r="AN214" s="34">
        <f>IF(ISBLANK(Table2[[#This Row],[Need_RRA]]), 2,(IF(Table2[[#This Row],[Need_RRA]]="No", 0, (IF(AND(Table2[[#This Row],[Need_RRA]]="Yes",  Table2[[#This Row],[RRA_pub_date]]=""),1, 0)))))</f>
        <v>0</v>
      </c>
      <c r="AO214" s="34">
        <f>IF(ISBLANK(Table2[[#This Row],[Need_EIS]]), 2,(IF(Table2[[#This Row],[Need_EIS]]="No", 0, (IF(AND(Table2[[#This Row],[Need_EIS]]="Yes",  Table2[[#This Row],[EIS_pub_date]]=""),1, 0)))))</f>
        <v>0</v>
      </c>
      <c r="AP214" s="34">
        <f>IF(ISBLANK(Table2[[#This Row],[Need_DON]]), 2,(IF(Table2[[#This Row],[Need_DON]]="No", 0, (IF(AND(Table2[[#This Row],[Need_DON]]="Yes",  Table2[[#This Row],[DON_pub_date]]=""),1, 0)))))</f>
        <v>0</v>
      </c>
      <c r="AQ214" s="34">
        <f>IF(ISBLANK(Table2[[#This Row],[Pending_question]]), 2,(IF(Table2[[#This Row],[Pending_question]]="Yes", 1, 0)))</f>
        <v>0</v>
      </c>
      <c r="AR214" s="43"/>
    </row>
    <row r="215" spans="1:44" ht="15" customHeight="1">
      <c r="A215" s="63">
        <v>44824</v>
      </c>
      <c r="B215" s="29" t="s">
        <v>15</v>
      </c>
      <c r="C215" s="34" t="str" cm="1">
        <f t="array" ref="C21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15" s="27" t="s">
        <v>1081</v>
      </c>
      <c r="E215" s="67" t="s">
        <v>1058</v>
      </c>
      <c r="F215" s="29" t="s">
        <v>39</v>
      </c>
      <c r="G215" s="29" t="s">
        <v>1082</v>
      </c>
      <c r="H215" s="59">
        <v>44824</v>
      </c>
      <c r="I215" s="59"/>
      <c r="J215" s="29"/>
      <c r="K215" s="59"/>
      <c r="L215" s="85"/>
      <c r="M215" s="67" t="s">
        <v>19</v>
      </c>
      <c r="N215" s="59"/>
      <c r="O215" s="85"/>
      <c r="P215" s="59" t="s">
        <v>30</v>
      </c>
      <c r="Q215" s="84">
        <v>1</v>
      </c>
      <c r="R215" s="29" t="s">
        <v>1083</v>
      </c>
      <c r="S215" s="59">
        <v>44824</v>
      </c>
      <c r="T215" s="59"/>
      <c r="U215" s="59">
        <v>44827</v>
      </c>
      <c r="V215" s="29" t="s">
        <v>34</v>
      </c>
      <c r="W215" s="29" t="s">
        <v>20</v>
      </c>
      <c r="X215" s="27" t="s">
        <v>34</v>
      </c>
      <c r="Y215" s="29" t="s">
        <v>19</v>
      </c>
      <c r="Z215" s="29"/>
      <c r="AA215" s="29"/>
      <c r="AB215" s="29"/>
      <c r="AC215" s="59" t="s">
        <v>34</v>
      </c>
      <c r="AD215" s="59" t="s">
        <v>34</v>
      </c>
      <c r="AE215" s="59" t="s">
        <v>34</v>
      </c>
      <c r="AF215" s="59" t="s">
        <v>34</v>
      </c>
      <c r="AG215" s="59" t="s">
        <v>34</v>
      </c>
      <c r="AH215" s="27" t="s">
        <v>34</v>
      </c>
      <c r="AI215" s="29" t="s">
        <v>19</v>
      </c>
      <c r="AJ215" s="139"/>
      <c r="AK215" s="28"/>
      <c r="AL215" s="102"/>
      <c r="AM215" s="41" t="str">
        <f>VLOOKUP(Table2[[#This Row],[country]],Countrycode!A:B,2,FALSE)</f>
        <v>MLX</v>
      </c>
      <c r="AN215" s="34">
        <f>IF(ISBLANK(Table2[[#This Row],[Need_RRA]]), 2,(IF(Table2[[#This Row],[Need_RRA]]="No", 0, (IF(AND(Table2[[#This Row],[Need_RRA]]="Yes",  Table2[[#This Row],[RRA_pub_date]]=""),1, 0)))))</f>
        <v>0</v>
      </c>
      <c r="AO215" s="34">
        <f>IF(ISBLANK(Table2[[#This Row],[Need_EIS]]), 2,(IF(Table2[[#This Row],[Need_EIS]]="No", 0, (IF(AND(Table2[[#This Row],[Need_EIS]]="Yes",  Table2[[#This Row],[EIS_pub_date]]=""),1, 0)))))</f>
        <v>0</v>
      </c>
      <c r="AP215" s="34">
        <f>IF(ISBLANK(Table2[[#This Row],[Need_DON]]), 2,(IF(Table2[[#This Row],[Need_DON]]="No", 0, (IF(AND(Table2[[#This Row],[Need_DON]]="Yes",  Table2[[#This Row],[DON_pub_date]]=""),1, 0)))))</f>
        <v>0</v>
      </c>
      <c r="AQ215" s="34">
        <f>IF(ISBLANK(Table2[[#This Row],[Pending_question]]), 2,(IF(Table2[[#This Row],[Pending_question]]="Yes", 1, 0)))</f>
        <v>0</v>
      </c>
      <c r="AR215" s="43"/>
    </row>
    <row r="216" spans="1:44" ht="15" customHeight="1">
      <c r="A216" s="63">
        <v>44824</v>
      </c>
      <c r="B216" s="29" t="s">
        <v>15</v>
      </c>
      <c r="C216" s="34" t="str" cm="1">
        <f t="array" ref="C21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16" s="27" t="s">
        <v>570</v>
      </c>
      <c r="E216" s="67" t="s">
        <v>231</v>
      </c>
      <c r="F216" s="29" t="s">
        <v>397</v>
      </c>
      <c r="G216" s="29" t="s">
        <v>34</v>
      </c>
      <c r="H216" s="59">
        <v>44824</v>
      </c>
      <c r="I216" s="59"/>
      <c r="J216" s="59">
        <v>44824</v>
      </c>
      <c r="K216" s="59" t="s">
        <v>1084</v>
      </c>
      <c r="L216" s="104" t="s">
        <v>1085</v>
      </c>
      <c r="M216" s="70" t="s">
        <v>19</v>
      </c>
      <c r="N216" s="59"/>
      <c r="O216" s="85"/>
      <c r="P216" s="59" t="s">
        <v>30</v>
      </c>
      <c r="Q216" s="84">
        <v>1</v>
      </c>
      <c r="R216" s="29" t="s">
        <v>1086</v>
      </c>
      <c r="S216" s="59">
        <v>44823</v>
      </c>
      <c r="T216" s="59"/>
      <c r="U216" s="59">
        <v>44825</v>
      </c>
      <c r="V216" s="29" t="s">
        <v>20</v>
      </c>
      <c r="W216" s="29" t="s">
        <v>32</v>
      </c>
      <c r="X216" s="27" t="s">
        <v>51</v>
      </c>
      <c r="Y216" s="29" t="s">
        <v>30</v>
      </c>
      <c r="Z216" s="29" t="s">
        <v>42</v>
      </c>
      <c r="AA216" s="29"/>
      <c r="AB216" s="29" t="s">
        <v>1087</v>
      </c>
      <c r="AC216" s="59">
        <v>44824</v>
      </c>
      <c r="AD216" s="59"/>
      <c r="AE216" s="59">
        <v>44824</v>
      </c>
      <c r="AF216" s="59">
        <v>44826</v>
      </c>
      <c r="AG216" s="29"/>
      <c r="AH216" s="85">
        <v>44829</v>
      </c>
      <c r="AI216" s="29" t="s">
        <v>30</v>
      </c>
      <c r="AJ216" s="139"/>
      <c r="AK216" s="86">
        <v>44830</v>
      </c>
      <c r="AL216" s="102"/>
      <c r="AM216" s="41" t="str">
        <f>VLOOKUP(Table2[[#This Row],[country]],Countrycode!A:B,2,FALSE)</f>
        <v>UGA</v>
      </c>
      <c r="AN216" s="34">
        <f>IF(ISBLANK(Table2[[#This Row],[Need_RRA]]), 2,(IF(Table2[[#This Row],[Need_RRA]]="No", 0, (IF(AND(Table2[[#This Row],[Need_RRA]]="Yes",  Table2[[#This Row],[RRA_pub_date]]=""),1, 0)))))</f>
        <v>0</v>
      </c>
      <c r="AO216" s="34">
        <f>IF(ISBLANK(Table2[[#This Row],[Need_EIS]]), 2,(IF(Table2[[#This Row],[Need_EIS]]="No", 0, (IF(AND(Table2[[#This Row],[Need_EIS]]="Yes",  Table2[[#This Row],[EIS_pub_date]]=""),1, 0)))))</f>
        <v>0</v>
      </c>
      <c r="AP216" s="34">
        <f>IF(ISBLANK(Table2[[#This Row],[Need_DON]]), 2,(IF(Table2[[#This Row],[Need_DON]]="No", 0, (IF(AND(Table2[[#This Row],[Need_DON]]="Yes",  Table2[[#This Row],[DON_pub_date]]=""),1, 0)))))</f>
        <v>0</v>
      </c>
      <c r="AQ216" s="34">
        <f>IF(ISBLANK(Table2[[#This Row],[Pending_question]]), 2,(IF(Table2[[#This Row],[Pending_question]]="Yes", 1, 0)))</f>
        <v>0</v>
      </c>
      <c r="AR216" s="43"/>
    </row>
    <row r="217" spans="1:44" ht="15" customHeight="1">
      <c r="A217" s="63">
        <v>44831</v>
      </c>
      <c r="B217" s="29" t="s">
        <v>15</v>
      </c>
      <c r="C217" s="34" t="str" cm="1">
        <f t="array" ref="C21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17" s="27" t="s">
        <v>1088</v>
      </c>
      <c r="E217" s="67" t="s">
        <v>215</v>
      </c>
      <c r="F217" s="29" t="s">
        <v>308</v>
      </c>
      <c r="G217" s="29" t="s">
        <v>34</v>
      </c>
      <c r="H217" s="59">
        <v>44831</v>
      </c>
      <c r="I217" s="59">
        <v>44810</v>
      </c>
      <c r="J217" s="133">
        <v>44813</v>
      </c>
      <c r="K217" s="59" t="s">
        <v>1089</v>
      </c>
      <c r="L217" s="112" t="s">
        <v>1090</v>
      </c>
      <c r="M217" s="70" t="s">
        <v>19</v>
      </c>
      <c r="N217" s="59"/>
      <c r="O217" s="85"/>
      <c r="P217" s="59" t="s">
        <v>30</v>
      </c>
      <c r="Q217" s="84">
        <v>1</v>
      </c>
      <c r="R217" s="29" t="s">
        <v>1091</v>
      </c>
      <c r="S217" s="59">
        <v>44819</v>
      </c>
      <c r="T217" s="59"/>
      <c r="U217" s="59">
        <v>44834</v>
      </c>
      <c r="V217" s="29" t="s">
        <v>20</v>
      </c>
      <c r="W217" s="29" t="s">
        <v>32</v>
      </c>
      <c r="X217" s="27" t="s">
        <v>51</v>
      </c>
      <c r="Y217" s="29" t="s">
        <v>30</v>
      </c>
      <c r="Z217" s="29" t="s">
        <v>42</v>
      </c>
      <c r="AA217" s="29"/>
      <c r="AB217" s="187" t="s">
        <v>1092</v>
      </c>
      <c r="AC217" s="59">
        <v>44837</v>
      </c>
      <c r="AD217" s="59"/>
      <c r="AE217" s="59">
        <v>44841</v>
      </c>
      <c r="AF217" s="29"/>
      <c r="AG217" s="29"/>
      <c r="AH217" s="85">
        <v>44848</v>
      </c>
      <c r="AI217" s="29" t="s">
        <v>30</v>
      </c>
      <c r="AJ217" s="139">
        <v>44848</v>
      </c>
      <c r="AK217" s="83">
        <v>44854</v>
      </c>
      <c r="AL217" s="102" t="s">
        <v>1093</v>
      </c>
      <c r="AM217" s="41" t="str">
        <f>VLOOKUP(Table2[[#This Row],[country]],Countrycode!A:B,2,FALSE)</f>
        <v>MRT</v>
      </c>
      <c r="AN217" s="34">
        <f>IF(ISBLANK(Table2[[#This Row],[Need_RRA]]), 2,(IF(Table2[[#This Row],[Need_RRA]]="No", 0, (IF(AND(Table2[[#This Row],[Need_RRA]]="Yes",  Table2[[#This Row],[RRA_pub_date]]=""),1, 0)))))</f>
        <v>0</v>
      </c>
      <c r="AO217" s="34">
        <f>IF(ISBLANK(Table2[[#This Row],[Need_EIS]]), 2,(IF(Table2[[#This Row],[Need_EIS]]="No", 0, (IF(AND(Table2[[#This Row],[Need_EIS]]="Yes",  Table2[[#This Row],[EIS_pub_date]]=""),1, 0)))))</f>
        <v>0</v>
      </c>
      <c r="AP217" s="34">
        <f>IF(ISBLANK(Table2[[#This Row],[Need_DON]]), 2,(IF(Table2[[#This Row],[Need_DON]]="No", 0, (IF(AND(Table2[[#This Row],[Need_DON]]="Yes",  Table2[[#This Row],[DON_pub_date]]=""),1, 0)))))</f>
        <v>0</v>
      </c>
      <c r="AQ217" s="34">
        <f>IF(ISBLANK(Table2[[#This Row],[Pending_question]]), 2,(IF(Table2[[#This Row],[Pending_question]]="Yes", 1, 0)))</f>
        <v>0</v>
      </c>
      <c r="AR217" s="43"/>
    </row>
    <row r="218" spans="1:44" ht="15" customHeight="1">
      <c r="A218" s="63">
        <v>44831</v>
      </c>
      <c r="B218" s="29" t="s">
        <v>15</v>
      </c>
      <c r="C218" s="34" t="str" cm="1">
        <f t="array" ref="C21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18" s="27" t="s">
        <v>1007</v>
      </c>
      <c r="E218" s="70" t="s">
        <v>172</v>
      </c>
      <c r="F218" s="54" t="s">
        <v>335</v>
      </c>
      <c r="G218" s="29" t="s">
        <v>34</v>
      </c>
      <c r="H218" s="55">
        <v>44831</v>
      </c>
      <c r="I218" s="59">
        <v>44840</v>
      </c>
      <c r="J218" s="55">
        <v>44827</v>
      </c>
      <c r="K218" s="63" t="s">
        <v>1094</v>
      </c>
      <c r="L218" s="112" t="s">
        <v>1095</v>
      </c>
      <c r="M218" s="70" t="s">
        <v>19</v>
      </c>
      <c r="N218" s="63"/>
      <c r="O218" s="71"/>
      <c r="P218" s="55" t="s">
        <v>19</v>
      </c>
      <c r="Q218" s="84">
        <v>1</v>
      </c>
      <c r="R218" s="54"/>
      <c r="S218" s="29"/>
      <c r="T218" s="59"/>
      <c r="U218" s="29"/>
      <c r="V218" s="29"/>
      <c r="W218" s="29"/>
      <c r="X218" s="27"/>
      <c r="Y218" s="54" t="s">
        <v>30</v>
      </c>
      <c r="Z218" s="29" t="s">
        <v>42</v>
      </c>
      <c r="AA218" s="29"/>
      <c r="AB218" s="54" t="s">
        <v>1096</v>
      </c>
      <c r="AC218" s="59">
        <v>44829</v>
      </c>
      <c r="AD218" s="59">
        <v>44830</v>
      </c>
      <c r="AE218" s="59">
        <v>44831</v>
      </c>
      <c r="AF218" s="59">
        <v>44833</v>
      </c>
      <c r="AG218" s="59">
        <v>44840</v>
      </c>
      <c r="AH218" s="85">
        <v>44840</v>
      </c>
      <c r="AI218" s="54" t="s">
        <v>30</v>
      </c>
      <c r="AJ218" s="139">
        <v>44841</v>
      </c>
      <c r="AK218" s="86">
        <v>44851</v>
      </c>
      <c r="AL218" s="102"/>
      <c r="AM218" s="41" t="str">
        <f>VLOOKUP(Table2[[#This Row],[country]],Countrycode!A:B,2,FALSE)</f>
        <v>PAK</v>
      </c>
      <c r="AN218" s="34">
        <f>IF(ISBLANK(Table2[[#This Row],[Need_RRA]]), 2,(IF(Table2[[#This Row],[Need_RRA]]="No", 0, (IF(AND(Table2[[#This Row],[Need_RRA]]="Yes",  Table2[[#This Row],[RRA_pub_date]]=""),1, 0)))))</f>
        <v>0</v>
      </c>
      <c r="AO218" s="34">
        <f>IF(ISBLANK(Table2[[#This Row],[Need_EIS]]), 2,(IF(Table2[[#This Row],[Need_EIS]]="No", 0, (IF(AND(Table2[[#This Row],[Need_EIS]]="Yes",  Table2[[#This Row],[EIS_pub_date]]=""),1, 0)))))</f>
        <v>0</v>
      </c>
      <c r="AP218" s="34">
        <f>IF(ISBLANK(Table2[[#This Row],[Need_DON]]), 2,(IF(Table2[[#This Row],[Need_DON]]="No", 0, (IF(AND(Table2[[#This Row],[Need_DON]]="Yes",  Table2[[#This Row],[DON_pub_date]]=""),1, 0)))))</f>
        <v>0</v>
      </c>
      <c r="AQ218" s="34">
        <f>IF(ISBLANK(Table2[[#This Row],[Pending_question]]), 2,(IF(Table2[[#This Row],[Pending_question]]="Yes", 1, 0)))</f>
        <v>0</v>
      </c>
      <c r="AR218" s="43"/>
    </row>
    <row r="219" spans="1:44" ht="15" customHeight="1">
      <c r="A219" s="63">
        <v>44832</v>
      </c>
      <c r="B219" s="29" t="s">
        <v>15</v>
      </c>
      <c r="C219" s="34" t="str" cm="1">
        <f t="array" ref="C21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19" s="27" t="s">
        <v>1097</v>
      </c>
      <c r="E219" s="70" t="s">
        <v>667</v>
      </c>
      <c r="F219" s="54" t="s">
        <v>93</v>
      </c>
      <c r="G219" s="29" t="s">
        <v>93</v>
      </c>
      <c r="H219" s="55">
        <v>44832</v>
      </c>
      <c r="I219" s="59">
        <v>44847</v>
      </c>
      <c r="J219" s="54"/>
      <c r="K219" s="250" t="s">
        <v>948</v>
      </c>
      <c r="L219" s="182" t="s">
        <v>949</v>
      </c>
      <c r="M219" s="70" t="s">
        <v>19</v>
      </c>
      <c r="N219" s="55"/>
      <c r="O219" s="71"/>
      <c r="P219" s="55" t="s">
        <v>30</v>
      </c>
      <c r="Q219" s="84">
        <v>4</v>
      </c>
      <c r="R219" s="54" t="s">
        <v>1098</v>
      </c>
      <c r="S219" s="59">
        <v>44830</v>
      </c>
      <c r="T219" s="59"/>
      <c r="U219" s="59">
        <v>44852</v>
      </c>
      <c r="V219" s="29"/>
      <c r="W219" s="29"/>
      <c r="X219" s="27" t="s">
        <v>32</v>
      </c>
      <c r="Y219" s="54" t="s">
        <v>19</v>
      </c>
      <c r="Z219" s="29"/>
      <c r="AA219" s="29"/>
      <c r="AB219" s="54"/>
      <c r="AC219" s="29"/>
      <c r="AD219" s="59"/>
      <c r="AE219" s="29"/>
      <c r="AF219" s="29"/>
      <c r="AG219" s="29"/>
      <c r="AH219" s="27"/>
      <c r="AI219" s="54" t="s">
        <v>19</v>
      </c>
      <c r="AJ219" s="139"/>
      <c r="AK219" s="28"/>
      <c r="AL219" s="102"/>
      <c r="AM219" s="41" t="e">
        <f>VLOOKUP(Table2[[#This Row],[country]],Countrycode!A:B,2,FALSE)</f>
        <v>#N/A</v>
      </c>
      <c r="AN219" s="34">
        <f>IF(ISBLANK(Table2[[#This Row],[Need_RRA]]), 2,(IF(Table2[[#This Row],[Need_RRA]]="No", 0, (IF(AND(Table2[[#This Row],[Need_RRA]]="Yes",  Table2[[#This Row],[RRA_pub_date]]=""),1, 0)))))</f>
        <v>0</v>
      </c>
      <c r="AO219" s="34">
        <f>IF(ISBLANK(Table2[[#This Row],[Need_EIS]]), 2,(IF(Table2[[#This Row],[Need_EIS]]="No", 0, (IF(AND(Table2[[#This Row],[Need_EIS]]="Yes",  Table2[[#This Row],[EIS_pub_date]]=""),1, 0)))))</f>
        <v>0</v>
      </c>
      <c r="AP219" s="34">
        <f>IF(ISBLANK(Table2[[#This Row],[Need_DON]]), 2,(IF(Table2[[#This Row],[Need_DON]]="No", 0, (IF(AND(Table2[[#This Row],[Need_DON]]="Yes",  Table2[[#This Row],[DON_pub_date]]=""),1, 0)))))</f>
        <v>0</v>
      </c>
      <c r="AQ219" s="34">
        <f>IF(ISBLANK(Table2[[#This Row],[Pending_question]]), 2,(IF(Table2[[#This Row],[Pending_question]]="Yes", 1, 0)))</f>
        <v>0</v>
      </c>
      <c r="AR219" s="43"/>
    </row>
    <row r="220" spans="1:44" ht="15" customHeight="1">
      <c r="A220" s="63">
        <v>44833</v>
      </c>
      <c r="B220" s="29" t="s">
        <v>15</v>
      </c>
      <c r="C220" s="34" t="str" cm="1">
        <f t="array" ref="C22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20" s="27" t="s">
        <v>1099</v>
      </c>
      <c r="E220" s="70" t="s">
        <v>104</v>
      </c>
      <c r="F220" s="54" t="s">
        <v>173</v>
      </c>
      <c r="G220" s="29" t="s">
        <v>34</v>
      </c>
      <c r="H220" s="55">
        <v>44833</v>
      </c>
      <c r="I220" s="59">
        <v>44846</v>
      </c>
      <c r="J220" s="55">
        <v>44841</v>
      </c>
      <c r="K220" s="59" t="s">
        <v>1100</v>
      </c>
      <c r="L220" s="112" t="s">
        <v>712</v>
      </c>
      <c r="M220" s="70" t="s">
        <v>19</v>
      </c>
      <c r="N220" s="55"/>
      <c r="O220" s="71"/>
      <c r="P220" s="55" t="s">
        <v>19</v>
      </c>
      <c r="Q220" s="84"/>
      <c r="R220" s="54"/>
      <c r="S220" s="29"/>
      <c r="T220" s="59"/>
      <c r="U220" s="29"/>
      <c r="V220" s="29"/>
      <c r="W220" s="29"/>
      <c r="X220" s="27"/>
      <c r="Y220" s="54" t="s">
        <v>30</v>
      </c>
      <c r="Z220" s="29"/>
      <c r="AA220" s="29" t="s">
        <v>22</v>
      </c>
      <c r="AB220" s="382" t="s">
        <v>1101</v>
      </c>
      <c r="AC220" s="59">
        <v>44832</v>
      </c>
      <c r="AD220" s="59">
        <v>44833</v>
      </c>
      <c r="AE220" s="29"/>
      <c r="AF220" s="29"/>
      <c r="AG220" s="59">
        <v>44851</v>
      </c>
      <c r="AH220" s="85">
        <v>44851</v>
      </c>
      <c r="AI220" s="54" t="s">
        <v>19</v>
      </c>
      <c r="AJ220" s="139"/>
      <c r="AK220" s="27"/>
      <c r="AL220" s="102"/>
      <c r="AM220" s="41" t="str">
        <f>VLOOKUP(Table2[[#This Row],[country]],Countrycode!A:B,2,FALSE)</f>
        <v>CHN</v>
      </c>
      <c r="AN220" s="34">
        <f>IF(ISBLANK(Table2[[#This Row],[Need_RRA]]), 2,(IF(Table2[[#This Row],[Need_RRA]]="No", 0, (IF(AND(Table2[[#This Row],[Need_RRA]]="Yes",  Table2[[#This Row],[RRA_pub_date]]=""),1, 0)))))</f>
        <v>0</v>
      </c>
      <c r="AO220" s="34">
        <f>IF(ISBLANK(Table2[[#This Row],[Need_EIS]]), 2,(IF(Table2[[#This Row],[Need_EIS]]="No", 0, (IF(AND(Table2[[#This Row],[Need_EIS]]="Yes",  Table2[[#This Row],[EIS_pub_date]]=""),1, 0)))))</f>
        <v>0</v>
      </c>
      <c r="AP220" s="131">
        <f>IF(ISBLANK(Table2[[#This Row],[Need_DON]]), 2,(IF(Table2[[#This Row],[Need_DON]]="No", 0, (IF(AND(Table2[[#This Row],[Need_DON]]="Yes",  Table2[[#This Row],[DON_pub_date]]=""),1, 0)))))</f>
        <v>0</v>
      </c>
      <c r="AQ220" s="131">
        <f>IF(ISBLANK(Table2[[#This Row],[Pending_question]]), 2,(IF(Table2[[#This Row],[Pending_question]]="Yes", 1, 0)))</f>
        <v>0</v>
      </c>
      <c r="AR220" s="43"/>
    </row>
    <row r="221" spans="1:44" ht="15" customHeight="1">
      <c r="A221" s="63">
        <v>44837</v>
      </c>
      <c r="B221" s="29" t="s">
        <v>15</v>
      </c>
      <c r="C221" s="34" t="str" cm="1">
        <f t="array" ref="C22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21" s="27" t="s">
        <v>1077</v>
      </c>
      <c r="E221" s="70" t="s">
        <v>128</v>
      </c>
      <c r="F221" s="54" t="s">
        <v>268</v>
      </c>
      <c r="G221" s="29" t="s">
        <v>34</v>
      </c>
      <c r="H221" s="54"/>
      <c r="I221" s="59"/>
      <c r="J221" s="54"/>
      <c r="K221" s="59"/>
      <c r="L221" s="85"/>
      <c r="M221" s="70" t="s">
        <v>19</v>
      </c>
      <c r="N221" s="55"/>
      <c r="O221" s="71"/>
      <c r="P221" s="55" t="s">
        <v>30</v>
      </c>
      <c r="Q221" s="84">
        <v>1</v>
      </c>
      <c r="R221" s="54"/>
      <c r="S221" s="59">
        <v>44837</v>
      </c>
      <c r="T221" s="59"/>
      <c r="U221" s="59">
        <v>44840</v>
      </c>
      <c r="V221" s="29" t="s">
        <v>41</v>
      </c>
      <c r="W221" s="29" t="s">
        <v>32</v>
      </c>
      <c r="X221" s="27" t="s">
        <v>51</v>
      </c>
      <c r="Y221" s="54" t="s">
        <v>30</v>
      </c>
      <c r="Z221" s="29" t="s">
        <v>42</v>
      </c>
      <c r="AA221" s="29"/>
      <c r="AB221" s="29"/>
      <c r="AC221" s="59">
        <v>44837</v>
      </c>
      <c r="AD221" s="59"/>
      <c r="AE221" s="59">
        <v>44840</v>
      </c>
      <c r="AF221" s="59"/>
      <c r="AG221" s="59"/>
      <c r="AH221" s="85">
        <v>44842</v>
      </c>
      <c r="AI221" s="54" t="s">
        <v>30</v>
      </c>
      <c r="AJ221" s="139">
        <v>44844</v>
      </c>
      <c r="AK221" s="86">
        <v>44846</v>
      </c>
      <c r="AL221" s="102"/>
      <c r="AM221" s="41" t="str">
        <f>VLOOKUP(Table2[[#This Row],[country]],Countrycode!A:B,2,FALSE)</f>
        <v>HTI</v>
      </c>
      <c r="AN221" s="34">
        <f>IF(ISBLANK(Table2[[#This Row],[Need_RRA]]), 2,(IF(Table2[[#This Row],[Need_RRA]]="No", 0, (IF(AND(Table2[[#This Row],[Need_RRA]]="Yes",  Table2[[#This Row],[RRA_pub_date]]=""),1, 0)))))</f>
        <v>0</v>
      </c>
      <c r="AO221" s="34">
        <f>IF(ISBLANK(Table2[[#This Row],[Need_EIS]]), 2,(IF(Table2[[#This Row],[Need_EIS]]="No", 0, (IF(AND(Table2[[#This Row],[Need_EIS]]="Yes",  Table2[[#This Row],[EIS_pub_date]]=""),1, 0)))))</f>
        <v>0</v>
      </c>
      <c r="AP221" s="132">
        <f>IF(ISBLANK(Table2[[#This Row],[Need_DON]]), 2,(IF(Table2[[#This Row],[Need_DON]]="No", 0, (IF(AND(Table2[[#This Row],[Need_DON]]="Yes",  Table2[[#This Row],[DON_pub_date]]=""),1, 0)))))</f>
        <v>0</v>
      </c>
      <c r="AQ221" s="132">
        <f>IF(ISBLANK(Table2[[#This Row],[Pending_question]]), 2,(IF(Table2[[#This Row],[Pending_question]]="Yes", 1, 0)))</f>
        <v>0</v>
      </c>
      <c r="AR221" s="43"/>
    </row>
    <row r="222" spans="1:44" ht="15" customHeight="1">
      <c r="A222" s="63">
        <v>44840</v>
      </c>
      <c r="B222" s="29" t="s">
        <v>15</v>
      </c>
      <c r="C222" s="34" t="str" cm="1">
        <f t="array" ref="C22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22" s="27" t="s">
        <v>1099</v>
      </c>
      <c r="E222" s="67" t="s">
        <v>1102</v>
      </c>
      <c r="F222" s="29" t="s">
        <v>377</v>
      </c>
      <c r="G222" s="29" t="s">
        <v>34</v>
      </c>
      <c r="H222" s="59">
        <v>44840</v>
      </c>
      <c r="I222" s="59">
        <v>44844</v>
      </c>
      <c r="J222" s="59">
        <v>44838</v>
      </c>
      <c r="K222" s="340" t="s">
        <v>1103</v>
      </c>
      <c r="L222" s="104" t="s">
        <v>1104</v>
      </c>
      <c r="M222" s="70" t="s">
        <v>19</v>
      </c>
      <c r="N222" s="59"/>
      <c r="O222" s="85"/>
      <c r="P222" s="59" t="s">
        <v>19</v>
      </c>
      <c r="Q222" s="84"/>
      <c r="R222" s="29"/>
      <c r="S222" s="59"/>
      <c r="T222" s="59"/>
      <c r="U222" s="29"/>
      <c r="V222" s="29"/>
      <c r="W222" s="29"/>
      <c r="X222" s="27"/>
      <c r="Y222" s="29" t="s">
        <v>30</v>
      </c>
      <c r="Z222" s="29" t="s">
        <v>42</v>
      </c>
      <c r="AA222" s="29"/>
      <c r="AB222" s="29" t="s">
        <v>1105</v>
      </c>
      <c r="AC222" s="59">
        <v>44838</v>
      </c>
      <c r="AD222" s="59"/>
      <c r="AE222" s="59">
        <v>44840</v>
      </c>
      <c r="AF222" s="59">
        <v>44841</v>
      </c>
      <c r="AG222" s="59">
        <v>44841</v>
      </c>
      <c r="AH222" s="85">
        <v>44846</v>
      </c>
      <c r="AI222" s="29" t="s">
        <v>19</v>
      </c>
      <c r="AJ222" s="139"/>
      <c r="AK222" s="28"/>
      <c r="AL222" s="102"/>
      <c r="AM222" s="41" t="str">
        <f>VLOOKUP(Table2[[#This Row],[country]],Countrycode!A:B,2,FALSE)</f>
        <v>ESP</v>
      </c>
      <c r="AN222" s="34">
        <f>IF(ISBLANK(Table2[[#This Row],[Need_RRA]]), 2,(IF(Table2[[#This Row],[Need_RRA]]="No", 0, (IF(AND(Table2[[#This Row],[Need_RRA]]="Yes",  Table2[[#This Row],[RRA_pub_date]]=""),1, 0)))))</f>
        <v>0</v>
      </c>
      <c r="AO222" s="34">
        <f>IF(ISBLANK(Table2[[#This Row],[Need_EIS]]), 2,(IF(Table2[[#This Row],[Need_EIS]]="No", 0, (IF(AND(Table2[[#This Row],[Need_EIS]]="Yes",  Table2[[#This Row],[EIS_pub_date]]=""),1, 0)))))</f>
        <v>0</v>
      </c>
      <c r="AP222" s="34">
        <f>IF(ISBLANK(Table2[[#This Row],[Need_DON]]), 2,(IF(Table2[[#This Row],[Need_DON]]="No", 0, (IF(AND(Table2[[#This Row],[Need_DON]]="Yes",  Table2[[#This Row],[DON_pub_date]]=""),1, 0)))))</f>
        <v>0</v>
      </c>
      <c r="AQ222" s="34">
        <f>IF(ISBLANK(Table2[[#This Row],[Pending_question]]), 2,(IF(Table2[[#This Row],[Pending_question]]="Yes", 1, 0)))</f>
        <v>0</v>
      </c>
      <c r="AR222" s="43"/>
    </row>
    <row r="223" spans="1:44" ht="15" customHeight="1">
      <c r="A223" s="63">
        <v>44841</v>
      </c>
      <c r="B223" s="29" t="s">
        <v>15</v>
      </c>
      <c r="C223" s="110" t="str" cm="1">
        <f t="array" ref="C22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23" s="27" t="s">
        <v>1106</v>
      </c>
      <c r="E223" s="67" t="s">
        <v>178</v>
      </c>
      <c r="F223" s="29" t="s">
        <v>208</v>
      </c>
      <c r="G223" s="29" t="s">
        <v>34</v>
      </c>
      <c r="H223" s="59">
        <v>44841</v>
      </c>
      <c r="I223" s="59">
        <v>44837</v>
      </c>
      <c r="J223" s="59">
        <v>44837</v>
      </c>
      <c r="K223" s="264" t="s">
        <v>1107</v>
      </c>
      <c r="L223" s="104" t="s">
        <v>1108</v>
      </c>
      <c r="M223" s="121" t="s">
        <v>30</v>
      </c>
      <c r="N223" s="263" t="s">
        <v>1109</v>
      </c>
      <c r="O223" s="85">
        <v>44854</v>
      </c>
      <c r="P223" s="59" t="s">
        <v>30</v>
      </c>
      <c r="Q223" s="84">
        <v>1</v>
      </c>
      <c r="R223" s="54" t="s">
        <v>1110</v>
      </c>
      <c r="S223" s="59">
        <v>44829</v>
      </c>
      <c r="T223" s="59">
        <v>44831</v>
      </c>
      <c r="U223" s="59">
        <v>44854</v>
      </c>
      <c r="V223" s="29" t="s">
        <v>32</v>
      </c>
      <c r="W223" s="29" t="s">
        <v>51</v>
      </c>
      <c r="X223" s="27" t="s">
        <v>51</v>
      </c>
      <c r="Y223" s="29" t="s">
        <v>19</v>
      </c>
      <c r="Z223" s="29" t="s">
        <v>34</v>
      </c>
      <c r="AA223" s="29"/>
      <c r="AB223" s="29"/>
      <c r="AC223" s="59" t="s">
        <v>34</v>
      </c>
      <c r="AD223" s="59" t="s">
        <v>34</v>
      </c>
      <c r="AE223" s="59" t="s">
        <v>34</v>
      </c>
      <c r="AF223" s="59" t="s">
        <v>34</v>
      </c>
      <c r="AG223" s="59" t="s">
        <v>34</v>
      </c>
      <c r="AH223" s="27" t="s">
        <v>34</v>
      </c>
      <c r="AI223" s="34" t="s">
        <v>19</v>
      </c>
      <c r="AJ223" s="139"/>
      <c r="AK223" s="27"/>
      <c r="AL223" s="102"/>
      <c r="AM223" s="41" t="str">
        <f>VLOOKUP(Table2[[#This Row],[country]],Countrycode!A:B,2,FALSE)</f>
        <v>COD</v>
      </c>
      <c r="AN223" s="34">
        <f>IF(ISBLANK(Table2[[#This Row],[Need_RRA]]), 2,(IF(Table2[[#This Row],[Need_RRA]]="No", 0, (IF(AND(Table2[[#This Row],[Need_RRA]]="Yes",  Table2[[#This Row],[RRA_pub_date]]=""),1, 0)))))</f>
        <v>0</v>
      </c>
      <c r="AO223" s="34">
        <f>IF(ISBLANK(Table2[[#This Row],[Need_EIS]]), 2,(IF(Table2[[#This Row],[Need_EIS]]="No", 0, (IF(AND(Table2[[#This Row],[Need_EIS]]="Yes",  Table2[[#This Row],[EIS_pub_date]]=""),1, 0)))))</f>
        <v>0</v>
      </c>
      <c r="AP223" s="34">
        <f>IF(ISBLANK(Table2[[#This Row],[Need_DON]]), 2,(IF(Table2[[#This Row],[Need_DON]]="No", 0, (IF(AND(Table2[[#This Row],[Need_DON]]="Yes",  Table2[[#This Row],[DON_pub_date]]=""),1, 0)))))</f>
        <v>0</v>
      </c>
      <c r="AQ223" s="34">
        <f>IF(ISBLANK(Table2[[#This Row],[Pending_question]]), 2,(IF(Table2[[#This Row],[Pending_question]]="Yes", 1, 0)))</f>
        <v>1</v>
      </c>
      <c r="AR223" s="43"/>
    </row>
    <row r="224" spans="1:44" ht="15" customHeight="1">
      <c r="A224" s="63">
        <v>44841</v>
      </c>
      <c r="B224" s="29" t="s">
        <v>15</v>
      </c>
      <c r="C224" s="34" t="str" cm="1">
        <f t="array" ref="C22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24" s="27" t="s">
        <v>1111</v>
      </c>
      <c r="E224" s="67" t="s">
        <v>128</v>
      </c>
      <c r="F224" s="29" t="s">
        <v>328</v>
      </c>
      <c r="G224" s="29" t="s">
        <v>34</v>
      </c>
      <c r="H224" s="59">
        <v>44841</v>
      </c>
      <c r="I224" s="59">
        <v>44844</v>
      </c>
      <c r="J224" s="59">
        <v>44830</v>
      </c>
      <c r="K224" s="59" t="s">
        <v>1112</v>
      </c>
      <c r="L224" s="112" t="s">
        <v>1113</v>
      </c>
      <c r="M224" s="70" t="s">
        <v>19</v>
      </c>
      <c r="N224" s="59"/>
      <c r="O224" s="85"/>
      <c r="P224" s="59" t="s">
        <v>30</v>
      </c>
      <c r="Q224" s="84">
        <v>1</v>
      </c>
      <c r="R224" s="54" t="s">
        <v>1114</v>
      </c>
      <c r="S224" s="59">
        <v>44840</v>
      </c>
      <c r="T224" s="59">
        <v>44844</v>
      </c>
      <c r="U224" s="59">
        <v>44881</v>
      </c>
      <c r="V224" s="29" t="s">
        <v>41</v>
      </c>
      <c r="W224" s="29" t="s">
        <v>20</v>
      </c>
      <c r="X224" s="27" t="s">
        <v>51</v>
      </c>
      <c r="Y224" s="29" t="s">
        <v>30</v>
      </c>
      <c r="Z224" s="29" t="s">
        <v>42</v>
      </c>
      <c r="AA224" s="29" t="s">
        <v>22</v>
      </c>
      <c r="AB224" s="29" t="s">
        <v>1115</v>
      </c>
      <c r="AC224" s="59">
        <v>44879</v>
      </c>
      <c r="AD224" s="59">
        <v>44883</v>
      </c>
      <c r="AE224" s="59">
        <v>44886</v>
      </c>
      <c r="AF224" s="59">
        <v>44903</v>
      </c>
      <c r="AG224" s="59">
        <v>44904</v>
      </c>
      <c r="AH224" s="85">
        <v>44904</v>
      </c>
      <c r="AI224" s="29" t="s">
        <v>19</v>
      </c>
      <c r="AJ224" s="139"/>
      <c r="AK224" s="27"/>
      <c r="AL224" s="102"/>
      <c r="AM224" s="41" t="str">
        <f>VLOOKUP(Table2[[#This Row],[country]],Countrycode!A:B,2,FALSE)</f>
        <v>NGA</v>
      </c>
      <c r="AN224" s="34">
        <f>IF(ISBLANK(Table2[[#This Row],[Need_RRA]]), 2,(IF(Table2[[#This Row],[Need_RRA]]="No", 0, (IF(AND(Table2[[#This Row],[Need_RRA]]="Yes",  Table2[[#This Row],[RRA_pub_date]]=""),1, 0)))))</f>
        <v>0</v>
      </c>
      <c r="AO224" s="34">
        <f>IF(ISBLANK(Table2[[#This Row],[Need_EIS]]), 2,(IF(Table2[[#This Row],[Need_EIS]]="No", 0, (IF(AND(Table2[[#This Row],[Need_EIS]]="Yes",  Table2[[#This Row],[EIS_pub_date]]=""),1, 0)))))</f>
        <v>0</v>
      </c>
      <c r="AP224" s="34">
        <f>IF(ISBLANK(Table2[[#This Row],[Need_DON]]), 2,(IF(Table2[[#This Row],[Need_DON]]="No", 0, (IF(AND(Table2[[#This Row],[Need_DON]]="Yes",  Table2[[#This Row],[DON_pub_date]]=""),1, 0)))))</f>
        <v>0</v>
      </c>
      <c r="AQ224" s="34">
        <f>IF(ISBLANK(Table2[[#This Row],[Pending_question]]), 2,(IF(Table2[[#This Row],[Pending_question]]="Yes", 1, 0)))</f>
        <v>0</v>
      </c>
      <c r="AR224" s="43"/>
    </row>
    <row r="225" spans="1:44" ht="15" customHeight="1">
      <c r="A225" s="63">
        <v>44844</v>
      </c>
      <c r="B225" s="29" t="s">
        <v>15</v>
      </c>
      <c r="C225" s="34" t="str" cm="1">
        <f t="array" ref="C22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25" s="27" t="s">
        <v>1099</v>
      </c>
      <c r="E225" s="67" t="s">
        <v>233</v>
      </c>
      <c r="F225" s="29" t="s">
        <v>143</v>
      </c>
      <c r="G225" s="29" t="s">
        <v>34</v>
      </c>
      <c r="H225" s="59">
        <v>44844</v>
      </c>
      <c r="I225" s="59">
        <v>44847</v>
      </c>
      <c r="J225" s="59">
        <v>44841</v>
      </c>
      <c r="K225" s="59" t="s">
        <v>1116</v>
      </c>
      <c r="L225" s="112" t="s">
        <v>1117</v>
      </c>
      <c r="M225" s="70" t="s">
        <v>19</v>
      </c>
      <c r="N225" s="59"/>
      <c r="O225" s="85"/>
      <c r="P225" s="59" t="s">
        <v>19</v>
      </c>
      <c r="Q225" s="84"/>
      <c r="R225" s="29"/>
      <c r="S225" s="29"/>
      <c r="T225" s="59"/>
      <c r="U225" s="29"/>
      <c r="V225" s="29"/>
      <c r="W225" s="29"/>
      <c r="X225" s="27"/>
      <c r="Y225" s="29" t="s">
        <v>30</v>
      </c>
      <c r="Z225" s="29" t="s">
        <v>42</v>
      </c>
      <c r="AA225" s="29" t="s">
        <v>22</v>
      </c>
      <c r="AB225" s="29" t="s">
        <v>1118</v>
      </c>
      <c r="AC225" s="59">
        <v>44843</v>
      </c>
      <c r="AD225" s="59">
        <v>44843</v>
      </c>
      <c r="AE225" s="29"/>
      <c r="AF225" s="29"/>
      <c r="AG225" s="150">
        <v>44849</v>
      </c>
      <c r="AH225" s="85">
        <v>44849</v>
      </c>
      <c r="AI225" s="29" t="s">
        <v>19</v>
      </c>
      <c r="AJ225" s="139"/>
      <c r="AK225" s="27"/>
      <c r="AL225" s="102"/>
      <c r="AM225" s="41" t="str">
        <f>VLOOKUP(Table2[[#This Row],[country]],Countrycode!A:B,2,FALSE)</f>
        <v>BRA</v>
      </c>
      <c r="AN225" s="34">
        <f>IF(ISBLANK(Table2[[#This Row],[Need_RRA]]), 2,(IF(Table2[[#This Row],[Need_RRA]]="No", 0, (IF(AND(Table2[[#This Row],[Need_RRA]]="Yes",  Table2[[#This Row],[RRA_pub_date]]=""),1, 0)))))</f>
        <v>0</v>
      </c>
      <c r="AO225" s="34">
        <f>IF(ISBLANK(Table2[[#This Row],[Need_EIS]]), 2,(IF(Table2[[#This Row],[Need_EIS]]="No", 0, (IF(AND(Table2[[#This Row],[Need_EIS]]="Yes",  Table2[[#This Row],[EIS_pub_date]]=""),1, 0)))))</f>
        <v>0</v>
      </c>
      <c r="AP225" s="34">
        <f>IF(ISBLANK(Table2[[#This Row],[Need_DON]]), 2,(IF(Table2[[#This Row],[Need_DON]]="No", 0, (IF(AND(Table2[[#This Row],[Need_DON]]="Yes",  Table2[[#This Row],[DON_pub_date]]=""),1, 0)))))</f>
        <v>0</v>
      </c>
      <c r="AQ225" s="34">
        <f>IF(ISBLANK(Table2[[#This Row],[Pending_question]]), 2,(IF(Table2[[#This Row],[Pending_question]]="Yes", 1, 0)))</f>
        <v>0</v>
      </c>
      <c r="AR225" s="43"/>
    </row>
    <row r="226" spans="1:44" ht="15" customHeight="1">
      <c r="A226" s="63">
        <v>44844</v>
      </c>
      <c r="B226" s="29" t="s">
        <v>15</v>
      </c>
      <c r="C226" s="34" t="str" cm="1">
        <f t="array" ref="C22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26" s="27" t="s">
        <v>1119</v>
      </c>
      <c r="E226" s="70" t="s">
        <v>176</v>
      </c>
      <c r="F226" s="29" t="s">
        <v>232</v>
      </c>
      <c r="G226" s="29" t="s">
        <v>34</v>
      </c>
      <c r="H226" s="59">
        <v>44844</v>
      </c>
      <c r="I226" s="59"/>
      <c r="J226" s="55">
        <v>42838</v>
      </c>
      <c r="K226" s="55" t="s">
        <v>1120</v>
      </c>
      <c r="L226" s="104" t="s">
        <v>1121</v>
      </c>
      <c r="M226" s="70" t="s">
        <v>19</v>
      </c>
      <c r="N226" s="55"/>
      <c r="O226" s="85"/>
      <c r="P226" s="59" t="s">
        <v>30</v>
      </c>
      <c r="Q226" s="84">
        <v>1</v>
      </c>
      <c r="R226" s="29" t="s">
        <v>1122</v>
      </c>
      <c r="S226" s="59">
        <v>44980</v>
      </c>
      <c r="T226" s="59">
        <v>44998</v>
      </c>
      <c r="U226" s="59">
        <v>45027</v>
      </c>
      <c r="V226" s="29" t="s">
        <v>20</v>
      </c>
      <c r="W226" s="29" t="s">
        <v>32</v>
      </c>
      <c r="X226" s="27" t="s">
        <v>51</v>
      </c>
      <c r="Y226" s="29" t="s">
        <v>30</v>
      </c>
      <c r="Z226" s="29" t="s">
        <v>42</v>
      </c>
      <c r="AA226" s="29" t="s">
        <v>22</v>
      </c>
      <c r="AB226" s="16" t="s">
        <v>1123</v>
      </c>
      <c r="AC226" s="59">
        <v>45027</v>
      </c>
      <c r="AD226" s="59">
        <v>45029</v>
      </c>
      <c r="AE226" s="59">
        <v>45030</v>
      </c>
      <c r="AF226" s="29"/>
      <c r="AG226" s="29"/>
      <c r="AH226" s="85">
        <v>45033</v>
      </c>
      <c r="AI226" s="29" t="s">
        <v>30</v>
      </c>
      <c r="AJ226" s="59">
        <v>45034</v>
      </c>
      <c r="AK226" s="59">
        <v>45050</v>
      </c>
      <c r="AL226" s="102"/>
      <c r="AM226" s="41" t="str">
        <f>VLOOKUP(Table2[[#This Row],[country]],Countrycode!A:B,2,FALSE)</f>
        <v>ETH</v>
      </c>
      <c r="AN226" s="34">
        <f>IF(ISBLANK(Table2[[#This Row],[Need_RRA]]), 2,(IF(Table2[[#This Row],[Need_RRA]]="No", 0, (IF(AND(Table2[[#This Row],[Need_RRA]]="Yes",  Table2[[#This Row],[RRA_pub_date]]=""),1, 0)))))</f>
        <v>0</v>
      </c>
      <c r="AO226" s="34">
        <f>IF(ISBLANK(Table2[[#This Row],[Need_EIS]]), 2,(IF(Table2[[#This Row],[Need_EIS]]="No", 0, (IF(AND(Table2[[#This Row],[Need_EIS]]="Yes",  Table2[[#This Row],[EIS_pub_date]]=""),1, 0)))))</f>
        <v>0</v>
      </c>
      <c r="AP226" s="34">
        <f>IF(ISBLANK(Table2[[#This Row],[Need_DON]]), 2,(IF(Table2[[#This Row],[Need_DON]]="No", 0, (IF(AND(Table2[[#This Row],[Need_DON]]="Yes",  Table2[[#This Row],[DON_pub_date]]=""),1, 0)))))</f>
        <v>0</v>
      </c>
      <c r="AQ226" s="34">
        <f>IF(ISBLANK(Table2[[#This Row],[Pending_question]]), 2,(IF(Table2[[#This Row],[Pending_question]]="Yes", 1, 0)))</f>
        <v>0</v>
      </c>
      <c r="AR226" s="43"/>
    </row>
    <row r="227" spans="1:44" ht="15" customHeight="1">
      <c r="A227" s="63">
        <v>44844</v>
      </c>
      <c r="B227" s="29" t="s">
        <v>15</v>
      </c>
      <c r="C227" s="34" t="str" cm="1">
        <f t="array" ref="C22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27" s="27" t="s">
        <v>1124</v>
      </c>
      <c r="E227" s="70" t="s">
        <v>128</v>
      </c>
      <c r="F227" s="29" t="s">
        <v>293</v>
      </c>
      <c r="G227" s="29" t="s">
        <v>34</v>
      </c>
      <c r="H227" s="59">
        <v>44844</v>
      </c>
      <c r="I227" s="59">
        <v>44847</v>
      </c>
      <c r="J227" s="59">
        <v>44843</v>
      </c>
      <c r="K227" s="59" t="s">
        <v>1125</v>
      </c>
      <c r="L227" s="112" t="s">
        <v>1126</v>
      </c>
      <c r="M227" s="70" t="s">
        <v>19</v>
      </c>
      <c r="N227" s="59"/>
      <c r="O227" s="85"/>
      <c r="P227" s="59" t="s">
        <v>30</v>
      </c>
      <c r="Q227" s="84">
        <v>1</v>
      </c>
      <c r="R227" s="29" t="s">
        <v>1127</v>
      </c>
      <c r="S227" s="59">
        <v>44847</v>
      </c>
      <c r="T227" s="59">
        <v>44847</v>
      </c>
      <c r="U227" s="59">
        <v>44851</v>
      </c>
      <c r="V227" s="29" t="s">
        <v>41</v>
      </c>
      <c r="W227" s="29" t="s">
        <v>20</v>
      </c>
      <c r="X227" s="27" t="s">
        <v>51</v>
      </c>
      <c r="Y227" s="29" t="s">
        <v>30</v>
      </c>
      <c r="Z227" s="29" t="s">
        <v>42</v>
      </c>
      <c r="AA227" s="29" t="s">
        <v>22</v>
      </c>
      <c r="AB227" s="187" t="s">
        <v>1128</v>
      </c>
      <c r="AC227" s="59">
        <v>44844</v>
      </c>
      <c r="AD227" s="301">
        <v>44844</v>
      </c>
      <c r="AE227" s="59">
        <v>44844</v>
      </c>
      <c r="AF227" s="59">
        <v>44844</v>
      </c>
      <c r="AG227" s="29"/>
      <c r="AH227" s="85">
        <v>44847</v>
      </c>
      <c r="AI227" s="29" t="s">
        <v>30</v>
      </c>
      <c r="AJ227" s="139">
        <v>44847</v>
      </c>
      <c r="AK227" s="85">
        <v>44853</v>
      </c>
      <c r="AL227" s="102"/>
      <c r="AM227" s="41" t="str">
        <f>VLOOKUP(Table2[[#This Row],[country]],Countrycode!A:B,2,FALSE)</f>
        <v>LBN</v>
      </c>
      <c r="AN227" s="34">
        <f>IF(ISBLANK(Table2[[#This Row],[Need_RRA]]), 2,(IF(Table2[[#This Row],[Need_RRA]]="No", 0, (IF(AND(Table2[[#This Row],[Need_RRA]]="Yes",  Table2[[#This Row],[RRA_pub_date]]=""),1, 0)))))</f>
        <v>0</v>
      </c>
      <c r="AO227" s="34">
        <f>IF(ISBLANK(Table2[[#This Row],[Need_EIS]]), 2,(IF(Table2[[#This Row],[Need_EIS]]="No", 0, (IF(AND(Table2[[#This Row],[Need_EIS]]="Yes",  Table2[[#This Row],[EIS_pub_date]]=""),1, 0)))))</f>
        <v>0</v>
      </c>
      <c r="AP227" s="34">
        <f>IF(ISBLANK(Table2[[#This Row],[Need_DON]]), 2,(IF(Table2[[#This Row],[Need_DON]]="No", 0, (IF(AND(Table2[[#This Row],[Need_DON]]="Yes",  Table2[[#This Row],[DON_pub_date]]=""),1, 0)))))</f>
        <v>0</v>
      </c>
      <c r="AQ227" s="34">
        <f>IF(ISBLANK(Table2[[#This Row],[Pending_question]]), 2,(IF(Table2[[#This Row],[Pending_question]]="Yes", 1, 0)))</f>
        <v>0</v>
      </c>
      <c r="AR227" s="43"/>
    </row>
    <row r="228" spans="1:44" ht="15" customHeight="1">
      <c r="A228" s="63">
        <v>44848</v>
      </c>
      <c r="B228" s="29" t="s">
        <v>15</v>
      </c>
      <c r="C228" s="34" t="str" cm="1">
        <f t="array" ref="C22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28" s="27" t="s">
        <v>1129</v>
      </c>
      <c r="E228" s="359" t="s">
        <v>233</v>
      </c>
      <c r="F228" s="29" t="s">
        <v>323</v>
      </c>
      <c r="G228" s="29" t="s">
        <v>34</v>
      </c>
      <c r="H228" s="59">
        <v>44848</v>
      </c>
      <c r="I228" s="59">
        <v>44852</v>
      </c>
      <c r="J228" s="59">
        <v>44848</v>
      </c>
      <c r="K228" s="59" t="s">
        <v>1130</v>
      </c>
      <c r="L228" s="112" t="s">
        <v>1131</v>
      </c>
      <c r="M228" s="70" t="s">
        <v>19</v>
      </c>
      <c r="N228" s="59"/>
      <c r="O228" s="85"/>
      <c r="P228" s="59" t="s">
        <v>19</v>
      </c>
      <c r="Q228" s="84"/>
      <c r="R228" s="29"/>
      <c r="S228" s="29"/>
      <c r="T228" s="59"/>
      <c r="U228" s="29"/>
      <c r="V228" s="29"/>
      <c r="W228" s="29"/>
      <c r="X228" s="27"/>
      <c r="Y228" s="29" t="s">
        <v>30</v>
      </c>
      <c r="Z228" s="29" t="s">
        <v>42</v>
      </c>
      <c r="AA228" s="29" t="s">
        <v>22</v>
      </c>
      <c r="AB228" s="359" t="s">
        <v>1132</v>
      </c>
      <c r="AC228" s="59">
        <v>44848</v>
      </c>
      <c r="AD228" s="385">
        <v>44848</v>
      </c>
      <c r="AE228" s="59">
        <v>44851</v>
      </c>
      <c r="AF228" s="29"/>
      <c r="AG228" s="59">
        <v>44852</v>
      </c>
      <c r="AH228" s="85">
        <v>44852</v>
      </c>
      <c r="AI228" s="29" t="s">
        <v>19</v>
      </c>
      <c r="AJ228" s="139"/>
      <c r="AK228" s="27"/>
      <c r="AL228" s="102"/>
      <c r="AM228" s="41" t="str">
        <f>VLOOKUP(Table2[[#This Row],[country]],Countrycode!A:B,2,FALSE)</f>
        <v>NLD</v>
      </c>
      <c r="AN228" s="34">
        <f>IF(ISBLANK(Table2[[#This Row],[Need_RRA]]), 2,(IF(Table2[[#This Row],[Need_RRA]]="No", 0, (IF(AND(Table2[[#This Row],[Need_RRA]]="Yes",  Table2[[#This Row],[RRA_pub_date]]=""),1, 0)))))</f>
        <v>0</v>
      </c>
      <c r="AO228" s="34">
        <f>IF(ISBLANK(Table2[[#This Row],[Need_EIS]]), 2,(IF(Table2[[#This Row],[Need_EIS]]="No", 0, (IF(AND(Table2[[#This Row],[Need_EIS]]="Yes",  Table2[[#This Row],[EIS_pub_date]]=""),1, 0)))))</f>
        <v>0</v>
      </c>
      <c r="AP228" s="34">
        <f>IF(ISBLANK(Table2[[#This Row],[Need_DON]]), 2,(IF(Table2[[#This Row],[Need_DON]]="No", 0, (IF(AND(Table2[[#This Row],[Need_DON]]="Yes",  Table2[[#This Row],[DON_pub_date]]=""),1, 0)))))</f>
        <v>0</v>
      </c>
      <c r="AQ228" s="34">
        <f>IF(ISBLANK(Table2[[#This Row],[Pending_question]]), 2,(IF(Table2[[#This Row],[Pending_question]]="Yes", 1, 0)))</f>
        <v>0</v>
      </c>
      <c r="AR228" s="43"/>
    </row>
    <row r="229" spans="1:44" ht="15" customHeight="1">
      <c r="A229" s="63">
        <v>44848</v>
      </c>
      <c r="B229" s="29" t="s">
        <v>15</v>
      </c>
      <c r="C229" s="34" t="str" cm="1">
        <f t="array" ref="C22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29" s="27" t="s">
        <v>1133</v>
      </c>
      <c r="E229" s="187" t="s">
        <v>176</v>
      </c>
      <c r="F229" s="29" t="s">
        <v>374</v>
      </c>
      <c r="G229" s="29" t="s">
        <v>34</v>
      </c>
      <c r="H229" s="59">
        <v>44848</v>
      </c>
      <c r="I229" s="59">
        <v>44848</v>
      </c>
      <c r="J229" s="59">
        <v>44911</v>
      </c>
      <c r="K229" s="59" t="s">
        <v>1134</v>
      </c>
      <c r="L229" s="85" t="s">
        <v>1135</v>
      </c>
      <c r="M229" s="70" t="s">
        <v>19</v>
      </c>
      <c r="N229" s="59"/>
      <c r="O229" s="85"/>
      <c r="P229" s="59" t="s">
        <v>30</v>
      </c>
      <c r="Q229" s="84">
        <v>1</v>
      </c>
      <c r="R229" s="29" t="s">
        <v>1136</v>
      </c>
      <c r="S229" s="59">
        <v>44965</v>
      </c>
      <c r="T229" s="59">
        <v>44965</v>
      </c>
      <c r="U229" s="59">
        <v>44980</v>
      </c>
      <c r="V229" s="29" t="s">
        <v>20</v>
      </c>
      <c r="W229" s="29" t="s">
        <v>32</v>
      </c>
      <c r="X229" s="27" t="s">
        <v>51</v>
      </c>
      <c r="Y229" s="29" t="s">
        <v>30</v>
      </c>
      <c r="Z229" s="29" t="s">
        <v>42</v>
      </c>
      <c r="AA229" s="29" t="s">
        <v>22</v>
      </c>
      <c r="AB229" s="187" t="s">
        <v>1137</v>
      </c>
      <c r="AC229" s="59">
        <v>44980</v>
      </c>
      <c r="AD229" s="301">
        <v>44992</v>
      </c>
      <c r="AE229" s="59">
        <v>44994</v>
      </c>
      <c r="AF229" s="29"/>
      <c r="AG229" s="29"/>
      <c r="AH229" s="85">
        <v>44999</v>
      </c>
      <c r="AI229" s="29" t="s">
        <v>30</v>
      </c>
      <c r="AJ229" s="139">
        <v>44999</v>
      </c>
      <c r="AK229" s="85">
        <v>45006</v>
      </c>
      <c r="AL229" s="102"/>
      <c r="AM229" s="41" t="str">
        <f>VLOOKUP(Table2[[#This Row],[country]],Countrycode!A:B,2,FALSE)</f>
        <v>ZAF</v>
      </c>
      <c r="AN229" s="34">
        <f>IF(ISBLANK(Table2[[#This Row],[Need_RRA]]), 2,(IF(Table2[[#This Row],[Need_RRA]]="No", 0, (IF(AND(Table2[[#This Row],[Need_RRA]]="Yes",  Table2[[#This Row],[RRA_pub_date]]=""),1, 0)))))</f>
        <v>0</v>
      </c>
      <c r="AO229" s="34">
        <f>IF(ISBLANK(Table2[[#This Row],[Need_EIS]]), 2,(IF(Table2[[#This Row],[Need_EIS]]="No", 0, (IF(AND(Table2[[#This Row],[Need_EIS]]="Yes",  Table2[[#This Row],[EIS_pub_date]]=""),1, 0)))))</f>
        <v>0</v>
      </c>
      <c r="AP229" s="34">
        <f>IF(ISBLANK(Table2[[#This Row],[Need_DON]]), 2,(IF(Table2[[#This Row],[Need_DON]]="No", 0, (IF(AND(Table2[[#This Row],[Need_DON]]="Yes",  Table2[[#This Row],[DON_pub_date]]=""),1, 0)))))</f>
        <v>0</v>
      </c>
      <c r="AQ229" s="34">
        <f>IF(ISBLANK(Table2[[#This Row],[Pending_question]]), 2,(IF(Table2[[#This Row],[Pending_question]]="Yes", 1, 0)))</f>
        <v>0</v>
      </c>
      <c r="AR229" s="43"/>
    </row>
    <row r="230" spans="1:44" ht="15" customHeight="1">
      <c r="A230" s="63">
        <v>44850</v>
      </c>
      <c r="B230" s="29" t="s">
        <v>15</v>
      </c>
      <c r="C230" s="34" t="str" cm="1">
        <f t="array" ref="C23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30" s="27" t="s">
        <v>1129</v>
      </c>
      <c r="E230" s="290" t="s">
        <v>110</v>
      </c>
      <c r="F230" s="29" t="s">
        <v>173</v>
      </c>
      <c r="G230" s="29" t="s">
        <v>34</v>
      </c>
      <c r="H230" s="59">
        <v>44850</v>
      </c>
      <c r="I230" s="59">
        <v>44854</v>
      </c>
      <c r="J230" s="59">
        <v>44851</v>
      </c>
      <c r="K230" s="59" t="s">
        <v>694</v>
      </c>
      <c r="L230" s="112" t="s">
        <v>795</v>
      </c>
      <c r="M230" s="70" t="s">
        <v>19</v>
      </c>
      <c r="N230" s="59"/>
      <c r="O230" s="85"/>
      <c r="P230" s="59" t="s">
        <v>19</v>
      </c>
      <c r="Q230" s="84"/>
      <c r="R230" s="29"/>
      <c r="S230" s="29"/>
      <c r="T230" s="59"/>
      <c r="U230" s="29"/>
      <c r="V230" s="29"/>
      <c r="W230" s="29"/>
      <c r="X230" s="27"/>
      <c r="Y230" s="29" t="s">
        <v>30</v>
      </c>
      <c r="Z230" s="29" t="s">
        <v>42</v>
      </c>
      <c r="AA230" s="29" t="s">
        <v>22</v>
      </c>
      <c r="AB230" s="359" t="s">
        <v>1138</v>
      </c>
      <c r="AC230" s="59">
        <v>44849</v>
      </c>
      <c r="AD230" s="300">
        <v>44850</v>
      </c>
      <c r="AE230" s="59">
        <v>44851</v>
      </c>
      <c r="AF230" s="59">
        <v>44852</v>
      </c>
      <c r="AG230" s="59">
        <v>44884</v>
      </c>
      <c r="AH230" s="85">
        <v>44887</v>
      </c>
      <c r="AI230" s="29" t="s">
        <v>19</v>
      </c>
      <c r="AJ230" s="59"/>
      <c r="AK230" s="29"/>
      <c r="AL230" s="102"/>
      <c r="AM230" s="41" t="str">
        <f>VLOOKUP(Table2[[#This Row],[country]],Countrycode!A:B,2,FALSE)</f>
        <v>CHN</v>
      </c>
      <c r="AN230" s="34">
        <f>IF(ISBLANK(Table2[[#This Row],[Need_RRA]]), 2,(IF(Table2[[#This Row],[Need_RRA]]="No", 0, (IF(AND(Table2[[#This Row],[Need_RRA]]="Yes",  Table2[[#This Row],[RRA_pub_date]]=""),1, 0)))))</f>
        <v>0</v>
      </c>
      <c r="AO230" s="34">
        <f>IF(ISBLANK(Table2[[#This Row],[Need_EIS]]), 2,(IF(Table2[[#This Row],[Need_EIS]]="No", 0, (IF(AND(Table2[[#This Row],[Need_EIS]]="Yes",  Table2[[#This Row],[EIS_pub_date]]=""),1, 0)))))</f>
        <v>0</v>
      </c>
      <c r="AP230" s="34">
        <f>IF(ISBLANK(Table2[[#This Row],[Need_DON]]), 2,(IF(Table2[[#This Row],[Need_DON]]="No", 0, (IF(AND(Table2[[#This Row],[Need_DON]]="Yes",  Table2[[#This Row],[DON_pub_date]]=""),1, 0)))))</f>
        <v>0</v>
      </c>
      <c r="AQ230" s="34">
        <f>IF(ISBLANK(Table2[[#This Row],[Pending_question]]), 2,(IF(Table2[[#This Row],[Pending_question]]="Yes", 1, 0)))</f>
        <v>0</v>
      </c>
      <c r="AR230" s="43"/>
    </row>
    <row r="231" spans="1:44" ht="15" customHeight="1">
      <c r="A231" s="63">
        <v>44850</v>
      </c>
      <c r="B231" s="29" t="s">
        <v>15</v>
      </c>
      <c r="C231" s="34" t="str" cm="1">
        <f t="array" ref="C23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31" s="27" t="s">
        <v>1129</v>
      </c>
      <c r="E231" s="367" t="s">
        <v>99</v>
      </c>
      <c r="F231" s="29" t="s">
        <v>173</v>
      </c>
      <c r="G231" s="29" t="s">
        <v>34</v>
      </c>
      <c r="H231" s="59">
        <v>44850</v>
      </c>
      <c r="I231" s="59">
        <v>44854</v>
      </c>
      <c r="J231" s="59">
        <v>44851</v>
      </c>
      <c r="K231" s="59" t="s">
        <v>1139</v>
      </c>
      <c r="L231" s="112" t="s">
        <v>1140</v>
      </c>
      <c r="M231" s="70" t="s">
        <v>19</v>
      </c>
      <c r="N231" s="59"/>
      <c r="O231" s="85"/>
      <c r="P231" s="59" t="s">
        <v>19</v>
      </c>
      <c r="Q231" s="84"/>
      <c r="R231" s="29"/>
      <c r="S231" s="29"/>
      <c r="T231" s="59"/>
      <c r="U231" s="29"/>
      <c r="V231" s="29"/>
      <c r="W231" s="29"/>
      <c r="X231" s="27"/>
      <c r="Y231" s="29" t="s">
        <v>30</v>
      </c>
      <c r="Z231" s="29" t="s">
        <v>42</v>
      </c>
      <c r="AA231" s="29" t="s">
        <v>22</v>
      </c>
      <c r="AB231" s="263" t="s">
        <v>1138</v>
      </c>
      <c r="AC231" s="59">
        <v>44849</v>
      </c>
      <c r="AD231" s="300">
        <v>44850</v>
      </c>
      <c r="AE231" s="29" t="s">
        <v>1141</v>
      </c>
      <c r="AF231" s="59">
        <v>44852</v>
      </c>
      <c r="AG231" s="59">
        <v>44884</v>
      </c>
      <c r="AH231" s="85">
        <v>44889</v>
      </c>
      <c r="AI231" s="29" t="s">
        <v>19</v>
      </c>
      <c r="AJ231" s="139"/>
      <c r="AK231" s="27"/>
      <c r="AL231" s="102"/>
      <c r="AM231" s="41" t="str">
        <f>VLOOKUP(Table2[[#This Row],[country]],Countrycode!A:B,2,FALSE)</f>
        <v>CHN</v>
      </c>
      <c r="AN231" s="34">
        <f>IF(ISBLANK(Table2[[#This Row],[Need_RRA]]), 2,(IF(Table2[[#This Row],[Need_RRA]]="No", 0, (IF(AND(Table2[[#This Row],[Need_RRA]]="Yes",  Table2[[#This Row],[RRA_pub_date]]=""),1, 0)))))</f>
        <v>0</v>
      </c>
      <c r="AO231" s="34">
        <f>IF(ISBLANK(Table2[[#This Row],[Need_EIS]]), 2,(IF(Table2[[#This Row],[Need_EIS]]="No", 0, (IF(AND(Table2[[#This Row],[Need_EIS]]="Yes",  Table2[[#This Row],[EIS_pub_date]]=""),1, 0)))))</f>
        <v>0</v>
      </c>
      <c r="AP231" s="34">
        <f>IF(ISBLANK(Table2[[#This Row],[Need_DON]]), 2,(IF(Table2[[#This Row],[Need_DON]]="No", 0, (IF(AND(Table2[[#This Row],[Need_DON]]="Yes",  Table2[[#This Row],[DON_pub_date]]=""),1, 0)))))</f>
        <v>0</v>
      </c>
      <c r="AQ231" s="34">
        <f>IF(ISBLANK(Table2[[#This Row],[Pending_question]]), 2,(IF(Table2[[#This Row],[Pending_question]]="Yes", 1, 0)))</f>
        <v>0</v>
      </c>
      <c r="AR231" s="43"/>
    </row>
    <row r="232" spans="1:44" ht="15" customHeight="1">
      <c r="A232" s="63">
        <v>44854</v>
      </c>
      <c r="B232" s="29" t="s">
        <v>15</v>
      </c>
      <c r="C232" s="34" t="str" cm="1">
        <f t="array" ref="C23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32" s="27" t="s">
        <v>1077</v>
      </c>
      <c r="E232" s="67" t="s">
        <v>128</v>
      </c>
      <c r="F232" s="29" t="s">
        <v>93</v>
      </c>
      <c r="G232" s="29" t="s">
        <v>93</v>
      </c>
      <c r="H232" s="29"/>
      <c r="I232" s="59"/>
      <c r="J232" s="29"/>
      <c r="K232" s="59"/>
      <c r="L232" s="85"/>
      <c r="M232" s="70" t="s">
        <v>19</v>
      </c>
      <c r="N232" s="59"/>
      <c r="O232" s="85"/>
      <c r="P232" s="59" t="s">
        <v>30</v>
      </c>
      <c r="Q232" s="84">
        <v>1</v>
      </c>
      <c r="R232" s="29" t="s">
        <v>1142</v>
      </c>
      <c r="S232" s="59">
        <v>44854</v>
      </c>
      <c r="T232" s="59">
        <v>44854</v>
      </c>
      <c r="U232" s="59">
        <v>44860</v>
      </c>
      <c r="V232" s="29" t="s">
        <v>34</v>
      </c>
      <c r="W232" s="29" t="s">
        <v>34</v>
      </c>
      <c r="X232" s="27" t="s">
        <v>41</v>
      </c>
      <c r="Y232" s="29" t="s">
        <v>19</v>
      </c>
      <c r="Z232" s="29"/>
      <c r="AA232" s="29"/>
      <c r="AB232" s="29"/>
      <c r="AC232" s="59" t="s">
        <v>34</v>
      </c>
      <c r="AD232" s="59" t="s">
        <v>34</v>
      </c>
      <c r="AE232" s="59" t="s">
        <v>34</v>
      </c>
      <c r="AF232" s="59" t="s">
        <v>34</v>
      </c>
      <c r="AG232" s="59" t="s">
        <v>34</v>
      </c>
      <c r="AH232" s="27" t="s">
        <v>34</v>
      </c>
      <c r="AI232" s="29" t="s">
        <v>30</v>
      </c>
      <c r="AJ232" s="139">
        <v>44874</v>
      </c>
      <c r="AK232" s="151">
        <v>44911</v>
      </c>
      <c r="AL232" s="102"/>
      <c r="AM232" s="41" t="e">
        <f>VLOOKUP(Table2[[#This Row],[country]],Countrycode!A:B,2,FALSE)</f>
        <v>#N/A</v>
      </c>
      <c r="AN232" s="34">
        <f>IF(ISBLANK(Table2[[#This Row],[Need_RRA]]), 2,(IF(Table2[[#This Row],[Need_RRA]]="No", 0, (IF(AND(Table2[[#This Row],[Need_RRA]]="Yes",  Table2[[#This Row],[RRA_pub_date]]=""),1, 0)))))</f>
        <v>0</v>
      </c>
      <c r="AO232" s="34">
        <f>IF(ISBLANK(Table2[[#This Row],[Need_EIS]]), 2,(IF(Table2[[#This Row],[Need_EIS]]="No", 0, (IF(AND(Table2[[#This Row],[Need_EIS]]="Yes",  Table2[[#This Row],[EIS_pub_date]]=""),1, 0)))))</f>
        <v>0</v>
      </c>
      <c r="AP232" s="34">
        <f>IF(ISBLANK(Table2[[#This Row],[Need_DON]]), 2,(IF(Table2[[#This Row],[Need_DON]]="No", 0, (IF(AND(Table2[[#This Row],[Need_DON]]="Yes",  Table2[[#This Row],[DON_pub_date]]=""),1, 0)))))</f>
        <v>0</v>
      </c>
      <c r="AQ232" s="34">
        <f>IF(ISBLANK(Table2[[#This Row],[Pending_question]]), 2,(IF(Table2[[#This Row],[Pending_question]]="Yes", 1, 0)))</f>
        <v>0</v>
      </c>
      <c r="AR232" s="43"/>
    </row>
    <row r="233" spans="1:44" ht="15" customHeight="1">
      <c r="A233" s="63">
        <v>44858</v>
      </c>
      <c r="B233" s="29" t="s">
        <v>15</v>
      </c>
      <c r="C233" s="34" t="str" cm="1">
        <f t="array" ref="C23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33" s="27" t="s">
        <v>833</v>
      </c>
      <c r="E233" s="67" t="s">
        <v>99</v>
      </c>
      <c r="F233" s="29" t="s">
        <v>377</v>
      </c>
      <c r="G233" s="29" t="s">
        <v>34</v>
      </c>
      <c r="H233" s="59">
        <v>44858</v>
      </c>
      <c r="I233" s="59">
        <v>44861</v>
      </c>
      <c r="J233" s="59">
        <v>44855</v>
      </c>
      <c r="K233" s="59" t="s">
        <v>1103</v>
      </c>
      <c r="L233" s="112" t="s">
        <v>1104</v>
      </c>
      <c r="M233" s="70" t="s">
        <v>19</v>
      </c>
      <c r="N233" s="59"/>
      <c r="O233" s="85"/>
      <c r="P233" s="59" t="s">
        <v>19</v>
      </c>
      <c r="Q233" s="84"/>
      <c r="R233" s="29"/>
      <c r="S233" s="29"/>
      <c r="T233" s="59"/>
      <c r="U233" s="29"/>
      <c r="V233" s="29"/>
      <c r="W233" s="29"/>
      <c r="X233" s="27"/>
      <c r="Y233" s="29" t="s">
        <v>30</v>
      </c>
      <c r="Z233" s="29" t="s">
        <v>21</v>
      </c>
      <c r="AA233" s="29" t="s">
        <v>22</v>
      </c>
      <c r="AB233" s="263" t="s">
        <v>1143</v>
      </c>
      <c r="AC233" s="59">
        <v>44855</v>
      </c>
      <c r="AD233" s="59">
        <v>44855</v>
      </c>
      <c r="AE233" s="59">
        <v>44858</v>
      </c>
      <c r="AF233" s="59">
        <v>44859</v>
      </c>
      <c r="AG233" s="85">
        <v>44860</v>
      </c>
      <c r="AH233" s="85">
        <v>44860</v>
      </c>
      <c r="AI233" s="29" t="s">
        <v>30</v>
      </c>
      <c r="AJ233" s="139">
        <v>44859</v>
      </c>
      <c r="AK233" s="85">
        <v>44869</v>
      </c>
      <c r="AL233" s="158" t="s">
        <v>1144</v>
      </c>
      <c r="AM233" s="194" t="str">
        <f>VLOOKUP(Table2[[#This Row],[country]],Countrycode!A:B,2,FALSE)</f>
        <v>ESP</v>
      </c>
      <c r="AN233" s="34">
        <f>IF(ISBLANK(Table2[[#This Row],[Need_RRA]]), 2,(IF(Table2[[#This Row],[Need_RRA]]="No", 0, (IF(AND(Table2[[#This Row],[Need_RRA]]="Yes",  Table2[[#This Row],[RRA_pub_date]]=""),1, 0)))))</f>
        <v>0</v>
      </c>
      <c r="AO233" s="34">
        <f>IF(ISBLANK(Table2[[#This Row],[Need_EIS]]), 2,(IF(Table2[[#This Row],[Need_EIS]]="No", 0, (IF(AND(Table2[[#This Row],[Need_EIS]]="Yes",  Table2[[#This Row],[EIS_pub_date]]=""),1, 0)))))</f>
        <v>0</v>
      </c>
      <c r="AP233" s="34">
        <f>IF(ISBLANK(Table2[[#This Row],[Need_DON]]), 2,(IF(Table2[[#This Row],[Need_DON]]="No", 0, (IF(AND(Table2[[#This Row],[Need_DON]]="Yes",  Table2[[#This Row],[DON_pub_date]]=""),1, 0)))))</f>
        <v>0</v>
      </c>
      <c r="AQ233" s="34">
        <f>IF(ISBLANK(Table2[[#This Row],[Pending_question]]), 2,(IF(Table2[[#This Row],[Pending_question]]="Yes", 1, 0)))</f>
        <v>0</v>
      </c>
      <c r="AR233" s="43"/>
    </row>
    <row r="234" spans="1:44" ht="15" customHeight="1">
      <c r="A234" s="63">
        <v>44858</v>
      </c>
      <c r="B234" s="29" t="s">
        <v>15</v>
      </c>
      <c r="C234" s="34" t="str" cm="1">
        <f t="array" ref="C23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34" s="27" t="s">
        <v>833</v>
      </c>
      <c r="E234" s="67" t="s">
        <v>1145</v>
      </c>
      <c r="F234" s="29" t="s">
        <v>409</v>
      </c>
      <c r="G234" s="29" t="s">
        <v>34</v>
      </c>
      <c r="H234" s="59">
        <v>44858</v>
      </c>
      <c r="I234" s="59">
        <v>44861</v>
      </c>
      <c r="J234" s="59">
        <v>44858</v>
      </c>
      <c r="K234" s="59" t="s">
        <v>1146</v>
      </c>
      <c r="L234" s="112" t="s">
        <v>1147</v>
      </c>
      <c r="M234" s="70" t="s">
        <v>19</v>
      </c>
      <c r="N234" s="59"/>
      <c r="O234" s="85"/>
      <c r="P234" s="59" t="s">
        <v>19</v>
      </c>
      <c r="Q234" s="84"/>
      <c r="R234" s="29"/>
      <c r="S234" s="29"/>
      <c r="T234" s="59"/>
      <c r="U234" s="29"/>
      <c r="V234" s="29"/>
      <c r="W234" s="29"/>
      <c r="X234" s="27"/>
      <c r="Y234" s="29" t="s">
        <v>30</v>
      </c>
      <c r="Z234" s="29" t="s">
        <v>42</v>
      </c>
      <c r="AA234" s="29" t="s">
        <v>22</v>
      </c>
      <c r="AB234" s="122" t="s">
        <v>1148</v>
      </c>
      <c r="AC234" s="59">
        <v>44855</v>
      </c>
      <c r="AD234" s="59">
        <v>44856</v>
      </c>
      <c r="AE234" s="59">
        <v>44859</v>
      </c>
      <c r="AF234" s="59">
        <v>44860</v>
      </c>
      <c r="AG234" s="59">
        <v>44861</v>
      </c>
      <c r="AH234" s="85">
        <v>44861</v>
      </c>
      <c r="AI234" s="29" t="s">
        <v>19</v>
      </c>
      <c r="AJ234" s="139"/>
      <c r="AK234" s="27"/>
      <c r="AL234" s="158" t="s">
        <v>1149</v>
      </c>
      <c r="AM234" s="194" t="str">
        <f>VLOOKUP(Table2[[#This Row],[country]],Countrycode!A:B,2,FALSE)</f>
        <v>VNM</v>
      </c>
      <c r="AN234" s="34">
        <f>IF(ISBLANK(Table2[[#This Row],[Need_RRA]]), 2,(IF(Table2[[#This Row],[Need_RRA]]="No", 0, (IF(AND(Table2[[#This Row],[Need_RRA]]="Yes",  Table2[[#This Row],[RRA_pub_date]]=""),1, 0)))))</f>
        <v>0</v>
      </c>
      <c r="AO234" s="34">
        <f>IF(ISBLANK(Table2[[#This Row],[Need_EIS]]), 2,(IF(Table2[[#This Row],[Need_EIS]]="No", 0, (IF(AND(Table2[[#This Row],[Need_EIS]]="Yes",  Table2[[#This Row],[EIS_pub_date]]=""),1, 0)))))</f>
        <v>0</v>
      </c>
      <c r="AP234" s="34">
        <f>IF(ISBLANK(Table2[[#This Row],[Need_DON]]), 2,(IF(Table2[[#This Row],[Need_DON]]="No", 0, (IF(AND(Table2[[#This Row],[Need_DON]]="Yes",  Table2[[#This Row],[DON_pub_date]]=""),1, 0)))))</f>
        <v>0</v>
      </c>
      <c r="AQ234" s="34">
        <f>IF(ISBLANK(Table2[[#This Row],[Pending_question]]), 2,(IF(Table2[[#This Row],[Pending_question]]="Yes", 1, 0)))</f>
        <v>0</v>
      </c>
      <c r="AR234" s="43"/>
    </row>
    <row r="235" spans="1:44" ht="15" customHeight="1">
      <c r="A235" s="63">
        <v>44861</v>
      </c>
      <c r="B235" s="29" t="s">
        <v>15</v>
      </c>
      <c r="C235" s="34" t="str" cm="1">
        <f t="array" ref="C23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35" s="27" t="s">
        <v>1150</v>
      </c>
      <c r="E235" s="67" t="s">
        <v>252</v>
      </c>
      <c r="F235" s="29" t="s">
        <v>39</v>
      </c>
      <c r="G235" s="29" t="s">
        <v>660</v>
      </c>
      <c r="H235" s="59">
        <v>44861</v>
      </c>
      <c r="I235" s="59">
        <v>44914</v>
      </c>
      <c r="J235" s="59">
        <v>44883</v>
      </c>
      <c r="K235" s="59" t="s">
        <v>661</v>
      </c>
      <c r="L235" s="104" t="s">
        <v>645</v>
      </c>
      <c r="M235" s="70" t="s">
        <v>19</v>
      </c>
      <c r="N235" s="59"/>
      <c r="O235" s="85"/>
      <c r="P235" s="59" t="s">
        <v>30</v>
      </c>
      <c r="Q235" s="84">
        <v>3</v>
      </c>
      <c r="R235" s="29" t="s">
        <v>1151</v>
      </c>
      <c r="S235" s="59">
        <v>44886</v>
      </c>
      <c r="T235" s="59">
        <v>44887</v>
      </c>
      <c r="U235" s="59">
        <v>44908</v>
      </c>
      <c r="V235" s="29" t="s">
        <v>34</v>
      </c>
      <c r="W235" s="29" t="s">
        <v>32</v>
      </c>
      <c r="X235" s="27" t="s">
        <v>51</v>
      </c>
      <c r="Y235" s="29" t="s">
        <v>30</v>
      </c>
      <c r="Z235" s="29" t="s">
        <v>33</v>
      </c>
      <c r="AA235" s="29" t="s">
        <v>22</v>
      </c>
      <c r="AB235" s="29" t="s">
        <v>1152</v>
      </c>
      <c r="AC235" s="59">
        <v>44908</v>
      </c>
      <c r="AD235" s="59">
        <v>44912</v>
      </c>
      <c r="AE235" s="59">
        <v>44913</v>
      </c>
      <c r="AF235" s="29"/>
      <c r="AG235" s="29"/>
      <c r="AH235" s="85">
        <v>44917</v>
      </c>
      <c r="AI235" s="29" t="s">
        <v>30</v>
      </c>
      <c r="AJ235" s="139">
        <v>44917</v>
      </c>
      <c r="AK235" s="139">
        <v>44929</v>
      </c>
      <c r="AL235" s="102"/>
      <c r="AM235" s="41" t="str">
        <f>VLOOKUP(Table2[[#This Row],[country]],Countrycode!A:B,2,FALSE)</f>
        <v>MLX</v>
      </c>
      <c r="AN235" s="34">
        <f>IF(ISBLANK(Table2[[#This Row],[Need_RRA]]), 2,(IF(Table2[[#This Row],[Need_RRA]]="No", 0, (IF(AND(Table2[[#This Row],[Need_RRA]]="Yes",  Table2[[#This Row],[RRA_pub_date]]=""),1, 0)))))</f>
        <v>0</v>
      </c>
      <c r="AO235" s="34">
        <f>IF(ISBLANK(Table2[[#This Row],[Need_EIS]]), 2,(IF(Table2[[#This Row],[Need_EIS]]="No", 0, (IF(AND(Table2[[#This Row],[Need_EIS]]="Yes",  Table2[[#This Row],[EIS_pub_date]]=""),1, 0)))))</f>
        <v>0</v>
      </c>
      <c r="AP235" s="34">
        <f>IF(ISBLANK(Table2[[#This Row],[Need_DON]]), 2,(IF(Table2[[#This Row],[Need_DON]]="No", 0, (IF(AND(Table2[[#This Row],[Need_DON]]="Yes",  Table2[[#This Row],[DON_pub_date]]=""),1, 0)))))</f>
        <v>0</v>
      </c>
      <c r="AQ235" s="34">
        <f>IF(ISBLANK(Table2[[#This Row],[Pending_question]]), 2,(IF(Table2[[#This Row],[Pending_question]]="Yes", 1, 0)))</f>
        <v>0</v>
      </c>
      <c r="AR235" s="43"/>
    </row>
    <row r="236" spans="1:44" ht="15" customHeight="1">
      <c r="A236" s="63">
        <v>44861</v>
      </c>
      <c r="B236" s="29" t="s">
        <v>15</v>
      </c>
      <c r="C236" s="110" t="str" cm="1">
        <f t="array" ref="C23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36" s="27" t="s">
        <v>833</v>
      </c>
      <c r="E236" s="67" t="s">
        <v>180</v>
      </c>
      <c r="F236" s="29" t="s">
        <v>363</v>
      </c>
      <c r="G236" s="29" t="s">
        <v>34</v>
      </c>
      <c r="H236" s="59">
        <v>44861</v>
      </c>
      <c r="I236" s="59">
        <v>44872</v>
      </c>
      <c r="J236" s="177">
        <v>44620</v>
      </c>
      <c r="K236" s="177" t="s">
        <v>852</v>
      </c>
      <c r="L236" s="112" t="s">
        <v>1153</v>
      </c>
      <c r="M236" s="298" t="s">
        <v>30</v>
      </c>
      <c r="N236" s="343" t="s">
        <v>1154</v>
      </c>
      <c r="O236" s="85">
        <v>44874</v>
      </c>
      <c r="P236" s="59" t="s">
        <v>19</v>
      </c>
      <c r="Q236" s="84"/>
      <c r="R236" s="29"/>
      <c r="S236" s="29"/>
      <c r="T236" s="59"/>
      <c r="U236" s="29"/>
      <c r="V236" s="29"/>
      <c r="W236" s="29"/>
      <c r="X236" s="27"/>
      <c r="Y236" s="29" t="s">
        <v>30</v>
      </c>
      <c r="Z236" s="29" t="s">
        <v>42</v>
      </c>
      <c r="AA236" s="29" t="s">
        <v>22</v>
      </c>
      <c r="AB236" s="345" t="s">
        <v>1155</v>
      </c>
      <c r="AC236" s="59">
        <v>44851</v>
      </c>
      <c r="AD236" s="59">
        <v>44851</v>
      </c>
      <c r="AE236" s="59">
        <v>44852</v>
      </c>
      <c r="AF236" s="150"/>
      <c r="AG236" s="59">
        <v>44872</v>
      </c>
      <c r="AH236" s="85">
        <v>44874</v>
      </c>
      <c r="AI236" s="29" t="s">
        <v>30</v>
      </c>
      <c r="AJ236" s="139">
        <v>44874</v>
      </c>
      <c r="AK236" s="85">
        <v>44881</v>
      </c>
      <c r="AL236" s="102" t="s">
        <v>1156</v>
      </c>
      <c r="AM236" s="41" t="str">
        <f>VLOOKUP(Table2[[#This Row],[country]],Countrycode!A:B,2,FALSE)</f>
        <v>SAU</v>
      </c>
      <c r="AN236" s="34">
        <f>IF(ISBLANK(Table2[[#This Row],[Need_RRA]]), 2,(IF(Table2[[#This Row],[Need_RRA]]="No", 0, (IF(AND(Table2[[#This Row],[Need_RRA]]="Yes",  Table2[[#This Row],[RRA_pub_date]]=""),1, 0)))))</f>
        <v>0</v>
      </c>
      <c r="AO236" s="34">
        <f>IF(ISBLANK(Table2[[#This Row],[Need_EIS]]), 2,(IF(Table2[[#This Row],[Need_EIS]]="No", 0, (IF(AND(Table2[[#This Row],[Need_EIS]]="Yes",  Table2[[#This Row],[EIS_pub_date]]=""),1, 0)))))</f>
        <v>0</v>
      </c>
      <c r="AP236" s="34">
        <f>IF(ISBLANK(Table2[[#This Row],[Need_DON]]), 2,(IF(Table2[[#This Row],[Need_DON]]="No", 0, (IF(AND(Table2[[#This Row],[Need_DON]]="Yes",  Table2[[#This Row],[DON_pub_date]]=""),1, 0)))))</f>
        <v>0</v>
      </c>
      <c r="AQ236" s="34">
        <f>IF(ISBLANK(Table2[[#This Row],[Pending_question]]), 2,(IF(Table2[[#This Row],[Pending_question]]="Yes", 1, 0)))</f>
        <v>1</v>
      </c>
      <c r="AR236" s="43"/>
    </row>
    <row r="237" spans="1:44" ht="15" customHeight="1">
      <c r="A237" s="63">
        <v>44862</v>
      </c>
      <c r="B237" s="29" t="s">
        <v>15</v>
      </c>
      <c r="C237" s="34" t="str" cm="1">
        <f t="array" ref="C23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37" s="27" t="s">
        <v>986</v>
      </c>
      <c r="E237" s="67" t="s">
        <v>231</v>
      </c>
      <c r="F237" s="29" t="s">
        <v>397</v>
      </c>
      <c r="G237" s="29" t="s">
        <v>34</v>
      </c>
      <c r="H237" s="29"/>
      <c r="I237" s="59"/>
      <c r="J237" s="29"/>
      <c r="K237" s="59" t="s">
        <v>1084</v>
      </c>
      <c r="L237" s="112" t="s">
        <v>1085</v>
      </c>
      <c r="M237" s="70" t="s">
        <v>19</v>
      </c>
      <c r="N237" s="59"/>
      <c r="O237" s="85"/>
      <c r="P237" s="59" t="s">
        <v>30</v>
      </c>
      <c r="Q237" s="84">
        <v>2</v>
      </c>
      <c r="R237" s="29" t="s">
        <v>1157</v>
      </c>
      <c r="S237" s="59">
        <v>44862</v>
      </c>
      <c r="T237" s="59">
        <v>44866</v>
      </c>
      <c r="U237" s="59">
        <v>44869</v>
      </c>
      <c r="V237" s="29" t="s">
        <v>41</v>
      </c>
      <c r="W237" s="29" t="s">
        <v>20</v>
      </c>
      <c r="X237" s="27" t="s">
        <v>51</v>
      </c>
      <c r="Y237" s="29" t="s">
        <v>19</v>
      </c>
      <c r="Z237" s="29"/>
      <c r="AA237" s="29"/>
      <c r="AB237" s="29"/>
      <c r="AC237" s="59" t="s">
        <v>34</v>
      </c>
      <c r="AD237" s="59" t="s">
        <v>34</v>
      </c>
      <c r="AE237" s="59" t="s">
        <v>34</v>
      </c>
      <c r="AF237" s="59" t="s">
        <v>34</v>
      </c>
      <c r="AG237" s="59" t="s">
        <v>34</v>
      </c>
      <c r="AH237" s="27" t="s">
        <v>34</v>
      </c>
      <c r="AI237" s="29" t="s">
        <v>19</v>
      </c>
      <c r="AJ237" s="139"/>
      <c r="AK237" s="27"/>
      <c r="AL237" s="102"/>
      <c r="AM237" s="41" t="str">
        <f>VLOOKUP(Table2[[#This Row],[country]],Countrycode!A:B,2,FALSE)</f>
        <v>UGA</v>
      </c>
      <c r="AN237" s="34">
        <f>IF(ISBLANK(Table2[[#This Row],[Need_RRA]]), 2,(IF(Table2[[#This Row],[Need_RRA]]="No", 0, (IF(AND(Table2[[#This Row],[Need_RRA]]="Yes",  Table2[[#This Row],[RRA_pub_date]]=""),1, 0)))))</f>
        <v>0</v>
      </c>
      <c r="AO237" s="34">
        <f>IF(ISBLANK(Table2[[#This Row],[Need_EIS]]), 2,(IF(Table2[[#This Row],[Need_EIS]]="No", 0, (IF(AND(Table2[[#This Row],[Need_EIS]]="Yes",  Table2[[#This Row],[EIS_pub_date]]=""),1, 0)))))</f>
        <v>0</v>
      </c>
      <c r="AP237" s="34">
        <f>IF(ISBLANK(Table2[[#This Row],[Need_DON]]), 2,(IF(Table2[[#This Row],[Need_DON]]="No", 0, (IF(AND(Table2[[#This Row],[Need_DON]]="Yes",  Table2[[#This Row],[DON_pub_date]]=""),1, 0)))))</f>
        <v>0</v>
      </c>
      <c r="AQ237" s="34">
        <f>IF(ISBLANK(Table2[[#This Row],[Pending_question]]), 2,(IF(Table2[[#This Row],[Pending_question]]="Yes", 1, 0)))</f>
        <v>0</v>
      </c>
      <c r="AR237" s="43"/>
    </row>
    <row r="238" spans="1:44" ht="15" customHeight="1">
      <c r="A238" s="63">
        <v>44867</v>
      </c>
      <c r="B238" s="29" t="s">
        <v>15</v>
      </c>
      <c r="C238" s="34" t="str" cm="1">
        <f t="array" ref="C23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38" s="27" t="s">
        <v>1158</v>
      </c>
      <c r="E238" s="67" t="s">
        <v>136</v>
      </c>
      <c r="F238" s="29" t="s">
        <v>373</v>
      </c>
      <c r="G238" s="29" t="s">
        <v>34</v>
      </c>
      <c r="H238" s="29"/>
      <c r="I238" s="59"/>
      <c r="J238" s="59">
        <v>44867</v>
      </c>
      <c r="K238" s="59" t="s">
        <v>1159</v>
      </c>
      <c r="L238" s="296" t="s">
        <v>1160</v>
      </c>
      <c r="M238" s="67" t="s">
        <v>19</v>
      </c>
      <c r="N238" s="59"/>
      <c r="O238" s="85"/>
      <c r="P238" s="59" t="s">
        <v>30</v>
      </c>
      <c r="Q238" s="84">
        <v>1</v>
      </c>
      <c r="R238" s="29" t="s">
        <v>1161</v>
      </c>
      <c r="S238" s="59">
        <v>44872</v>
      </c>
      <c r="T238" s="59">
        <v>44873</v>
      </c>
      <c r="U238" s="59">
        <v>44881</v>
      </c>
      <c r="V238" s="29" t="s">
        <v>20</v>
      </c>
      <c r="W238" s="29" t="s">
        <v>20</v>
      </c>
      <c r="X238" s="27" t="s">
        <v>51</v>
      </c>
      <c r="Y238" s="29" t="s">
        <v>30</v>
      </c>
      <c r="Z238" s="29" t="s">
        <v>42</v>
      </c>
      <c r="AA238" s="29" t="s">
        <v>22</v>
      </c>
      <c r="AB238" s="29" t="s">
        <v>1162</v>
      </c>
      <c r="AC238" s="59">
        <v>44883</v>
      </c>
      <c r="AD238" s="59">
        <v>44885</v>
      </c>
      <c r="AE238" s="59">
        <v>44887</v>
      </c>
      <c r="AF238" s="59">
        <v>44888</v>
      </c>
      <c r="AG238" s="59">
        <v>44906</v>
      </c>
      <c r="AH238" s="85">
        <v>44908</v>
      </c>
      <c r="AI238" s="29" t="s">
        <v>19</v>
      </c>
      <c r="AJ238" s="139"/>
      <c r="AK238" s="198"/>
      <c r="AL238" s="102" t="s">
        <v>1163</v>
      </c>
      <c r="AM238" s="41" t="str">
        <f>VLOOKUP(Table2[[#This Row],[country]],Countrycode!A:B,2,FALSE)</f>
        <v>SOM</v>
      </c>
      <c r="AN238" s="34">
        <f>IF(ISBLANK(Table2[[#This Row],[Need_RRA]]), 2,(IF(Table2[[#This Row],[Need_RRA]]="No", 0, (IF(AND(Table2[[#This Row],[Need_RRA]]="Yes",  Table2[[#This Row],[RRA_pub_date]]=""),1, 0)))))</f>
        <v>0</v>
      </c>
      <c r="AO238" s="34">
        <f>IF(ISBLANK(Table2[[#This Row],[Need_EIS]]), 2,(IF(Table2[[#This Row],[Need_EIS]]="No", 0, (IF(AND(Table2[[#This Row],[Need_EIS]]="Yes",  Table2[[#This Row],[EIS_pub_date]]=""),1, 0)))))</f>
        <v>0</v>
      </c>
      <c r="AP238" s="34">
        <f>IF(ISBLANK(Table2[[#This Row],[Need_DON]]), 2,(IF(Table2[[#This Row],[Need_DON]]="No", 0, (IF(AND(Table2[[#This Row],[Need_DON]]="Yes",  Table2[[#This Row],[DON_pub_date]]=""),1, 0)))))</f>
        <v>0</v>
      </c>
      <c r="AQ238" s="34">
        <f>IF(ISBLANK(Table2[[#This Row],[Pending_question]]), 2,(IF(Table2[[#This Row],[Pending_question]]="Yes", 1, 0)))</f>
        <v>0</v>
      </c>
      <c r="AR238" s="43"/>
    </row>
    <row r="239" spans="1:44" ht="15" customHeight="1">
      <c r="A239" s="63">
        <v>44876</v>
      </c>
      <c r="B239" s="29" t="s">
        <v>15</v>
      </c>
      <c r="C239" s="110" t="str" cm="1">
        <f t="array" ref="C23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39" s="27" t="s">
        <v>1164</v>
      </c>
      <c r="E239" s="67" t="s">
        <v>136</v>
      </c>
      <c r="F239" s="29" t="s">
        <v>117</v>
      </c>
      <c r="G239" s="29" t="s">
        <v>34</v>
      </c>
      <c r="H239" s="59">
        <v>44876</v>
      </c>
      <c r="I239" s="59">
        <v>44880</v>
      </c>
      <c r="J239" s="59">
        <v>44857</v>
      </c>
      <c r="K239" s="59" t="s">
        <v>989</v>
      </c>
      <c r="L239" s="112" t="s">
        <v>1165</v>
      </c>
      <c r="M239" s="121" t="s">
        <v>30</v>
      </c>
      <c r="N239" s="59" t="s">
        <v>1166</v>
      </c>
      <c r="O239" s="85">
        <v>44874</v>
      </c>
      <c r="P239" s="59" t="s">
        <v>19</v>
      </c>
      <c r="Q239" s="84"/>
      <c r="R239" s="29"/>
      <c r="S239" s="29"/>
      <c r="T239" s="59"/>
      <c r="U239" s="29"/>
      <c r="V239" s="29"/>
      <c r="W239" s="29"/>
      <c r="X239" s="27"/>
      <c r="Y239" s="29" t="s">
        <v>30</v>
      </c>
      <c r="Z239" s="29" t="s">
        <v>42</v>
      </c>
      <c r="AA239" s="29" t="s">
        <v>22</v>
      </c>
      <c r="AB239" s="29" t="s">
        <v>1167</v>
      </c>
      <c r="AC239" s="59">
        <v>44874</v>
      </c>
      <c r="AD239" s="59">
        <v>44874</v>
      </c>
      <c r="AE239" s="59">
        <v>44875</v>
      </c>
      <c r="AF239" s="59">
        <v>44876</v>
      </c>
      <c r="AG239" s="59">
        <v>44883</v>
      </c>
      <c r="AH239" s="85">
        <v>44883</v>
      </c>
      <c r="AI239" s="29" t="s">
        <v>30</v>
      </c>
      <c r="AJ239" s="139">
        <v>44883</v>
      </c>
      <c r="AK239" s="85">
        <v>44893</v>
      </c>
      <c r="AL239" s="102"/>
      <c r="AM239" s="41" t="str">
        <f>VLOOKUP(Table2[[#This Row],[country]],Countrycode!A:B,2,FALSE)</f>
        <v>BGD</v>
      </c>
      <c r="AN239" s="34">
        <f>IF(ISBLANK(Table2[[#This Row],[Need_RRA]]), 2,(IF(Table2[[#This Row],[Need_RRA]]="No", 0, (IF(AND(Table2[[#This Row],[Need_RRA]]="Yes",  Table2[[#This Row],[RRA_pub_date]]=""),1, 0)))))</f>
        <v>0</v>
      </c>
      <c r="AO239" s="34">
        <f>IF(ISBLANK(Table2[[#This Row],[Need_EIS]]), 2,(IF(Table2[[#This Row],[Need_EIS]]="No", 0, (IF(AND(Table2[[#This Row],[Need_EIS]]="Yes",  Table2[[#This Row],[EIS_pub_date]]=""),1, 0)))))</f>
        <v>0</v>
      </c>
      <c r="AP239" s="34">
        <f>IF(ISBLANK(Table2[[#This Row],[Need_DON]]), 2,(IF(Table2[[#This Row],[Need_DON]]="No", 0, (IF(AND(Table2[[#This Row],[Need_DON]]="Yes",  Table2[[#This Row],[DON_pub_date]]=""),1, 0)))))</f>
        <v>0</v>
      </c>
      <c r="AQ239" s="34">
        <f>IF(ISBLANK(Table2[[#This Row],[Pending_question]]), 2,(IF(Table2[[#This Row],[Pending_question]]="Yes", 1, 0)))</f>
        <v>1</v>
      </c>
      <c r="AR239" s="43"/>
    </row>
    <row r="240" spans="1:44" ht="15" customHeight="1">
      <c r="A240" s="63">
        <v>44879</v>
      </c>
      <c r="B240" s="29" t="s">
        <v>15</v>
      </c>
      <c r="C240" s="34" t="str" cm="1">
        <f t="array" ref="C24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40" s="27" t="s">
        <v>1168</v>
      </c>
      <c r="E240" s="67" t="s">
        <v>176</v>
      </c>
      <c r="F240" s="29" t="s">
        <v>274</v>
      </c>
      <c r="G240" s="29" t="s">
        <v>34</v>
      </c>
      <c r="H240" s="59">
        <v>44879</v>
      </c>
      <c r="I240" s="59">
        <v>44879</v>
      </c>
      <c r="J240" s="59">
        <v>44883</v>
      </c>
      <c r="K240" s="59" t="s">
        <v>1169</v>
      </c>
      <c r="L240" s="85" t="s">
        <v>1170</v>
      </c>
      <c r="M240" s="70" t="s">
        <v>19</v>
      </c>
      <c r="N240" s="59"/>
      <c r="O240" s="85"/>
      <c r="P240" s="59" t="s">
        <v>30</v>
      </c>
      <c r="Q240" s="84">
        <v>1</v>
      </c>
      <c r="R240" s="29" t="s">
        <v>1171</v>
      </c>
      <c r="S240" s="59">
        <v>44918</v>
      </c>
      <c r="T240" s="59">
        <v>44923</v>
      </c>
      <c r="U240" s="59">
        <v>44951</v>
      </c>
      <c r="V240" s="29" t="s">
        <v>32</v>
      </c>
      <c r="W240" s="29" t="s">
        <v>32</v>
      </c>
      <c r="X240" s="27" t="s">
        <v>51</v>
      </c>
      <c r="Y240" s="29" t="s">
        <v>19</v>
      </c>
      <c r="Z240" s="29"/>
      <c r="AA240" s="29"/>
      <c r="AB240" s="29"/>
      <c r="AC240" s="59" t="s">
        <v>34</v>
      </c>
      <c r="AD240" s="59" t="s">
        <v>34</v>
      </c>
      <c r="AE240" s="59" t="s">
        <v>34</v>
      </c>
      <c r="AF240" s="59" t="s">
        <v>34</v>
      </c>
      <c r="AG240" s="59" t="s">
        <v>34</v>
      </c>
      <c r="AH240" s="27" t="s">
        <v>34</v>
      </c>
      <c r="AI240" s="29" t="s">
        <v>19</v>
      </c>
      <c r="AJ240" s="139"/>
      <c r="AK240" s="27"/>
      <c r="AL240" s="102"/>
      <c r="AM240" s="41" t="str">
        <f>VLOOKUP(Table2[[#This Row],[country]],Countrycode!A:B,2,FALSE)</f>
        <v>IND</v>
      </c>
      <c r="AN240" s="34">
        <f>IF(ISBLANK(Table2[[#This Row],[Need_RRA]]), 2,(IF(Table2[[#This Row],[Need_RRA]]="No", 0, (IF(AND(Table2[[#This Row],[Need_RRA]]="Yes",  Table2[[#This Row],[RRA_pub_date]]=""),1, 0)))))</f>
        <v>0</v>
      </c>
      <c r="AO240" s="34">
        <f>IF(ISBLANK(Table2[[#This Row],[Need_EIS]]), 2,(IF(Table2[[#This Row],[Need_EIS]]="No", 0, (IF(AND(Table2[[#This Row],[Need_EIS]]="Yes",  Table2[[#This Row],[EIS_pub_date]]=""),1, 0)))))</f>
        <v>0</v>
      </c>
      <c r="AP240" s="34">
        <f>IF(ISBLANK(Table2[[#This Row],[Need_DON]]), 2,(IF(Table2[[#This Row],[Need_DON]]="No", 0, (IF(AND(Table2[[#This Row],[Need_DON]]="Yes",  Table2[[#This Row],[DON_pub_date]]=""),1, 0)))))</f>
        <v>0</v>
      </c>
      <c r="AQ240" s="34">
        <f>IF(ISBLANK(Table2[[#This Row],[Pending_question]]), 2,(IF(Table2[[#This Row],[Pending_question]]="Yes", 1, 0)))</f>
        <v>0</v>
      </c>
      <c r="AR240" s="43"/>
    </row>
    <row r="241" spans="1:44" ht="15" customHeight="1">
      <c r="A241" s="63">
        <v>44894</v>
      </c>
      <c r="B241" s="29" t="s">
        <v>15</v>
      </c>
      <c r="C241" s="34" t="str" cm="1">
        <f t="array" ref="C24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41" s="27" t="s">
        <v>1172</v>
      </c>
      <c r="E241" s="67" t="s">
        <v>128</v>
      </c>
      <c r="F241" s="29" t="s">
        <v>268</v>
      </c>
      <c r="G241" s="29" t="s">
        <v>34</v>
      </c>
      <c r="H241" s="29"/>
      <c r="I241" s="59"/>
      <c r="J241" s="29"/>
      <c r="K241" s="59" t="s">
        <v>1173</v>
      </c>
      <c r="L241" s="104" t="s">
        <v>1174</v>
      </c>
      <c r="M241" s="70" t="s">
        <v>19</v>
      </c>
      <c r="N241" s="59"/>
      <c r="O241" s="85"/>
      <c r="P241" s="59" t="s">
        <v>30</v>
      </c>
      <c r="Q241" s="84">
        <v>2</v>
      </c>
      <c r="R241" s="29" t="s">
        <v>1175</v>
      </c>
      <c r="S241" s="59">
        <v>44894</v>
      </c>
      <c r="T241" s="59">
        <v>44894</v>
      </c>
      <c r="U241" s="59">
        <v>44901</v>
      </c>
      <c r="V241" s="29" t="s">
        <v>41</v>
      </c>
      <c r="W241" s="29" t="s">
        <v>32</v>
      </c>
      <c r="X241" s="27" t="s">
        <v>51</v>
      </c>
      <c r="Y241" s="29" t="s">
        <v>30</v>
      </c>
      <c r="Z241" s="29" t="s">
        <v>21</v>
      </c>
      <c r="AA241" s="29" t="s">
        <v>22</v>
      </c>
      <c r="AB241" s="29" t="s">
        <v>1176</v>
      </c>
      <c r="AC241" s="59">
        <v>44897</v>
      </c>
      <c r="AD241" s="59">
        <v>44897</v>
      </c>
      <c r="AE241" s="59">
        <v>44900</v>
      </c>
      <c r="AF241" s="59">
        <v>44900</v>
      </c>
      <c r="AG241" s="59">
        <v>44900</v>
      </c>
      <c r="AH241" s="85">
        <v>44901</v>
      </c>
      <c r="AI241" s="29" t="s">
        <v>30</v>
      </c>
      <c r="AJ241" s="139" t="s">
        <v>1177</v>
      </c>
      <c r="AK241" s="139">
        <v>44908</v>
      </c>
      <c r="AL241" s="102"/>
      <c r="AM241" s="41" t="str">
        <f>VLOOKUP(Table2[[#This Row],[country]],Countrycode!A:B,2,FALSE)</f>
        <v>HTI</v>
      </c>
      <c r="AN241" s="34">
        <f>IF(ISBLANK(Table2[[#This Row],[Need_RRA]]), 2,(IF(Table2[[#This Row],[Need_RRA]]="No", 0, (IF(AND(Table2[[#This Row],[Need_RRA]]="Yes",  Table2[[#This Row],[RRA_pub_date]]=""),1, 0)))))</f>
        <v>0</v>
      </c>
      <c r="AO241" s="34">
        <f>IF(ISBLANK(Table2[[#This Row],[Need_EIS]]), 2,(IF(Table2[[#This Row],[Need_EIS]]="No", 0, (IF(AND(Table2[[#This Row],[Need_EIS]]="Yes",  Table2[[#This Row],[EIS_pub_date]]=""),1, 0)))))</f>
        <v>0</v>
      </c>
      <c r="AP241" s="34">
        <f>IF(ISBLANK(Table2[[#This Row],[Need_DON]]), 2,(IF(Table2[[#This Row],[Need_DON]]="No", 0, (IF(AND(Table2[[#This Row],[Need_DON]]="Yes",  Table2[[#This Row],[DON_pub_date]]=""),1, 0)))))</f>
        <v>0</v>
      </c>
      <c r="AQ241" s="34">
        <f>IF(ISBLANK(Table2[[#This Row],[Pending_question]]), 2,(IF(Table2[[#This Row],[Pending_question]]="Yes", 1, 0)))</f>
        <v>0</v>
      </c>
      <c r="AR241" s="43"/>
    </row>
    <row r="242" spans="1:44" ht="15" customHeight="1">
      <c r="A242" s="63">
        <v>44895</v>
      </c>
      <c r="B242" s="29" t="s">
        <v>15</v>
      </c>
      <c r="C242" s="34" t="str" cm="1">
        <f t="array" ref="C24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42" s="27" t="s">
        <v>1178</v>
      </c>
      <c r="E242" s="67" t="s">
        <v>1058</v>
      </c>
      <c r="F242" s="29" t="s">
        <v>275</v>
      </c>
      <c r="G242" s="29" t="s">
        <v>34</v>
      </c>
      <c r="H242" s="59">
        <v>44895</v>
      </c>
      <c r="I242" s="59"/>
      <c r="J242" s="59">
        <v>44875</v>
      </c>
      <c r="K242" s="59" t="s">
        <v>1179</v>
      </c>
      <c r="L242" s="181" t="s">
        <v>1180</v>
      </c>
      <c r="M242" s="70" t="s">
        <v>19</v>
      </c>
      <c r="N242" s="59"/>
      <c r="O242" s="85"/>
      <c r="P242" s="59" t="s">
        <v>30</v>
      </c>
      <c r="Q242" s="84">
        <v>1</v>
      </c>
      <c r="R242" s="29" t="s">
        <v>1181</v>
      </c>
      <c r="S242" s="59">
        <v>44894</v>
      </c>
      <c r="T242" s="59">
        <v>44894</v>
      </c>
      <c r="U242" s="59">
        <v>44903</v>
      </c>
      <c r="V242" s="29" t="s">
        <v>20</v>
      </c>
      <c r="W242" s="29" t="s">
        <v>32</v>
      </c>
      <c r="X242" s="27" t="s">
        <v>51</v>
      </c>
      <c r="Y242" s="29" t="s">
        <v>30</v>
      </c>
      <c r="Z242" s="29" t="s">
        <v>42</v>
      </c>
      <c r="AA242" s="29" t="s">
        <v>22</v>
      </c>
      <c r="AB242" s="29" t="s">
        <v>1182</v>
      </c>
      <c r="AC242" s="59">
        <v>44897</v>
      </c>
      <c r="AD242" s="59">
        <v>44900</v>
      </c>
      <c r="AE242" s="59">
        <v>44901</v>
      </c>
      <c r="AF242" s="59">
        <v>44901</v>
      </c>
      <c r="AG242" s="29"/>
      <c r="AH242" s="85">
        <v>44908</v>
      </c>
      <c r="AI242" s="29" t="s">
        <v>30</v>
      </c>
      <c r="AJ242" s="139">
        <v>44908</v>
      </c>
      <c r="AK242" s="85">
        <v>44914</v>
      </c>
      <c r="AL242" s="102"/>
      <c r="AM242" s="41" t="str">
        <f>VLOOKUP(Table2[[#This Row],[country]],Countrycode!A:B,2,FALSE)</f>
        <v>IDN</v>
      </c>
      <c r="AN242" s="34">
        <f>IF(ISBLANK(Table2[[#This Row],[Need_RRA]]), 2,(IF(Table2[[#This Row],[Need_RRA]]="No", 0, (IF(AND(Table2[[#This Row],[Need_RRA]]="Yes",  Table2[[#This Row],[RRA_pub_date]]=""),1, 0)))))</f>
        <v>0</v>
      </c>
      <c r="AO242" s="34">
        <f>IF(ISBLANK(Table2[[#This Row],[Need_EIS]]), 2,(IF(Table2[[#This Row],[Need_EIS]]="No", 0, (IF(AND(Table2[[#This Row],[Need_EIS]]="Yes",  Table2[[#This Row],[EIS_pub_date]]=""),1, 0)))))</f>
        <v>0</v>
      </c>
      <c r="AP242" s="34">
        <f>IF(ISBLANK(Table2[[#This Row],[Need_DON]]), 2,(IF(Table2[[#This Row],[Need_DON]]="No", 0, (IF(AND(Table2[[#This Row],[Need_DON]]="Yes",  Table2[[#This Row],[DON_pub_date]]=""),1, 0)))))</f>
        <v>0</v>
      </c>
      <c r="AQ242" s="34">
        <f>IF(ISBLANK(Table2[[#This Row],[Pending_question]]), 2,(IF(Table2[[#This Row],[Pending_question]]="Yes", 1, 0)))</f>
        <v>0</v>
      </c>
      <c r="AR242" s="43"/>
    </row>
    <row r="243" spans="1:44" ht="15" customHeight="1">
      <c r="A243" s="63">
        <v>44901</v>
      </c>
      <c r="B243" s="29" t="s">
        <v>15</v>
      </c>
      <c r="C243" s="34" t="str" cm="1">
        <f t="array" ref="C24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43" s="27" t="s">
        <v>1183</v>
      </c>
      <c r="E243" s="67" t="s">
        <v>99</v>
      </c>
      <c r="F243" s="29" t="s">
        <v>377</v>
      </c>
      <c r="G243" s="29" t="s">
        <v>34</v>
      </c>
      <c r="H243" s="59">
        <v>44901</v>
      </c>
      <c r="I243" s="59"/>
      <c r="J243" s="59">
        <v>44838</v>
      </c>
      <c r="K243" s="59" t="s">
        <v>1103</v>
      </c>
      <c r="L243" s="104" t="s">
        <v>1104</v>
      </c>
      <c r="M243" s="70" t="s">
        <v>19</v>
      </c>
      <c r="N243" s="59" t="s">
        <v>1184</v>
      </c>
      <c r="O243" s="85"/>
      <c r="P243" s="59" t="s">
        <v>19</v>
      </c>
      <c r="Q243" s="84"/>
      <c r="R243" s="29"/>
      <c r="S243" s="29"/>
      <c r="T243" s="59"/>
      <c r="U243" s="29"/>
      <c r="V243" s="29"/>
      <c r="W243" s="29"/>
      <c r="X243" s="27"/>
      <c r="Y243" s="29" t="s">
        <v>30</v>
      </c>
      <c r="Z243" s="29" t="s">
        <v>21</v>
      </c>
      <c r="AA243" s="29" t="s">
        <v>22</v>
      </c>
      <c r="AB243" s="29" t="s">
        <v>1185</v>
      </c>
      <c r="AC243" s="59">
        <v>44897</v>
      </c>
      <c r="AD243" s="59">
        <v>44900</v>
      </c>
      <c r="AE243" s="59">
        <v>44901</v>
      </c>
      <c r="AF243" s="59">
        <v>44901</v>
      </c>
      <c r="AG243" s="59">
        <v>44902</v>
      </c>
      <c r="AH243" s="85">
        <v>44904</v>
      </c>
      <c r="AI243" s="29" t="s">
        <v>19</v>
      </c>
      <c r="AJ243" s="139"/>
      <c r="AK243" s="27"/>
      <c r="AL243" s="102"/>
      <c r="AM243" s="41" t="str">
        <f>VLOOKUP(Table2[[#This Row],[country]],Countrycode!A:B,2,FALSE)</f>
        <v>ESP</v>
      </c>
      <c r="AN243" s="34">
        <f>IF(ISBLANK(Table2[[#This Row],[Need_RRA]]), 2,(IF(Table2[[#This Row],[Need_RRA]]="No", 0, (IF(AND(Table2[[#This Row],[Need_RRA]]="Yes",  Table2[[#This Row],[RRA_pub_date]]=""),1, 0)))))</f>
        <v>0</v>
      </c>
      <c r="AO243" s="34">
        <f>IF(ISBLANK(Table2[[#This Row],[Need_EIS]]), 2,(IF(Table2[[#This Row],[Need_EIS]]="No", 0, (IF(AND(Table2[[#This Row],[Need_EIS]]="Yes",  Table2[[#This Row],[EIS_pub_date]]=""),1, 0)))))</f>
        <v>0</v>
      </c>
      <c r="AP243" s="34">
        <f>IF(ISBLANK(Table2[[#This Row],[Need_DON]]), 2,(IF(Table2[[#This Row],[Need_DON]]="No", 0, (IF(AND(Table2[[#This Row],[Need_DON]]="Yes",  Table2[[#This Row],[DON_pub_date]]=""),1, 0)))))</f>
        <v>0</v>
      </c>
      <c r="AQ243" s="34">
        <f>IF(ISBLANK(Table2[[#This Row],[Pending_question]]), 2,(IF(Table2[[#This Row],[Pending_question]]="Yes", 1, 0)))</f>
        <v>0</v>
      </c>
      <c r="AR243" s="43"/>
    </row>
    <row r="244" spans="1:44" ht="15" customHeight="1">
      <c r="A244" s="63">
        <v>44902</v>
      </c>
      <c r="B244" s="29" t="s">
        <v>15</v>
      </c>
      <c r="C244" s="34" t="str" cm="1">
        <f t="array" ref="C24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44" s="27" t="s">
        <v>1186</v>
      </c>
      <c r="E244" s="67" t="s">
        <v>225</v>
      </c>
      <c r="F244" s="29" t="s">
        <v>39</v>
      </c>
      <c r="G244" s="29" t="s">
        <v>1187</v>
      </c>
      <c r="H244" s="59">
        <v>44902</v>
      </c>
      <c r="I244" s="59"/>
      <c r="J244" s="59">
        <v>44902</v>
      </c>
      <c r="K244" s="273" t="s">
        <v>1188</v>
      </c>
      <c r="L244" s="104" t="s">
        <v>1189</v>
      </c>
      <c r="M244" s="70" t="s">
        <v>19</v>
      </c>
      <c r="N244" s="59"/>
      <c r="O244" s="85"/>
      <c r="P244" s="59" t="s">
        <v>19</v>
      </c>
      <c r="Q244" s="84"/>
      <c r="R244" s="29"/>
      <c r="S244" s="29"/>
      <c r="T244" s="59"/>
      <c r="U244" s="29"/>
      <c r="V244" s="29"/>
      <c r="W244" s="29"/>
      <c r="X244" s="27"/>
      <c r="Y244" s="29" t="s">
        <v>30</v>
      </c>
      <c r="Z244" s="29" t="s">
        <v>33</v>
      </c>
      <c r="AA244" s="29"/>
      <c r="AB244" s="29" t="s">
        <v>1190</v>
      </c>
      <c r="AC244" s="59">
        <v>44902</v>
      </c>
      <c r="AD244" s="59">
        <v>44903</v>
      </c>
      <c r="AE244" s="59">
        <v>44903</v>
      </c>
      <c r="AF244" s="59">
        <v>44904</v>
      </c>
      <c r="AG244" s="59">
        <v>44904</v>
      </c>
      <c r="AH244" s="85">
        <v>44905</v>
      </c>
      <c r="AI244" s="29" t="s">
        <v>30</v>
      </c>
      <c r="AJ244" s="139"/>
      <c r="AK244" s="85">
        <v>45275</v>
      </c>
      <c r="AL244" s="102"/>
      <c r="AM244" s="41" t="str">
        <f>VLOOKUP(Table2[[#This Row],[country]],Countrycode!A:B,2,FALSE)</f>
        <v>MLX</v>
      </c>
      <c r="AN244" s="34">
        <f>IF(ISBLANK(Table2[[#This Row],[Need_RRA]]), 2,(IF(Table2[[#This Row],[Need_RRA]]="No", 0, (IF(AND(Table2[[#This Row],[Need_RRA]]="Yes",  Table2[[#This Row],[RRA_pub_date]]=""),1, 0)))))</f>
        <v>0</v>
      </c>
      <c r="AO244" s="34">
        <f>IF(ISBLANK(Table2[[#This Row],[Need_EIS]]), 2,(IF(Table2[[#This Row],[Need_EIS]]="No", 0, (IF(AND(Table2[[#This Row],[Need_EIS]]="Yes",  Table2[[#This Row],[EIS_pub_date]]=""),1, 0)))))</f>
        <v>0</v>
      </c>
      <c r="AP244" s="34">
        <f>IF(ISBLANK(Table2[[#This Row],[Need_DON]]), 2,(IF(Table2[[#This Row],[Need_DON]]="No", 0, (IF(AND(Table2[[#This Row],[Need_DON]]="Yes",  Table2[[#This Row],[DON_pub_date]]=""),1, 0)))))</f>
        <v>0</v>
      </c>
      <c r="AQ244" s="34">
        <f>IF(ISBLANK(Table2[[#This Row],[Pending_question]]), 2,(IF(Table2[[#This Row],[Pending_question]]="Yes", 1, 0)))</f>
        <v>0</v>
      </c>
      <c r="AR244" s="43"/>
    </row>
    <row r="245" spans="1:44" ht="15" customHeight="1">
      <c r="A245" s="63">
        <v>44906</v>
      </c>
      <c r="B245" s="29" t="s">
        <v>15</v>
      </c>
      <c r="C245" s="34" t="str" cm="1">
        <f t="array" ref="C24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45" s="27" t="s">
        <v>1191</v>
      </c>
      <c r="E245" s="67" t="s">
        <v>198</v>
      </c>
      <c r="F245" s="29" t="s">
        <v>403</v>
      </c>
      <c r="G245" s="29" t="s">
        <v>34</v>
      </c>
      <c r="H245" s="59">
        <v>44906</v>
      </c>
      <c r="I245" s="59">
        <v>44906</v>
      </c>
      <c r="J245" s="59">
        <v>44907</v>
      </c>
      <c r="K245" s="63" t="s">
        <v>1192</v>
      </c>
      <c r="L245" s="59" t="s">
        <v>1193</v>
      </c>
      <c r="M245" s="70" t="s">
        <v>19</v>
      </c>
      <c r="N245" s="59"/>
      <c r="O245" s="85"/>
      <c r="P245" s="59" t="s">
        <v>19</v>
      </c>
      <c r="Q245" s="84"/>
      <c r="R245" s="29"/>
      <c r="S245" s="29"/>
      <c r="T245" s="59"/>
      <c r="U245" s="29"/>
      <c r="V245" s="29"/>
      <c r="W245" s="29"/>
      <c r="X245" s="27"/>
      <c r="Y245" s="29" t="s">
        <v>30</v>
      </c>
      <c r="Z245" s="29" t="s">
        <v>42</v>
      </c>
      <c r="AA245" s="29" t="s">
        <v>22</v>
      </c>
      <c r="AB245" s="29" t="s">
        <v>1194</v>
      </c>
      <c r="AC245" s="59">
        <v>44906</v>
      </c>
      <c r="AD245" s="59">
        <v>44906</v>
      </c>
      <c r="AE245" s="59">
        <v>44908</v>
      </c>
      <c r="AF245" s="59">
        <v>44908</v>
      </c>
      <c r="AG245" s="29"/>
      <c r="AH245" s="85">
        <v>44910</v>
      </c>
      <c r="AI245" s="29" t="s">
        <v>19</v>
      </c>
      <c r="AJ245" s="139"/>
      <c r="AK245" s="27"/>
      <c r="AL245" s="102"/>
      <c r="AM245" s="41" t="str">
        <f>VLOOKUP(Table2[[#This Row],[country]],Countrycode!A:B,2,FALSE)</f>
        <v>USA</v>
      </c>
      <c r="AN245" s="34">
        <f>IF(ISBLANK(Table2[[#This Row],[Need_RRA]]), 2,(IF(Table2[[#This Row],[Need_RRA]]="No", 0, (IF(AND(Table2[[#This Row],[Need_RRA]]="Yes",  Table2[[#This Row],[RRA_pub_date]]=""),1, 0)))))</f>
        <v>0</v>
      </c>
      <c r="AO245" s="34">
        <f>IF(ISBLANK(Table2[[#This Row],[Need_EIS]]), 2,(IF(Table2[[#This Row],[Need_EIS]]="No", 0, (IF(AND(Table2[[#This Row],[Need_EIS]]="Yes",  Table2[[#This Row],[EIS_pub_date]]=""),1, 0)))))</f>
        <v>0</v>
      </c>
      <c r="AP245" s="34">
        <f>IF(ISBLANK(Table2[[#This Row],[Need_DON]]), 2,(IF(Table2[[#This Row],[Need_DON]]="No", 0, (IF(AND(Table2[[#This Row],[Need_DON]]="Yes",  Table2[[#This Row],[DON_pub_date]]=""),1, 0)))))</f>
        <v>0</v>
      </c>
      <c r="AQ245" s="34">
        <f>IF(ISBLANK(Table2[[#This Row],[Pending_question]]), 2,(IF(Table2[[#This Row],[Pending_question]]="Yes", 1, 0)))</f>
        <v>0</v>
      </c>
      <c r="AR245" s="43"/>
    </row>
    <row r="246" spans="1:44" ht="15" customHeight="1">
      <c r="A246" s="63">
        <v>44907</v>
      </c>
      <c r="B246" s="29" t="s">
        <v>15</v>
      </c>
      <c r="C246" s="34" t="str" cm="1">
        <f t="array" ref="C24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46" s="27" t="s">
        <v>1168</v>
      </c>
      <c r="E246" s="67" t="s">
        <v>176</v>
      </c>
      <c r="F246" s="29" t="s">
        <v>376</v>
      </c>
      <c r="G246" s="29" t="s">
        <v>34</v>
      </c>
      <c r="H246" s="59">
        <v>44907</v>
      </c>
      <c r="I246" s="59">
        <v>44907</v>
      </c>
      <c r="J246" s="59"/>
      <c r="K246" s="59" t="s">
        <v>865</v>
      </c>
      <c r="L246" s="112" t="s">
        <v>866</v>
      </c>
      <c r="M246" s="70" t="s">
        <v>19</v>
      </c>
      <c r="N246" s="59"/>
      <c r="O246" s="85"/>
      <c r="P246" s="59" t="s">
        <v>30</v>
      </c>
      <c r="Q246" s="84">
        <v>2</v>
      </c>
      <c r="R246" s="29" t="s">
        <v>1195</v>
      </c>
      <c r="S246" s="59">
        <v>44908</v>
      </c>
      <c r="T246" s="59">
        <v>44908</v>
      </c>
      <c r="U246" s="59">
        <v>44926</v>
      </c>
      <c r="V246" s="29" t="s">
        <v>20</v>
      </c>
      <c r="W246" s="29" t="s">
        <v>32</v>
      </c>
      <c r="X246" s="27" t="s">
        <v>51</v>
      </c>
      <c r="Y246" s="29" t="s">
        <v>30</v>
      </c>
      <c r="Z246" s="29" t="s">
        <v>42</v>
      </c>
      <c r="AA246" s="29" t="s">
        <v>22</v>
      </c>
      <c r="AB246" s="29" t="s">
        <v>1196</v>
      </c>
      <c r="AC246" s="59">
        <v>44924</v>
      </c>
      <c r="AD246" s="59">
        <v>44930</v>
      </c>
      <c r="AE246" s="59">
        <v>44931</v>
      </c>
      <c r="AF246" s="29"/>
      <c r="AG246" s="29"/>
      <c r="AH246" s="85">
        <v>44959</v>
      </c>
      <c r="AI246" s="29" t="s">
        <v>30</v>
      </c>
      <c r="AJ246" s="139">
        <v>44967</v>
      </c>
      <c r="AK246" s="85">
        <v>44967</v>
      </c>
      <c r="AL246" s="102" t="s">
        <v>1197</v>
      </c>
      <c r="AM246" s="41" t="str">
        <f>VLOOKUP(Table2[[#This Row],[country]],Countrycode!A:B,2,FALSE)</f>
        <v>SSD</v>
      </c>
      <c r="AN246" s="34">
        <f>IF(ISBLANK(Table2[[#This Row],[Need_RRA]]), 2,(IF(Table2[[#This Row],[Need_RRA]]="No", 0, (IF(AND(Table2[[#This Row],[Need_RRA]]="Yes",  Table2[[#This Row],[RRA_pub_date]]=""),1, 0)))))</f>
        <v>0</v>
      </c>
      <c r="AO246" s="34">
        <f>IF(ISBLANK(Table2[[#This Row],[Need_EIS]]), 2,(IF(Table2[[#This Row],[Need_EIS]]="No", 0, (IF(AND(Table2[[#This Row],[Need_EIS]]="Yes",  Table2[[#This Row],[EIS_pub_date]]=""),1, 0)))))</f>
        <v>0</v>
      </c>
      <c r="AP246" s="34">
        <f>IF(ISBLANK(Table2[[#This Row],[Need_DON]]), 2,(IF(Table2[[#This Row],[Need_DON]]="No", 0, (IF(AND(Table2[[#This Row],[Need_DON]]="Yes",  Table2[[#This Row],[DON_pub_date]]=""),1, 0)))))</f>
        <v>0</v>
      </c>
      <c r="AQ246" s="34">
        <f>IF(ISBLANK(Table2[[#This Row],[Pending_question]]), 2,(IF(Table2[[#This Row],[Pending_question]]="Yes", 1, 0)))</f>
        <v>0</v>
      </c>
      <c r="AR246" s="43"/>
    </row>
    <row r="247" spans="1:44" ht="15" customHeight="1">
      <c r="A247" s="63">
        <v>44909</v>
      </c>
      <c r="B247" s="29" t="s">
        <v>15</v>
      </c>
      <c r="C247" s="34" t="str" cm="1">
        <f t="array" ref="C24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47" s="27" t="s">
        <v>1198</v>
      </c>
      <c r="E247" s="67" t="s">
        <v>128</v>
      </c>
      <c r="F247" s="29" t="s">
        <v>208</v>
      </c>
      <c r="G247" s="29" t="s">
        <v>34</v>
      </c>
      <c r="H247" s="59">
        <v>44909</v>
      </c>
      <c r="I247" s="59"/>
      <c r="J247" s="150">
        <v>44939</v>
      </c>
      <c r="K247" s="63" t="s">
        <v>1199</v>
      </c>
      <c r="L247" s="169" t="s">
        <v>1200</v>
      </c>
      <c r="M247" s="70" t="s">
        <v>19</v>
      </c>
      <c r="N247" s="59"/>
      <c r="O247" s="85"/>
      <c r="P247" s="59" t="s">
        <v>30</v>
      </c>
      <c r="Q247" s="84">
        <v>1</v>
      </c>
      <c r="R247" s="29" t="s">
        <v>1201</v>
      </c>
      <c r="S247" s="59">
        <v>44931</v>
      </c>
      <c r="T247" s="59">
        <v>44931</v>
      </c>
      <c r="U247" s="59">
        <v>44946</v>
      </c>
      <c r="V247" s="29" t="s">
        <v>20</v>
      </c>
      <c r="W247" s="29" t="s">
        <v>20</v>
      </c>
      <c r="X247" s="27" t="s">
        <v>51</v>
      </c>
      <c r="Y247" s="29" t="s">
        <v>30</v>
      </c>
      <c r="Z247" s="29" t="s">
        <v>42</v>
      </c>
      <c r="AA247" s="29" t="s">
        <v>22</v>
      </c>
      <c r="AB247" s="29" t="s">
        <v>1202</v>
      </c>
      <c r="AC247" s="59">
        <v>44945</v>
      </c>
      <c r="AD247" s="59">
        <v>44951</v>
      </c>
      <c r="AE247" s="59">
        <v>44952</v>
      </c>
      <c r="AF247" s="59">
        <v>44959</v>
      </c>
      <c r="AG247" s="59">
        <v>44959</v>
      </c>
      <c r="AH247" s="85">
        <v>44960</v>
      </c>
      <c r="AI247" s="29" t="s">
        <v>30</v>
      </c>
      <c r="AJ247" s="139">
        <v>44960</v>
      </c>
      <c r="AK247" s="139">
        <v>44967</v>
      </c>
      <c r="AL247" s="102"/>
      <c r="AM247" s="41" t="str">
        <f>VLOOKUP(Table2[[#This Row],[country]],Countrycode!A:B,2,FALSE)</f>
        <v>COD</v>
      </c>
      <c r="AN247" s="34">
        <f>IF(ISBLANK(Table2[[#This Row],[Need_RRA]]), 2,(IF(Table2[[#This Row],[Need_RRA]]="No", 0, (IF(AND(Table2[[#This Row],[Need_RRA]]="Yes",  Table2[[#This Row],[RRA_pub_date]]=""),1, 0)))))</f>
        <v>0</v>
      </c>
      <c r="AO247" s="34">
        <f>IF(ISBLANK(Table2[[#This Row],[Need_EIS]]), 2,(IF(Table2[[#This Row],[Need_EIS]]="No", 0, (IF(AND(Table2[[#This Row],[Need_EIS]]="Yes",  Table2[[#This Row],[EIS_pub_date]]=""),1, 0)))))</f>
        <v>0</v>
      </c>
      <c r="AP247" s="34">
        <f>IF(ISBLANK(Table2[[#This Row],[Need_DON]]), 2,(IF(Table2[[#This Row],[Need_DON]]="No", 0, (IF(AND(Table2[[#This Row],[Need_DON]]="Yes",  Table2[[#This Row],[DON_pub_date]]=""),1, 0)))))</f>
        <v>0</v>
      </c>
      <c r="AQ247" s="34">
        <f>IF(ISBLANK(Table2[[#This Row],[Pending_question]]), 2,(IF(Table2[[#This Row],[Pending_question]]="Yes", 1, 0)))</f>
        <v>0</v>
      </c>
      <c r="AR247" s="43"/>
    </row>
    <row r="248" spans="1:44" ht="15" customHeight="1">
      <c r="A248" s="63">
        <v>44914</v>
      </c>
      <c r="B248" s="29" t="s">
        <v>15</v>
      </c>
      <c r="C248" s="34" t="str" cm="1">
        <f t="array" ref="C24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48" s="27" t="s">
        <v>1183</v>
      </c>
      <c r="E248" s="67" t="s">
        <v>1203</v>
      </c>
      <c r="F248" s="29" t="s">
        <v>179</v>
      </c>
      <c r="G248" s="29" t="s">
        <v>34</v>
      </c>
      <c r="H248" s="59">
        <v>44914</v>
      </c>
      <c r="I248" s="59">
        <v>44912</v>
      </c>
      <c r="J248" s="59">
        <v>44901</v>
      </c>
      <c r="K248" s="59" t="s">
        <v>1204</v>
      </c>
      <c r="L248" s="104" t="s">
        <v>1205</v>
      </c>
      <c r="M248" s="70" t="s">
        <v>19</v>
      </c>
      <c r="N248" s="59"/>
      <c r="O248" s="85"/>
      <c r="P248" s="59" t="s">
        <v>19</v>
      </c>
      <c r="Q248" s="84"/>
      <c r="R248" s="29"/>
      <c r="S248" s="29"/>
      <c r="T248" s="59"/>
      <c r="U248" s="29"/>
      <c r="V248" s="29"/>
      <c r="W248" s="29"/>
      <c r="X248" s="27"/>
      <c r="Y248" s="29" t="s">
        <v>30</v>
      </c>
      <c r="Z248" s="29" t="s">
        <v>42</v>
      </c>
      <c r="AA248" s="29" t="s">
        <v>43</v>
      </c>
      <c r="AB248" s="29" t="s">
        <v>1206</v>
      </c>
      <c r="AC248" s="59">
        <v>44900</v>
      </c>
      <c r="AD248" s="59">
        <v>44901</v>
      </c>
      <c r="AE248" s="59">
        <v>44902</v>
      </c>
      <c r="AF248" s="29"/>
      <c r="AG248" s="29"/>
      <c r="AH248" s="85">
        <v>44921</v>
      </c>
      <c r="AI248" s="29" t="s">
        <v>19</v>
      </c>
      <c r="AJ248" s="139"/>
      <c r="AK248" s="27"/>
      <c r="AL248" s="102"/>
      <c r="AM248" s="41" t="str">
        <f>VLOOKUP(Table2[[#This Row],[country]],Countrycode!A:B,2,FALSE)</f>
        <v>TWN</v>
      </c>
      <c r="AN248" s="34">
        <f>IF(ISBLANK(Table2[[#This Row],[Need_RRA]]), 2,(IF(Table2[[#This Row],[Need_RRA]]="No", 0, (IF(AND(Table2[[#This Row],[Need_RRA]]="Yes",  Table2[[#This Row],[RRA_pub_date]]=""),1, 0)))))</f>
        <v>0</v>
      </c>
      <c r="AO248" s="34">
        <f>IF(ISBLANK(Table2[[#This Row],[Need_EIS]]), 2,(IF(Table2[[#This Row],[Need_EIS]]="No", 0, (IF(AND(Table2[[#This Row],[Need_EIS]]="Yes",  Table2[[#This Row],[EIS_pub_date]]=""),1, 0)))))</f>
        <v>0</v>
      </c>
      <c r="AP248" s="34">
        <f>IF(ISBLANK(Table2[[#This Row],[Need_DON]]), 2,(IF(Table2[[#This Row],[Need_DON]]="No", 0, (IF(AND(Table2[[#This Row],[Need_DON]]="Yes",  Table2[[#This Row],[DON_pub_date]]=""),1, 0)))))</f>
        <v>0</v>
      </c>
      <c r="AQ248" s="34">
        <f>IF(ISBLANK(Table2[[#This Row],[Pending_question]]), 2,(IF(Table2[[#This Row],[Pending_question]]="Yes", 1, 0)))</f>
        <v>0</v>
      </c>
      <c r="AR248" s="43"/>
    </row>
    <row r="249" spans="1:44" ht="15" customHeight="1">
      <c r="A249" s="63">
        <v>44915</v>
      </c>
      <c r="B249" s="29" t="s">
        <v>15</v>
      </c>
      <c r="C249" s="34" t="str" cm="1">
        <f t="array" ref="C24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49" s="27" t="s">
        <v>1191</v>
      </c>
      <c r="E249" s="67" t="s">
        <v>1058</v>
      </c>
      <c r="F249" s="29" t="s">
        <v>379</v>
      </c>
      <c r="G249" s="29" t="s">
        <v>34</v>
      </c>
      <c r="H249" s="59">
        <v>44915</v>
      </c>
      <c r="I249" s="59">
        <v>44915</v>
      </c>
      <c r="J249" s="59">
        <v>44913</v>
      </c>
      <c r="K249" s="59" t="s">
        <v>1207</v>
      </c>
      <c r="L249" s="85" t="s">
        <v>1208</v>
      </c>
      <c r="M249" s="70" t="s">
        <v>19</v>
      </c>
      <c r="N249" s="59"/>
      <c r="O249" s="85"/>
      <c r="P249" s="59" t="s">
        <v>19</v>
      </c>
      <c r="Q249" s="84"/>
      <c r="R249" s="29"/>
      <c r="S249" s="29"/>
      <c r="T249" s="59"/>
      <c r="U249" s="29"/>
      <c r="V249" s="29"/>
      <c r="W249" s="29"/>
      <c r="X249" s="27"/>
      <c r="Y249" s="29" t="s">
        <v>30</v>
      </c>
      <c r="Z249" s="29" t="s">
        <v>42</v>
      </c>
      <c r="AA249" s="29" t="s">
        <v>43</v>
      </c>
      <c r="AB249" s="29" t="s">
        <v>1209</v>
      </c>
      <c r="AC249" s="59">
        <v>44914</v>
      </c>
      <c r="AD249" s="59">
        <v>44916</v>
      </c>
      <c r="AE249" s="59">
        <v>44917</v>
      </c>
      <c r="AF249" s="29"/>
      <c r="AG249" s="29"/>
      <c r="AH249" s="85">
        <v>44922</v>
      </c>
      <c r="AI249" s="29" t="s">
        <v>30</v>
      </c>
      <c r="AJ249" s="139">
        <v>44922</v>
      </c>
      <c r="AK249" s="85">
        <v>44938</v>
      </c>
      <c r="AL249" s="102"/>
      <c r="AM249" s="41" t="str">
        <f>VLOOKUP(Table2[[#This Row],[country]],Countrycode!A:B,2,FALSE)</f>
        <v>SDN</v>
      </c>
      <c r="AN249" s="34">
        <f>IF(ISBLANK(Table2[[#This Row],[Need_RRA]]), 2,(IF(Table2[[#This Row],[Need_RRA]]="No", 0, (IF(AND(Table2[[#This Row],[Need_RRA]]="Yes",  Table2[[#This Row],[RRA_pub_date]]=""),1, 0)))))</f>
        <v>0</v>
      </c>
      <c r="AO249" s="34">
        <f>IF(ISBLANK(Table2[[#This Row],[Need_EIS]]), 2,(IF(Table2[[#This Row],[Need_EIS]]="No", 0, (IF(AND(Table2[[#This Row],[Need_EIS]]="Yes",  Table2[[#This Row],[EIS_pub_date]]=""),1, 0)))))</f>
        <v>0</v>
      </c>
      <c r="AP249" s="34">
        <f>IF(ISBLANK(Table2[[#This Row],[Need_DON]]), 2,(IF(Table2[[#This Row],[Need_DON]]="No", 0, (IF(AND(Table2[[#This Row],[Need_DON]]="Yes",  Table2[[#This Row],[DON_pub_date]]=""),1, 0)))))</f>
        <v>0</v>
      </c>
      <c r="AQ249" s="34">
        <f>IF(ISBLANK(Table2[[#This Row],[Pending_question]]), 2,(IF(Table2[[#This Row],[Pending_question]]="Yes", 1, 0)))</f>
        <v>0</v>
      </c>
      <c r="AR249" s="43"/>
    </row>
    <row r="250" spans="1:44" ht="15" customHeight="1">
      <c r="A250" s="63">
        <v>44924</v>
      </c>
      <c r="B250" s="29" t="s">
        <v>15</v>
      </c>
      <c r="C250" s="34" t="str" cm="1">
        <f t="array" ref="C25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50" s="27" t="s">
        <v>1191</v>
      </c>
      <c r="E250" s="67" t="s">
        <v>198</v>
      </c>
      <c r="F250" s="29" t="s">
        <v>163</v>
      </c>
      <c r="G250" s="29" t="s">
        <v>34</v>
      </c>
      <c r="H250" s="59">
        <v>44924</v>
      </c>
      <c r="I250" s="59"/>
      <c r="J250" s="59">
        <v>44921</v>
      </c>
      <c r="K250" s="29" t="s">
        <v>1210</v>
      </c>
      <c r="L250" s="373" t="s">
        <v>1211</v>
      </c>
      <c r="M250" s="70" t="s">
        <v>19</v>
      </c>
      <c r="N250" s="59"/>
      <c r="O250" s="85"/>
      <c r="P250" s="59" t="s">
        <v>19</v>
      </c>
      <c r="Q250" s="84"/>
      <c r="R250" s="29"/>
      <c r="S250" s="29"/>
      <c r="T250" s="59"/>
      <c r="U250" s="29"/>
      <c r="V250" s="29"/>
      <c r="W250" s="29"/>
      <c r="X250" s="27"/>
      <c r="Y250" s="29" t="s">
        <v>30</v>
      </c>
      <c r="Z250" s="29" t="s">
        <v>21</v>
      </c>
      <c r="AA250" s="29" t="s">
        <v>22</v>
      </c>
      <c r="AB250" s="29" t="s">
        <v>1212</v>
      </c>
      <c r="AC250" s="59">
        <v>44934</v>
      </c>
      <c r="AD250" s="59">
        <v>44934</v>
      </c>
      <c r="AE250" s="59">
        <v>44936</v>
      </c>
      <c r="AF250" s="59">
        <v>44936</v>
      </c>
      <c r="AG250" s="59">
        <v>44938</v>
      </c>
      <c r="AH250" s="85">
        <v>44940</v>
      </c>
      <c r="AI250" s="29" t="s">
        <v>19</v>
      </c>
      <c r="AJ250" s="139"/>
      <c r="AK250" s="198"/>
      <c r="AL250" s="102"/>
      <c r="AM250" s="41" t="str">
        <f>VLOOKUP(Table2[[#This Row],[country]],Countrycode!A:B,2,FALSE)</f>
        <v>CAN</v>
      </c>
      <c r="AN250" s="34">
        <f>IF(ISBLANK(Table2[[#This Row],[Need_RRA]]), 2,(IF(Table2[[#This Row],[Need_RRA]]="No", 0, (IF(AND(Table2[[#This Row],[Need_RRA]]="Yes",  Table2[[#This Row],[RRA_pub_date]]=""),1, 0)))))</f>
        <v>0</v>
      </c>
      <c r="AO250" s="34">
        <f>IF(ISBLANK(Table2[[#This Row],[Need_EIS]]), 2,(IF(Table2[[#This Row],[Need_EIS]]="No", 0, (IF(AND(Table2[[#This Row],[Need_EIS]]="Yes",  Table2[[#This Row],[EIS_pub_date]]=""),1, 0)))))</f>
        <v>0</v>
      </c>
      <c r="AP250" s="34">
        <f>IF(ISBLANK(Table2[[#This Row],[Need_DON]]), 2,(IF(Table2[[#This Row],[Need_DON]]="No", 0, (IF(AND(Table2[[#This Row],[Need_DON]]="Yes",  Table2[[#This Row],[DON_pub_date]]=""),1, 0)))))</f>
        <v>0</v>
      </c>
      <c r="AQ250" s="34">
        <f>IF(ISBLANK(Table2[[#This Row],[Pending_question]]), 2,(IF(Table2[[#This Row],[Pending_question]]="Yes", 1, 0)))</f>
        <v>0</v>
      </c>
      <c r="AR250" s="43"/>
    </row>
    <row r="251" spans="1:44" ht="15" customHeight="1">
      <c r="A251" s="63">
        <v>44924</v>
      </c>
      <c r="B251" s="29" t="s">
        <v>15</v>
      </c>
      <c r="C251" s="34" t="str" cm="1">
        <f t="array" ref="C25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51" s="27" t="s">
        <v>1191</v>
      </c>
      <c r="E251" s="67" t="s">
        <v>198</v>
      </c>
      <c r="F251" s="29" t="s">
        <v>163</v>
      </c>
      <c r="G251" s="29" t="s">
        <v>34</v>
      </c>
      <c r="H251" s="59">
        <v>44924</v>
      </c>
      <c r="I251" s="59">
        <v>44921</v>
      </c>
      <c r="J251" s="29" t="s">
        <v>1210</v>
      </c>
      <c r="K251" s="59" t="s">
        <v>1211</v>
      </c>
      <c r="L251" s="85"/>
      <c r="M251" s="70" t="s">
        <v>19</v>
      </c>
      <c r="N251" s="59"/>
      <c r="O251" s="85"/>
      <c r="P251" s="59" t="s">
        <v>19</v>
      </c>
      <c r="Q251" s="84"/>
      <c r="R251" s="29"/>
      <c r="S251" s="29"/>
      <c r="T251" s="59"/>
      <c r="U251" s="29"/>
      <c r="V251" s="29"/>
      <c r="W251" s="29"/>
      <c r="X251" s="27"/>
      <c r="Y251" s="29" t="s">
        <v>30</v>
      </c>
      <c r="Z251" s="29" t="s">
        <v>42</v>
      </c>
      <c r="AA251" s="29" t="s">
        <v>22</v>
      </c>
      <c r="AB251" s="29" t="s">
        <v>1213</v>
      </c>
      <c r="AC251" s="59">
        <v>44919</v>
      </c>
      <c r="AD251" s="59"/>
      <c r="AE251" s="59">
        <v>44922</v>
      </c>
      <c r="AF251" s="29"/>
      <c r="AG251" s="59">
        <v>44924</v>
      </c>
      <c r="AH251" s="85">
        <v>44925</v>
      </c>
      <c r="AI251" s="29" t="s">
        <v>19</v>
      </c>
      <c r="AJ251" s="139"/>
      <c r="AK251" s="27"/>
      <c r="AL251" s="102"/>
      <c r="AM251" s="41" t="str">
        <f>VLOOKUP(Table2[[#This Row],[country]],Countrycode!A:B,2,FALSE)</f>
        <v>CAN</v>
      </c>
      <c r="AN251" s="34">
        <f>IF(ISBLANK(Table2[[#This Row],[Need_RRA]]), 2,(IF(Table2[[#This Row],[Need_RRA]]="No", 0, (IF(AND(Table2[[#This Row],[Need_RRA]]="Yes",  Table2[[#This Row],[RRA_pub_date]]=""),1, 0)))))</f>
        <v>0</v>
      </c>
      <c r="AO251" s="34">
        <f>IF(ISBLANK(Table2[[#This Row],[Need_EIS]]), 2,(IF(Table2[[#This Row],[Need_EIS]]="No", 0, (IF(AND(Table2[[#This Row],[Need_EIS]]="Yes",  Table2[[#This Row],[EIS_pub_date]]=""),1, 0)))))</f>
        <v>0</v>
      </c>
      <c r="AP251" s="34">
        <f>IF(ISBLANK(Table2[[#This Row],[Need_DON]]), 2,(IF(Table2[[#This Row],[Need_DON]]="No", 0, (IF(AND(Table2[[#This Row],[Need_DON]]="Yes",  Table2[[#This Row],[DON_pub_date]]=""),1, 0)))))</f>
        <v>0</v>
      </c>
      <c r="AQ251" s="34">
        <f>IF(ISBLANK(Table2[[#This Row],[Pending_question]]), 2,(IF(Table2[[#This Row],[Pending_question]]="Yes", 1, 0)))</f>
        <v>0</v>
      </c>
      <c r="AR251" s="43"/>
    </row>
    <row r="252" spans="1:44" ht="15" customHeight="1">
      <c r="A252" s="63">
        <v>44925</v>
      </c>
      <c r="B252" s="29" t="s">
        <v>15</v>
      </c>
      <c r="C252" s="34" t="str" cm="1">
        <f t="array" ref="C25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52" s="27" t="s">
        <v>1129</v>
      </c>
      <c r="E252" s="67" t="s">
        <v>104</v>
      </c>
      <c r="F252" s="29" t="s">
        <v>173</v>
      </c>
      <c r="G252" s="29" t="s">
        <v>34</v>
      </c>
      <c r="H252" s="59">
        <v>44925</v>
      </c>
      <c r="I252" s="59">
        <v>44910</v>
      </c>
      <c r="J252" s="59">
        <v>44889</v>
      </c>
      <c r="K252" s="59" t="s">
        <v>636</v>
      </c>
      <c r="L252" s="296" t="s">
        <v>712</v>
      </c>
      <c r="M252" s="70" t="s">
        <v>19</v>
      </c>
      <c r="N252" s="59"/>
      <c r="O252" s="85"/>
      <c r="P252" s="59" t="s">
        <v>19</v>
      </c>
      <c r="Q252" s="84"/>
      <c r="R252" s="29"/>
      <c r="S252" s="29"/>
      <c r="T252" s="59"/>
      <c r="U252" s="29"/>
      <c r="V252" s="29"/>
      <c r="W252" s="29"/>
      <c r="X252" s="27"/>
      <c r="Y252" s="29" t="s">
        <v>30</v>
      </c>
      <c r="Z252" s="29" t="s">
        <v>21</v>
      </c>
      <c r="AA252" s="29" t="s">
        <v>22</v>
      </c>
      <c r="AB252" s="29" t="s">
        <v>1214</v>
      </c>
      <c r="AC252" s="59">
        <v>44891</v>
      </c>
      <c r="AD252" s="59">
        <v>44893</v>
      </c>
      <c r="AE252" s="59">
        <v>44893</v>
      </c>
      <c r="AF252" s="59">
        <v>44893</v>
      </c>
      <c r="AG252" s="29"/>
      <c r="AH252" s="85">
        <v>44925</v>
      </c>
      <c r="AI252" s="29" t="s">
        <v>19</v>
      </c>
      <c r="AJ252" s="139"/>
      <c r="AK252" s="27"/>
      <c r="AL252" s="102"/>
      <c r="AM252" s="41" t="str">
        <f>VLOOKUP(Table2[[#This Row],[country]],Countrycode!A:B,2,FALSE)</f>
        <v>CHN</v>
      </c>
      <c r="AN252" s="34">
        <f>IF(ISBLANK(Table2[[#This Row],[Need_RRA]]), 2,(IF(Table2[[#This Row],[Need_RRA]]="No", 0, (IF(AND(Table2[[#This Row],[Need_RRA]]="Yes",  Table2[[#This Row],[RRA_pub_date]]=""),1, 0)))))</f>
        <v>0</v>
      </c>
      <c r="AO252" s="34">
        <f>IF(ISBLANK(Table2[[#This Row],[Need_EIS]]), 2,(IF(Table2[[#This Row],[Need_EIS]]="No", 0, (IF(AND(Table2[[#This Row],[Need_EIS]]="Yes",  Table2[[#This Row],[EIS_pub_date]]=""),1, 0)))))</f>
        <v>0</v>
      </c>
      <c r="AP252" s="34">
        <f>IF(ISBLANK(Table2[[#This Row],[Need_DON]]), 2,(IF(Table2[[#This Row],[Need_DON]]="No", 0, (IF(AND(Table2[[#This Row],[Need_DON]]="Yes",  Table2[[#This Row],[DON_pub_date]]=""),1, 0)))))</f>
        <v>0</v>
      </c>
      <c r="AQ252" s="34">
        <f>IF(ISBLANK(Table2[[#This Row],[Pending_question]]), 2,(IF(Table2[[#This Row],[Pending_question]]="Yes", 1, 0)))</f>
        <v>0</v>
      </c>
      <c r="AR252" s="43"/>
    </row>
    <row r="253" spans="1:44" ht="15" customHeight="1">
      <c r="A253" s="63">
        <v>44925</v>
      </c>
      <c r="B253" s="29" t="s">
        <v>15</v>
      </c>
      <c r="C253" s="34" t="str" cm="1">
        <f t="array" ref="C25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53" s="27" t="s">
        <v>1129</v>
      </c>
      <c r="E253" s="67" t="s">
        <v>110</v>
      </c>
      <c r="F253" s="29" t="s">
        <v>173</v>
      </c>
      <c r="G253" s="29" t="s">
        <v>34</v>
      </c>
      <c r="H253" s="59">
        <v>44925</v>
      </c>
      <c r="I253" s="59">
        <v>44910</v>
      </c>
      <c r="J253" s="59">
        <v>44889</v>
      </c>
      <c r="K253" s="59" t="s">
        <v>694</v>
      </c>
      <c r="L253" s="112" t="s">
        <v>795</v>
      </c>
      <c r="M253" s="70" t="s">
        <v>19</v>
      </c>
      <c r="N253" s="59"/>
      <c r="O253" s="85"/>
      <c r="P253" s="59" t="s">
        <v>19</v>
      </c>
      <c r="Q253" s="84"/>
      <c r="R253" s="29"/>
      <c r="S253" s="29"/>
      <c r="T253" s="59"/>
      <c r="U253" s="29"/>
      <c r="V253" s="29"/>
      <c r="W253" s="29"/>
      <c r="X253" s="27"/>
      <c r="Y253" s="29" t="s">
        <v>30</v>
      </c>
      <c r="Z253" s="29" t="s">
        <v>21</v>
      </c>
      <c r="AA253" s="29" t="s">
        <v>22</v>
      </c>
      <c r="AB253" s="29" t="s">
        <v>1215</v>
      </c>
      <c r="AC253" s="59">
        <v>44891</v>
      </c>
      <c r="AD253" s="59">
        <v>44893</v>
      </c>
      <c r="AE253" s="59">
        <v>44893</v>
      </c>
      <c r="AF253" s="59">
        <v>44893</v>
      </c>
      <c r="AG253" s="29"/>
      <c r="AH253" s="85">
        <v>44926</v>
      </c>
      <c r="AI253" s="29" t="s">
        <v>19</v>
      </c>
      <c r="AJ253" s="139"/>
      <c r="AK253" s="27"/>
      <c r="AL253" s="102"/>
      <c r="AM253" s="41" t="str">
        <f>VLOOKUP(Table2[[#This Row],[country]],Countrycode!A:B,2,FALSE)</f>
        <v>CHN</v>
      </c>
      <c r="AN253" s="34">
        <f>IF(ISBLANK(Table2[[#This Row],[Need_RRA]]), 2,(IF(Table2[[#This Row],[Need_RRA]]="No", 0, (IF(AND(Table2[[#This Row],[Need_RRA]]="Yes",  Table2[[#This Row],[RRA_pub_date]]=""),1, 0)))))</f>
        <v>0</v>
      </c>
      <c r="AO253" s="34">
        <f>IF(ISBLANK(Table2[[#This Row],[Need_EIS]]), 2,(IF(Table2[[#This Row],[Need_EIS]]="No", 0, (IF(AND(Table2[[#This Row],[Need_EIS]]="Yes",  Table2[[#This Row],[EIS_pub_date]]=""),1, 0)))))</f>
        <v>0</v>
      </c>
      <c r="AP253" s="34">
        <f>IF(ISBLANK(Table2[[#This Row],[Need_DON]]), 2,(IF(Table2[[#This Row],[Need_DON]]="No", 0, (IF(AND(Table2[[#This Row],[Need_DON]]="Yes",  Table2[[#This Row],[DON_pub_date]]=""),1, 0)))))</f>
        <v>0</v>
      </c>
      <c r="AQ253" s="34">
        <f>IF(ISBLANK(Table2[[#This Row],[Pending_question]]), 2,(IF(Table2[[#This Row],[Pending_question]]="Yes", 1, 0)))</f>
        <v>0</v>
      </c>
      <c r="AR253" s="43"/>
    </row>
    <row r="254" spans="1:44" ht="15" customHeight="1">
      <c r="A254" s="63">
        <v>44925</v>
      </c>
      <c r="B254" s="29" t="s">
        <v>15</v>
      </c>
      <c r="C254" s="34" t="str" cm="1">
        <f t="array" ref="C25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54" s="27" t="s">
        <v>1172</v>
      </c>
      <c r="E254" s="67" t="s">
        <v>128</v>
      </c>
      <c r="F254" s="29" t="s">
        <v>287</v>
      </c>
      <c r="G254" s="29" t="s">
        <v>34</v>
      </c>
      <c r="H254" s="59">
        <v>44925</v>
      </c>
      <c r="I254" s="59"/>
      <c r="J254" s="29"/>
      <c r="K254" s="274" t="s">
        <v>1216</v>
      </c>
      <c r="L254" s="168" t="s">
        <v>1217</v>
      </c>
      <c r="M254" s="70" t="s">
        <v>19</v>
      </c>
      <c r="N254" s="59"/>
      <c r="O254" s="85"/>
      <c r="P254" s="59" t="s">
        <v>30</v>
      </c>
      <c r="Q254" s="84">
        <v>1</v>
      </c>
      <c r="R254" s="29" t="s">
        <v>1218</v>
      </c>
      <c r="S254" s="59">
        <v>44904</v>
      </c>
      <c r="T254" s="59">
        <v>44904</v>
      </c>
      <c r="U254" s="59">
        <v>44938</v>
      </c>
      <c r="V254" s="29" t="s">
        <v>41</v>
      </c>
      <c r="W254" s="29" t="s">
        <v>20</v>
      </c>
      <c r="X254" s="27" t="s">
        <v>51</v>
      </c>
      <c r="Y254" s="29" t="s">
        <v>19</v>
      </c>
      <c r="Z254" s="29" t="s">
        <v>34</v>
      </c>
      <c r="AA254" s="29" t="s">
        <v>22</v>
      </c>
      <c r="AB254" s="29" t="s">
        <v>1219</v>
      </c>
      <c r="AC254" s="59">
        <v>44938</v>
      </c>
      <c r="AD254" s="59">
        <v>44939</v>
      </c>
      <c r="AE254" s="59">
        <v>44942</v>
      </c>
      <c r="AF254" s="59">
        <v>44945</v>
      </c>
      <c r="AG254" s="29"/>
      <c r="AH254" s="27"/>
      <c r="AI254" s="29" t="s">
        <v>31</v>
      </c>
      <c r="AJ254" s="139"/>
      <c r="AK254" s="27"/>
      <c r="AL254" s="102"/>
      <c r="AM254" s="41" t="str">
        <f>VLOOKUP(Table2[[#This Row],[country]],Countrycode!A:B,2,FALSE)</f>
        <v>KEN</v>
      </c>
      <c r="AN254" s="34">
        <f>IF(ISBLANK(Table2[[#This Row],[Need_RRA]]), 2,(IF(Table2[[#This Row],[Need_RRA]]="No", 0, (IF(AND(Table2[[#This Row],[Need_RRA]]="Yes",  Table2[[#This Row],[RRA_pub_date]]=""),1, 0)))))</f>
        <v>0</v>
      </c>
      <c r="AO254" s="34">
        <f>IF(ISBLANK(Table2[[#This Row],[Need_EIS]]), 2,(IF(Table2[[#This Row],[Need_EIS]]="No", 0, (IF(AND(Table2[[#This Row],[Need_EIS]]="Yes",  Table2[[#This Row],[EIS_pub_date]]=""),1, 0)))))</f>
        <v>0</v>
      </c>
      <c r="AP254" s="34">
        <f>IF(ISBLANK(Table2[[#This Row],[Need_DON]]), 2,(IF(Table2[[#This Row],[Need_DON]]="No", 0, (IF(AND(Table2[[#This Row],[Need_DON]]="Yes",  Table2[[#This Row],[DON_pub_date]]=""),1, 0)))))</f>
        <v>0</v>
      </c>
      <c r="AQ254" s="34">
        <f>IF(ISBLANK(Table2[[#This Row],[Pending_question]]), 2,(IF(Table2[[#This Row],[Pending_question]]="Yes", 1, 0)))</f>
        <v>0</v>
      </c>
      <c r="AR254" s="43"/>
    </row>
    <row r="255" spans="1:44" ht="15" customHeight="1">
      <c r="A255" s="63">
        <v>44925</v>
      </c>
      <c r="B255" s="29" t="s">
        <v>15</v>
      </c>
      <c r="C255" s="34" t="str" cm="1">
        <f t="array" ref="C25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55" s="27" t="s">
        <v>1172</v>
      </c>
      <c r="E255" s="67" t="s">
        <v>128</v>
      </c>
      <c r="F255" s="29" t="s">
        <v>301</v>
      </c>
      <c r="G255" s="29" t="s">
        <v>34</v>
      </c>
      <c r="H255" s="59">
        <v>44925</v>
      </c>
      <c r="I255" s="59">
        <v>44926</v>
      </c>
      <c r="J255" s="153"/>
      <c r="K255" s="167" t="s">
        <v>844</v>
      </c>
      <c r="L255" s="168" t="s">
        <v>845</v>
      </c>
      <c r="M255" s="70" t="s">
        <v>19</v>
      </c>
      <c r="N255" s="59"/>
      <c r="O255" s="85"/>
      <c r="P255" s="59" t="s">
        <v>30</v>
      </c>
      <c r="Q255" s="84">
        <v>3</v>
      </c>
      <c r="R255" s="29" t="s">
        <v>1220</v>
      </c>
      <c r="S255" s="59">
        <v>44910</v>
      </c>
      <c r="T255" s="59"/>
      <c r="U255" s="59">
        <v>44926</v>
      </c>
      <c r="V255" s="29" t="s">
        <v>41</v>
      </c>
      <c r="W255" s="29" t="s">
        <v>41</v>
      </c>
      <c r="X255" s="27" t="s">
        <v>51</v>
      </c>
      <c r="Y255" s="29" t="s">
        <v>30</v>
      </c>
      <c r="Z255" s="29" t="s">
        <v>21</v>
      </c>
      <c r="AA255" s="29" t="s">
        <v>22</v>
      </c>
      <c r="AB255" s="29" t="s">
        <v>1221</v>
      </c>
      <c r="AC255" s="59">
        <v>44952</v>
      </c>
      <c r="AD255" s="59">
        <v>44956</v>
      </c>
      <c r="AE255" s="59">
        <v>44959</v>
      </c>
      <c r="AF255" s="29"/>
      <c r="AG255" s="59">
        <v>44970</v>
      </c>
      <c r="AH255" s="85">
        <v>44971</v>
      </c>
      <c r="AI255" s="29" t="s">
        <v>30</v>
      </c>
      <c r="AJ255" s="139">
        <v>44945</v>
      </c>
      <c r="AK255" s="85">
        <v>44966</v>
      </c>
      <c r="AL255" s="102" t="s">
        <v>1222</v>
      </c>
      <c r="AM255" s="41" t="str">
        <f>VLOOKUP(Table2[[#This Row],[country]],Countrycode!A:B,2,FALSE)</f>
        <v>MWI</v>
      </c>
      <c r="AN255" s="34">
        <f>IF(ISBLANK(Table2[[#This Row],[Need_RRA]]), 2,(IF(Table2[[#This Row],[Need_RRA]]="No", 0, (IF(AND(Table2[[#This Row],[Need_RRA]]="Yes",  Table2[[#This Row],[RRA_pub_date]]=""),1, 0)))))</f>
        <v>0</v>
      </c>
      <c r="AO255" s="34">
        <f>IF(ISBLANK(Table2[[#This Row],[Need_EIS]]), 2,(IF(Table2[[#This Row],[Need_EIS]]="No", 0, (IF(AND(Table2[[#This Row],[Need_EIS]]="Yes",  Table2[[#This Row],[EIS_pub_date]]=""),1, 0)))))</f>
        <v>0</v>
      </c>
      <c r="AP255" s="34">
        <f>IF(ISBLANK(Table2[[#This Row],[Need_DON]]), 2,(IF(Table2[[#This Row],[Need_DON]]="No", 0, (IF(AND(Table2[[#This Row],[Need_DON]]="Yes",  Table2[[#This Row],[DON_pub_date]]=""),1, 0)))))</f>
        <v>0</v>
      </c>
      <c r="AQ255" s="34">
        <f>IF(ISBLANK(Table2[[#This Row],[Pending_question]]), 2,(IF(Table2[[#This Row],[Pending_question]]="Yes", 1, 0)))</f>
        <v>0</v>
      </c>
      <c r="AR255" s="43"/>
    </row>
    <row r="256" spans="1:44" ht="15" customHeight="1">
      <c r="A256" s="63">
        <v>44930</v>
      </c>
      <c r="B256" s="29" t="s">
        <v>15</v>
      </c>
      <c r="C256" s="34" t="str" cm="1">
        <f t="array" ref="C25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56" s="27" t="s">
        <v>1020</v>
      </c>
      <c r="E256" s="67" t="s">
        <v>104</v>
      </c>
      <c r="F256" s="29" t="s">
        <v>173</v>
      </c>
      <c r="G256" s="29" t="s">
        <v>34</v>
      </c>
      <c r="H256" s="59">
        <v>44930</v>
      </c>
      <c r="I256" s="59">
        <v>45300</v>
      </c>
      <c r="J256" s="59">
        <v>43332</v>
      </c>
      <c r="K256" s="29" t="s">
        <v>1223</v>
      </c>
      <c r="L256" s="184" t="s">
        <v>712</v>
      </c>
      <c r="M256" s="70" t="s">
        <v>19</v>
      </c>
      <c r="N256" s="29"/>
      <c r="O256" s="27"/>
      <c r="P256" s="29" t="s">
        <v>19</v>
      </c>
      <c r="Q256" s="84"/>
      <c r="R256" s="29"/>
      <c r="S256" s="29"/>
      <c r="T256" s="59"/>
      <c r="U256" s="29"/>
      <c r="V256" s="29"/>
      <c r="W256" s="29"/>
      <c r="X256" s="27"/>
      <c r="Y256" s="29" t="s">
        <v>30</v>
      </c>
      <c r="Z256" s="29" t="s">
        <v>42</v>
      </c>
      <c r="AA256" s="29" t="s">
        <v>22</v>
      </c>
      <c r="AB256" s="29" t="s">
        <v>1224</v>
      </c>
      <c r="AC256" s="59">
        <v>45295</v>
      </c>
      <c r="AD256" s="59">
        <v>45295</v>
      </c>
      <c r="AE256" s="59">
        <v>45295</v>
      </c>
      <c r="AF256" s="59">
        <v>45296</v>
      </c>
      <c r="AG256" s="59">
        <v>45300</v>
      </c>
      <c r="AH256" s="85">
        <v>45300</v>
      </c>
      <c r="AI256" s="29" t="s">
        <v>19</v>
      </c>
      <c r="AJ256" s="139"/>
      <c r="AK256" s="27"/>
      <c r="AL256" s="102"/>
      <c r="AM256" s="41" t="str">
        <f>VLOOKUP(Table2[[#This Row],[country]],Countrycode!A:B,2,FALSE)</f>
        <v>CHN</v>
      </c>
      <c r="AN256" s="34">
        <f>IF(ISBLANK(Table2[[#This Row],[Need_RRA]]), 2,(IF(Table2[[#This Row],[Need_RRA]]="No", 0, (IF(AND(Table2[[#This Row],[Need_RRA]]="Yes",  Table2[[#This Row],[RRA_pub_date]]=""),1, 0)))))</f>
        <v>0</v>
      </c>
      <c r="AO256" s="34">
        <f>IF(ISBLANK(Table2[[#This Row],[Need_EIS]]), 2,(IF(Table2[[#This Row],[Need_EIS]]="No", 0, (IF(AND(Table2[[#This Row],[Need_EIS]]="Yes",  Table2[[#This Row],[EIS_pub_date]]=""),1, 0)))))</f>
        <v>0</v>
      </c>
      <c r="AP256" s="34">
        <f>IF(ISBLANK(Table2[[#This Row],[Need_DON]]), 2,(IF(Table2[[#This Row],[Need_DON]]="No", 0, (IF(AND(Table2[[#This Row],[Need_DON]]="Yes",  Table2[[#This Row],[DON_pub_date]]=""),1, 0)))))</f>
        <v>0</v>
      </c>
      <c r="AQ256" s="34">
        <f>IF(ISBLANK(Table2[[#This Row],[Pending_question]]), 2,(IF(Table2[[#This Row],[Pending_question]]="Yes", 1, 0)))</f>
        <v>0</v>
      </c>
      <c r="AR256" s="225"/>
    </row>
    <row r="257" spans="1:44" ht="15" customHeight="1">
      <c r="A257" s="63">
        <v>44935</v>
      </c>
      <c r="B257" s="29" t="s">
        <v>15</v>
      </c>
      <c r="C257" s="34" t="str" cm="1">
        <f t="array" ref="C25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57" s="27" t="s">
        <v>1168</v>
      </c>
      <c r="E257" s="67" t="s">
        <v>176</v>
      </c>
      <c r="F257" s="29" t="s">
        <v>322</v>
      </c>
      <c r="G257" s="29" t="s">
        <v>34</v>
      </c>
      <c r="H257" s="59">
        <v>44935</v>
      </c>
      <c r="I257" s="59"/>
      <c r="J257" s="59">
        <v>44932</v>
      </c>
      <c r="K257" s="59" t="s">
        <v>1225</v>
      </c>
      <c r="L257" s="104" t="s">
        <v>1226</v>
      </c>
      <c r="M257" s="70" t="s">
        <v>19</v>
      </c>
      <c r="N257" s="59"/>
      <c r="O257" s="85"/>
      <c r="P257" s="59" t="s">
        <v>30</v>
      </c>
      <c r="Q257" s="84">
        <v>1</v>
      </c>
      <c r="R257" s="29" t="s">
        <v>1227</v>
      </c>
      <c r="S257" s="59">
        <v>44944</v>
      </c>
      <c r="T257" s="59">
        <v>44944</v>
      </c>
      <c r="U257" s="59">
        <v>44965</v>
      </c>
      <c r="V257" s="29" t="s">
        <v>20</v>
      </c>
      <c r="W257" s="29" t="s">
        <v>32</v>
      </c>
      <c r="X257" s="27" t="s">
        <v>51</v>
      </c>
      <c r="Y257" s="29" t="s">
        <v>30</v>
      </c>
      <c r="Z257" s="29" t="s">
        <v>42</v>
      </c>
      <c r="AA257" s="29" t="s">
        <v>22</v>
      </c>
      <c r="AB257" s="29" t="s">
        <v>1228</v>
      </c>
      <c r="AC257" s="59">
        <v>44965</v>
      </c>
      <c r="AD257" s="59">
        <v>44970</v>
      </c>
      <c r="AE257" s="59">
        <v>44972</v>
      </c>
      <c r="AF257" s="29"/>
      <c r="AG257" s="29"/>
      <c r="AH257" s="85">
        <v>44985</v>
      </c>
      <c r="AI257" s="29" t="s">
        <v>30</v>
      </c>
      <c r="AJ257" s="139">
        <v>44986</v>
      </c>
      <c r="AK257" s="85">
        <v>44999</v>
      </c>
      <c r="AL257" s="102"/>
      <c r="AM257" s="41" t="str">
        <f>VLOOKUP(Table2[[#This Row],[country]],Countrycode!A:B,2,FALSE)</f>
        <v>NPL</v>
      </c>
      <c r="AN257" s="34">
        <f>IF(ISBLANK(Table2[[#This Row],[Need_RRA]]), 2,(IF(Table2[[#This Row],[Need_RRA]]="No", 0, (IF(AND(Table2[[#This Row],[Need_RRA]]="Yes",  Table2[[#This Row],[RRA_pub_date]]=""),1, 0)))))</f>
        <v>0</v>
      </c>
      <c r="AO257" s="34">
        <f>IF(ISBLANK(Table2[[#This Row],[Need_EIS]]), 2,(IF(Table2[[#This Row],[Need_EIS]]="No", 0, (IF(AND(Table2[[#This Row],[Need_EIS]]="Yes",  Table2[[#This Row],[EIS_pub_date]]=""),1, 0)))))</f>
        <v>0</v>
      </c>
      <c r="AP257" s="34">
        <f>IF(ISBLANK(Table2[[#This Row],[Need_DON]]), 2,(IF(Table2[[#This Row],[Need_DON]]="No", 0, (IF(AND(Table2[[#This Row],[Need_DON]]="Yes",  Table2[[#This Row],[DON_pub_date]]=""),1, 0)))))</f>
        <v>0</v>
      </c>
      <c r="AQ257" s="34">
        <f>IF(ISBLANK(Table2[[#This Row],[Pending_question]]), 2,(IF(Table2[[#This Row],[Pending_question]]="Yes", 1, 0)))</f>
        <v>0</v>
      </c>
      <c r="AR257" s="43"/>
    </row>
    <row r="258" spans="1:44" ht="15" customHeight="1">
      <c r="A258" s="63">
        <v>44935</v>
      </c>
      <c r="B258" s="29" t="s">
        <v>15</v>
      </c>
      <c r="C258" s="34" t="str" cm="1">
        <f t="array" ref="C25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58" s="27" t="s">
        <v>1229</v>
      </c>
      <c r="E258" s="67" t="s">
        <v>180</v>
      </c>
      <c r="F258" s="29" t="s">
        <v>334</v>
      </c>
      <c r="G258" s="29" t="s">
        <v>34</v>
      </c>
      <c r="H258" s="59">
        <v>44935</v>
      </c>
      <c r="I258" s="59">
        <v>44944</v>
      </c>
      <c r="J258" s="59">
        <v>44931</v>
      </c>
      <c r="K258" s="59" t="s">
        <v>1230</v>
      </c>
      <c r="L258" s="104" t="s">
        <v>1231</v>
      </c>
      <c r="M258" s="70" t="s">
        <v>19</v>
      </c>
      <c r="N258" s="59"/>
      <c r="O258" s="85"/>
      <c r="P258" s="59" t="s">
        <v>19</v>
      </c>
      <c r="Q258" s="84"/>
      <c r="R258" s="29"/>
      <c r="S258" s="29"/>
      <c r="T258" s="59"/>
      <c r="U258" s="29"/>
      <c r="V258" s="29"/>
      <c r="W258" s="29"/>
      <c r="X258" s="27"/>
      <c r="Y258" s="29" t="s">
        <v>30</v>
      </c>
      <c r="Z258" s="29" t="s">
        <v>42</v>
      </c>
      <c r="AA258" s="29" t="s">
        <v>22</v>
      </c>
      <c r="AB258" s="29" t="s">
        <v>1232</v>
      </c>
      <c r="AC258" s="59">
        <v>44932</v>
      </c>
      <c r="AD258" s="59">
        <v>44944</v>
      </c>
      <c r="AE258" s="59">
        <v>44945</v>
      </c>
      <c r="AF258" s="59">
        <v>44946</v>
      </c>
      <c r="AG258" s="59">
        <v>44949</v>
      </c>
      <c r="AH258" s="85">
        <v>44949</v>
      </c>
      <c r="AI258" s="29" t="s">
        <v>30</v>
      </c>
      <c r="AJ258" s="139">
        <v>44949</v>
      </c>
      <c r="AK258" s="85">
        <v>44965</v>
      </c>
      <c r="AL258" s="102"/>
      <c r="AM258" s="41" t="str">
        <f>VLOOKUP(Table2[[#This Row],[country]],Countrycode!A:B,2,FALSE)</f>
        <v>OMN</v>
      </c>
      <c r="AN258" s="34">
        <f>IF(ISBLANK(Table2[[#This Row],[Need_RRA]]), 2,(IF(Table2[[#This Row],[Need_RRA]]="No", 0, (IF(AND(Table2[[#This Row],[Need_RRA]]="Yes",  Table2[[#This Row],[RRA_pub_date]]=""),1, 0)))))</f>
        <v>0</v>
      </c>
      <c r="AO258" s="34">
        <f>IF(ISBLANK(Table2[[#This Row],[Need_EIS]]), 2,(IF(Table2[[#This Row],[Need_EIS]]="No", 0, (IF(AND(Table2[[#This Row],[Need_EIS]]="Yes",  Table2[[#This Row],[EIS_pub_date]]=""),1, 0)))))</f>
        <v>0</v>
      </c>
      <c r="AP258" s="34">
        <f>IF(ISBLANK(Table2[[#This Row],[Need_DON]]), 2,(IF(Table2[[#This Row],[Need_DON]]="No", 0, (IF(AND(Table2[[#This Row],[Need_DON]]="Yes",  Table2[[#This Row],[DON_pub_date]]=""),1, 0)))))</f>
        <v>0</v>
      </c>
      <c r="AQ258" s="34">
        <f>IF(ISBLANK(Table2[[#This Row],[Pending_question]]), 2,(IF(Table2[[#This Row],[Pending_question]]="Yes", 1, 0)))</f>
        <v>0</v>
      </c>
      <c r="AR258" s="43"/>
    </row>
    <row r="259" spans="1:44" ht="15.75" customHeight="1">
      <c r="A259" s="63">
        <v>44935</v>
      </c>
      <c r="B259" s="29" t="s">
        <v>15</v>
      </c>
      <c r="C259" s="34" t="str" cm="1">
        <f t="array" ref="C25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59" s="27" t="s">
        <v>1233</v>
      </c>
      <c r="E259" s="67" t="s">
        <v>80</v>
      </c>
      <c r="F259" s="29" t="s">
        <v>377</v>
      </c>
      <c r="G259" s="29" t="s">
        <v>34</v>
      </c>
      <c r="H259" s="59">
        <v>44935</v>
      </c>
      <c r="I259" s="59"/>
      <c r="J259" s="59">
        <v>44931</v>
      </c>
      <c r="K259" s="59" t="s">
        <v>1234</v>
      </c>
      <c r="L259" s="85" t="s">
        <v>1235</v>
      </c>
      <c r="M259" s="70" t="s">
        <v>19</v>
      </c>
      <c r="N259" s="59"/>
      <c r="O259" s="85"/>
      <c r="P259" s="59" t="s">
        <v>19</v>
      </c>
      <c r="Q259" s="84"/>
      <c r="R259" s="29"/>
      <c r="S259" s="29"/>
      <c r="T259" s="59"/>
      <c r="U259" s="29"/>
      <c r="V259" s="29"/>
      <c r="W259" s="29"/>
      <c r="X259" s="27"/>
      <c r="Y259" s="29" t="s">
        <v>30</v>
      </c>
      <c r="Z259" s="29" t="s">
        <v>42</v>
      </c>
      <c r="AA259" s="29" t="s">
        <v>43</v>
      </c>
      <c r="AB259" s="29" t="s">
        <v>1236</v>
      </c>
      <c r="AC259" s="59">
        <v>44932</v>
      </c>
      <c r="AD259" s="59">
        <v>44932</v>
      </c>
      <c r="AE259" s="59">
        <v>44935</v>
      </c>
      <c r="AF259" s="59">
        <v>44935</v>
      </c>
      <c r="AG259" s="59">
        <v>44939</v>
      </c>
      <c r="AH259" s="85">
        <v>44939</v>
      </c>
      <c r="AI259" s="29" t="s">
        <v>19</v>
      </c>
      <c r="AJ259" s="139"/>
      <c r="AK259" s="27"/>
      <c r="AL259" s="102"/>
      <c r="AM259" s="41" t="str">
        <f>VLOOKUP(Table2[[#This Row],[country]],Countrycode!A:B,2,FALSE)</f>
        <v>ESP</v>
      </c>
      <c r="AN259" s="34">
        <f>IF(ISBLANK(Table2[[#This Row],[Need_RRA]]), 2,(IF(Table2[[#This Row],[Need_RRA]]="No", 0, (IF(AND(Table2[[#This Row],[Need_RRA]]="Yes",  Table2[[#This Row],[RRA_pub_date]]=""),1, 0)))))</f>
        <v>0</v>
      </c>
      <c r="AO259" s="34">
        <f>IF(ISBLANK(Table2[[#This Row],[Need_EIS]]), 2,(IF(Table2[[#This Row],[Need_EIS]]="No", 0, (IF(AND(Table2[[#This Row],[Need_EIS]]="Yes",  Table2[[#This Row],[EIS_pub_date]]=""),1, 0)))))</f>
        <v>0</v>
      </c>
      <c r="AP259" s="34">
        <f>IF(ISBLANK(Table2[[#This Row],[Need_DON]]), 2,(IF(Table2[[#This Row],[Need_DON]]="No", 0, (IF(AND(Table2[[#This Row],[Need_DON]]="Yes",  Table2[[#This Row],[DON_pub_date]]=""),1, 0)))))</f>
        <v>0</v>
      </c>
      <c r="AQ259" s="34">
        <f>IF(ISBLANK(Table2[[#This Row],[Pending_question]]), 2,(IF(Table2[[#This Row],[Pending_question]]="Yes", 1, 0)))</f>
        <v>0</v>
      </c>
      <c r="AR259" s="43"/>
    </row>
    <row r="260" spans="1:44" ht="15" customHeight="1">
      <c r="A260" s="63">
        <v>44935</v>
      </c>
      <c r="B260" s="29" t="s">
        <v>15</v>
      </c>
      <c r="C260" s="34" t="str" cm="1">
        <f t="array" ref="C26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60" s="27" t="s">
        <v>1237</v>
      </c>
      <c r="E260" s="70" t="s">
        <v>231</v>
      </c>
      <c r="F260" s="54" t="s">
        <v>397</v>
      </c>
      <c r="G260" s="29" t="s">
        <v>34</v>
      </c>
      <c r="H260" s="55">
        <v>44935</v>
      </c>
      <c r="I260" s="59"/>
      <c r="J260" s="55">
        <v>44916</v>
      </c>
      <c r="K260" s="59" t="s">
        <v>1084</v>
      </c>
      <c r="L260" s="104" t="s">
        <v>1085</v>
      </c>
      <c r="M260" s="70" t="s">
        <v>19</v>
      </c>
      <c r="N260" s="55"/>
      <c r="O260" s="71"/>
      <c r="P260" s="55" t="s">
        <v>19</v>
      </c>
      <c r="Q260" s="84"/>
      <c r="R260" s="54"/>
      <c r="S260" s="29"/>
      <c r="T260" s="59"/>
      <c r="U260" s="29"/>
      <c r="V260" s="29"/>
      <c r="W260" s="29"/>
      <c r="X260" s="27"/>
      <c r="Y260" s="54" t="s">
        <v>30</v>
      </c>
      <c r="Z260" s="29" t="s">
        <v>21</v>
      </c>
      <c r="AA260" s="29" t="s">
        <v>43</v>
      </c>
      <c r="AB260" s="54" t="s">
        <v>1238</v>
      </c>
      <c r="AC260" s="59">
        <v>44931</v>
      </c>
      <c r="AD260" s="59">
        <v>44931</v>
      </c>
      <c r="AE260" s="59">
        <v>44932</v>
      </c>
      <c r="AF260" s="29"/>
      <c r="AG260" s="29"/>
      <c r="AH260" s="85">
        <v>44939</v>
      </c>
      <c r="AI260" s="54" t="s">
        <v>30</v>
      </c>
      <c r="AJ260" s="139">
        <v>44932</v>
      </c>
      <c r="AK260" s="85">
        <v>44940</v>
      </c>
      <c r="AL260" s="102"/>
      <c r="AM260" s="41" t="str">
        <f>VLOOKUP(Table2[[#This Row],[country]],Countrycode!A:B,2,FALSE)</f>
        <v>UGA</v>
      </c>
      <c r="AN260" s="34">
        <f>IF(ISBLANK(Table2[[#This Row],[Need_RRA]]), 2,(IF(Table2[[#This Row],[Need_RRA]]="No", 0, (IF(AND(Table2[[#This Row],[Need_RRA]]="Yes",  Table2[[#This Row],[RRA_pub_date]]=""),1, 0)))))</f>
        <v>0</v>
      </c>
      <c r="AO260" s="34">
        <f>IF(ISBLANK(Table2[[#This Row],[Need_EIS]]), 2,(IF(Table2[[#This Row],[Need_EIS]]="No", 0, (IF(AND(Table2[[#This Row],[Need_EIS]]="Yes",  Table2[[#This Row],[EIS_pub_date]]=""),1, 0)))))</f>
        <v>0</v>
      </c>
      <c r="AP260" s="34">
        <f>IF(ISBLANK(Table2[[#This Row],[Need_DON]]), 2,(IF(Table2[[#This Row],[Need_DON]]="No", 0, (IF(AND(Table2[[#This Row],[Need_DON]]="Yes",  Table2[[#This Row],[DON_pub_date]]=""),1, 0)))))</f>
        <v>0</v>
      </c>
      <c r="AQ260" s="34">
        <f>IF(ISBLANK(Table2[[#This Row],[Pending_question]]), 2,(IF(Table2[[#This Row],[Pending_question]]="Yes", 1, 0)))</f>
        <v>0</v>
      </c>
      <c r="AR260" s="43"/>
    </row>
    <row r="261" spans="1:44" ht="15" customHeight="1">
      <c r="A261" s="63">
        <v>44936</v>
      </c>
      <c r="B261" s="29" t="s">
        <v>15</v>
      </c>
      <c r="C261" s="34" t="str" cm="1">
        <f t="array" ref="C26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61" s="27" t="s">
        <v>1239</v>
      </c>
      <c r="E261" s="70" t="s">
        <v>128</v>
      </c>
      <c r="F261" s="29" t="s">
        <v>318</v>
      </c>
      <c r="G261" s="29" t="s">
        <v>34</v>
      </c>
      <c r="H261" s="55">
        <v>44936</v>
      </c>
      <c r="I261" s="59">
        <v>44951</v>
      </c>
      <c r="J261" s="55">
        <v>44737</v>
      </c>
      <c r="K261" s="59" t="s">
        <v>1240</v>
      </c>
      <c r="L261" s="104" t="s">
        <v>1241</v>
      </c>
      <c r="M261" s="70" t="s">
        <v>19</v>
      </c>
      <c r="N261" s="55"/>
      <c r="O261" s="71"/>
      <c r="P261" s="55" t="s">
        <v>30</v>
      </c>
      <c r="Q261" s="84">
        <v>1</v>
      </c>
      <c r="R261" s="54" t="s">
        <v>1242</v>
      </c>
      <c r="S261" s="59">
        <v>44943</v>
      </c>
      <c r="T261" s="59">
        <v>44949</v>
      </c>
      <c r="U261" s="59">
        <v>44953</v>
      </c>
      <c r="V261" s="29" t="s">
        <v>41</v>
      </c>
      <c r="W261" s="29" t="s">
        <v>41</v>
      </c>
      <c r="X261" s="27" t="s">
        <v>51</v>
      </c>
      <c r="Y261" s="54" t="s">
        <v>30</v>
      </c>
      <c r="Z261" s="29" t="s">
        <v>42</v>
      </c>
      <c r="AA261" s="29" t="s">
        <v>22</v>
      </c>
      <c r="AB261" s="54" t="s">
        <v>1243</v>
      </c>
      <c r="AC261" s="59">
        <v>44958</v>
      </c>
      <c r="AD261" s="59">
        <v>44595</v>
      </c>
      <c r="AE261" s="59">
        <v>44964</v>
      </c>
      <c r="AF261" s="29"/>
      <c r="AG261" s="59">
        <v>44970</v>
      </c>
      <c r="AH261" s="85">
        <v>44971</v>
      </c>
      <c r="AI261" s="54" t="s">
        <v>30</v>
      </c>
      <c r="AJ261" s="139">
        <v>44972</v>
      </c>
      <c r="AK261" s="85">
        <v>44981</v>
      </c>
      <c r="AL261" s="102"/>
      <c r="AM261" s="41" t="str">
        <f>VLOOKUP(Table2[[#This Row],[country]],Countrycode!A:B,2,FALSE)</f>
        <v>MOZ</v>
      </c>
      <c r="AN261" s="34">
        <f>IF(ISBLANK(Table2[[#This Row],[Need_RRA]]), 2,(IF(Table2[[#This Row],[Need_RRA]]="No", 0, (IF(AND(Table2[[#This Row],[Need_RRA]]="Yes",  Table2[[#This Row],[RRA_pub_date]]=""),1, 0)))))</f>
        <v>0</v>
      </c>
      <c r="AO261" s="34">
        <f>IF(ISBLANK(Table2[[#This Row],[Need_EIS]]), 2,(IF(Table2[[#This Row],[Need_EIS]]="No", 0, (IF(AND(Table2[[#This Row],[Need_EIS]]="Yes",  Table2[[#This Row],[EIS_pub_date]]=""),1, 0)))))</f>
        <v>0</v>
      </c>
      <c r="AP261" s="34">
        <f>IF(ISBLANK(Table2[[#This Row],[Need_DON]]), 2,(IF(Table2[[#This Row],[Need_DON]]="No", 0, (IF(AND(Table2[[#This Row],[Need_DON]]="Yes",  Table2[[#This Row],[DON_pub_date]]=""),1, 0)))))</f>
        <v>0</v>
      </c>
      <c r="AQ261" s="34">
        <f>IF(ISBLANK(Table2[[#This Row],[Pending_question]]), 2,(IF(Table2[[#This Row],[Pending_question]]="Yes", 1, 0)))</f>
        <v>0</v>
      </c>
      <c r="AR261" s="43"/>
    </row>
    <row r="262" spans="1:44" ht="15" customHeight="1">
      <c r="A262" s="63">
        <v>44936</v>
      </c>
      <c r="B262" s="159" t="s">
        <v>15</v>
      </c>
      <c r="C262" s="160" t="str" cm="1">
        <f t="array" ref="C26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62" s="161" t="s">
        <v>1244</v>
      </c>
      <c r="E262" s="70" t="s">
        <v>144</v>
      </c>
      <c r="F262" s="54" t="s">
        <v>400</v>
      </c>
      <c r="G262" s="159" t="s">
        <v>34</v>
      </c>
      <c r="H262" s="55">
        <v>44936</v>
      </c>
      <c r="I262" s="159"/>
      <c r="J262" s="55">
        <v>45300</v>
      </c>
      <c r="K262" s="159" t="s">
        <v>1245</v>
      </c>
      <c r="L262" s="353" t="s">
        <v>1246</v>
      </c>
      <c r="M262" s="70" t="s">
        <v>19</v>
      </c>
      <c r="N262" s="54"/>
      <c r="O262" s="26"/>
      <c r="P262" s="54" t="s">
        <v>19</v>
      </c>
      <c r="Q262" s="154"/>
      <c r="R262" s="54"/>
      <c r="S262" s="159"/>
      <c r="T262" s="162"/>
      <c r="U262" s="159"/>
      <c r="V262" s="159"/>
      <c r="W262" s="159"/>
      <c r="X262" s="161"/>
      <c r="Y262" s="54" t="s">
        <v>30</v>
      </c>
      <c r="Z262" s="29" t="s">
        <v>42</v>
      </c>
      <c r="AA262" s="159" t="s">
        <v>43</v>
      </c>
      <c r="AB262" s="54" t="s">
        <v>1247</v>
      </c>
      <c r="AC262" s="162">
        <v>45302</v>
      </c>
      <c r="AD262" s="162">
        <v>45302</v>
      </c>
      <c r="AE262" s="162">
        <v>45305</v>
      </c>
      <c r="AF262" s="162">
        <v>45306</v>
      </c>
      <c r="AG262" s="162">
        <v>45307</v>
      </c>
      <c r="AH262" s="164">
        <v>45307</v>
      </c>
      <c r="AI262" s="54" t="s">
        <v>19</v>
      </c>
      <c r="AJ262" s="165"/>
      <c r="AK262" s="161"/>
      <c r="AM262" s="16" t="str">
        <f>VLOOKUP(Table2[[#This Row],[country]],Countrycode!A:B,2,FALSE)</f>
        <v>GBR</v>
      </c>
      <c r="AN262" s="160">
        <f>IF(ISBLANK(Table2[[#This Row],[Need_RRA]]), 2,(IF(Table2[[#This Row],[Need_RRA]]="No", 0, (IF(AND(Table2[[#This Row],[Need_RRA]]="Yes",  Table2[[#This Row],[RRA_pub_date]]=""),1, 0)))))</f>
        <v>0</v>
      </c>
      <c r="AO262" s="160">
        <f>IF(ISBLANK(Table2[[#This Row],[Need_EIS]]), 2,(IF(Table2[[#This Row],[Need_EIS]]="No", 0, (IF(AND(Table2[[#This Row],[Need_EIS]]="Yes",  Table2[[#This Row],[EIS_pub_date]]=""),1, 0)))))</f>
        <v>0</v>
      </c>
      <c r="AP262" s="160">
        <f>IF(ISBLANK(Table2[[#This Row],[Need_DON]]), 2,(IF(Table2[[#This Row],[Need_DON]]="No", 0, (IF(AND(Table2[[#This Row],[Need_DON]]="Yes",  Table2[[#This Row],[DON_pub_date]]=""),1, 0)))))</f>
        <v>0</v>
      </c>
      <c r="AQ262" s="160">
        <f>IF(ISBLANK(Table2[[#This Row],[Pending_question]]), 2,(IF(Table2[[#This Row],[Pending_question]]="Yes", 1, 0)))</f>
        <v>0</v>
      </c>
      <c r="AR262" s="230"/>
    </row>
    <row r="263" spans="1:44" ht="15" customHeight="1">
      <c r="A263" s="63">
        <v>44937</v>
      </c>
      <c r="B263" s="159" t="s">
        <v>15</v>
      </c>
      <c r="C263" s="160" t="str" cm="1">
        <f t="array" ref="C26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63" s="161" t="s">
        <v>1248</v>
      </c>
      <c r="E263" s="70" t="s">
        <v>1145</v>
      </c>
      <c r="F263" s="54" t="s">
        <v>218</v>
      </c>
      <c r="G263" s="159" t="s">
        <v>34</v>
      </c>
      <c r="H263" s="55">
        <v>44937</v>
      </c>
      <c r="I263" s="162">
        <v>44937</v>
      </c>
      <c r="J263" s="54"/>
      <c r="K263" s="162"/>
      <c r="L263" s="164"/>
      <c r="M263" s="70" t="s">
        <v>19</v>
      </c>
      <c r="N263" s="55"/>
      <c r="O263" s="71"/>
      <c r="P263" s="55" t="s">
        <v>19</v>
      </c>
      <c r="Q263" s="154"/>
      <c r="R263" s="54"/>
      <c r="S263" s="159"/>
      <c r="T263" s="162"/>
      <c r="U263" s="159"/>
      <c r="V263" s="159"/>
      <c r="W263" s="159"/>
      <c r="X263" s="161"/>
      <c r="Y263" s="54" t="s">
        <v>30</v>
      </c>
      <c r="Z263" s="29" t="s">
        <v>42</v>
      </c>
      <c r="AA263" s="159" t="s">
        <v>22</v>
      </c>
      <c r="AB263" s="54" t="s">
        <v>1249</v>
      </c>
      <c r="AC263" s="162">
        <v>44936</v>
      </c>
      <c r="AD263" s="162">
        <v>44936</v>
      </c>
      <c r="AE263" s="162">
        <v>44937</v>
      </c>
      <c r="AF263" s="162">
        <v>44937</v>
      </c>
      <c r="AG263" s="162">
        <v>44938</v>
      </c>
      <c r="AH263" s="164">
        <v>44939</v>
      </c>
      <c r="AI263" s="54" t="s">
        <v>30</v>
      </c>
      <c r="AJ263" s="165">
        <v>44938</v>
      </c>
      <c r="AK263" s="165">
        <v>44944</v>
      </c>
      <c r="AM263" s="16" t="str">
        <f>VLOOKUP(Table2[[#This Row],[country]],Countrycode!A:B,2,FALSE)</f>
        <v>ECU</v>
      </c>
      <c r="AN263" s="160">
        <f>IF(ISBLANK(Table2[[#This Row],[Need_RRA]]), 2,(IF(Table2[[#This Row],[Need_RRA]]="No", 0, (IF(AND(Table2[[#This Row],[Need_RRA]]="Yes",  Table2[[#This Row],[RRA_pub_date]]=""),1, 0)))))</f>
        <v>0</v>
      </c>
      <c r="AO263" s="160">
        <f>IF(ISBLANK(Table2[[#This Row],[Need_EIS]]), 2,(IF(Table2[[#This Row],[Need_EIS]]="No", 0, (IF(AND(Table2[[#This Row],[Need_EIS]]="Yes",  Table2[[#This Row],[EIS_pub_date]]=""),1, 0)))))</f>
        <v>0</v>
      </c>
      <c r="AP263" s="160">
        <f>IF(ISBLANK(Table2[[#This Row],[Need_DON]]), 2,(IF(Table2[[#This Row],[Need_DON]]="No", 0, (IF(AND(Table2[[#This Row],[Need_DON]]="Yes",  Table2[[#This Row],[DON_pub_date]]=""),1, 0)))))</f>
        <v>0</v>
      </c>
      <c r="AQ263" s="160">
        <f>IF(ISBLANK(Table2[[#This Row],[Pending_question]]), 2,(IF(Table2[[#This Row],[Pending_question]]="Yes", 1, 0)))</f>
        <v>0</v>
      </c>
      <c r="AR263" s="166"/>
    </row>
    <row r="264" spans="1:44" ht="15" customHeight="1">
      <c r="A264" s="63">
        <v>44942</v>
      </c>
      <c r="B264" s="29" t="s">
        <v>15</v>
      </c>
      <c r="C264" s="34" t="str" cm="1">
        <f t="array" ref="C26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64" s="27" t="s">
        <v>1250</v>
      </c>
      <c r="E264" s="67" t="s">
        <v>178</v>
      </c>
      <c r="F264" s="29" t="s">
        <v>327</v>
      </c>
      <c r="G264" s="29" t="s">
        <v>34</v>
      </c>
      <c r="H264" s="59">
        <v>44942</v>
      </c>
      <c r="I264" s="59"/>
      <c r="J264" s="59">
        <v>44923</v>
      </c>
      <c r="K264" s="59" t="s">
        <v>1251</v>
      </c>
      <c r="L264" s="104" t="s">
        <v>1252</v>
      </c>
      <c r="M264" s="70" t="s">
        <v>19</v>
      </c>
      <c r="N264" s="59"/>
      <c r="O264" s="85"/>
      <c r="P264" s="59" t="s">
        <v>30</v>
      </c>
      <c r="Q264" s="84">
        <v>1</v>
      </c>
      <c r="R264" s="29" t="s">
        <v>1253</v>
      </c>
      <c r="S264" s="59">
        <v>44936</v>
      </c>
      <c r="T264" s="59">
        <v>44937</v>
      </c>
      <c r="U264" s="59">
        <v>44946</v>
      </c>
      <c r="V264" s="29" t="s">
        <v>20</v>
      </c>
      <c r="W264" s="29" t="s">
        <v>32</v>
      </c>
      <c r="X264" s="27" t="s">
        <v>51</v>
      </c>
      <c r="Y264" s="29" t="s">
        <v>30</v>
      </c>
      <c r="Z264" s="29" t="s">
        <v>42</v>
      </c>
      <c r="AA264" s="29" t="s">
        <v>22</v>
      </c>
      <c r="AB264" s="29"/>
      <c r="AC264" s="59">
        <v>44949</v>
      </c>
      <c r="AD264" s="59">
        <v>44951</v>
      </c>
      <c r="AE264" s="59">
        <v>44952</v>
      </c>
      <c r="AF264" s="59">
        <v>44952</v>
      </c>
      <c r="AG264" s="59">
        <v>44955</v>
      </c>
      <c r="AH264" s="85">
        <v>44956</v>
      </c>
      <c r="AI264" s="29" t="s">
        <v>30</v>
      </c>
      <c r="AJ264" s="139">
        <v>44956</v>
      </c>
      <c r="AK264" s="139">
        <v>44965</v>
      </c>
      <c r="AL264" s="102"/>
      <c r="AM264" s="41" t="str">
        <f>VLOOKUP(Table2[[#This Row],[country]],Countrycode!A:B,2,FALSE)</f>
        <v>NER</v>
      </c>
      <c r="AN264" s="34">
        <f>IF(ISBLANK(Table2[[#This Row],[Need_RRA]]), 2,(IF(Table2[[#This Row],[Need_RRA]]="No", 0, (IF(AND(Table2[[#This Row],[Need_RRA]]="Yes",  Table2[[#This Row],[RRA_pub_date]]=""),1, 0)))))</f>
        <v>0</v>
      </c>
      <c r="AO264" s="34">
        <f>IF(ISBLANK(Table2[[#This Row],[Need_EIS]]), 2,(IF(Table2[[#This Row],[Need_EIS]]="No", 0, (IF(AND(Table2[[#This Row],[Need_EIS]]="Yes",  Table2[[#This Row],[EIS_pub_date]]=""),1, 0)))))</f>
        <v>0</v>
      </c>
      <c r="AP264" s="34">
        <f>IF(ISBLANK(Table2[[#This Row],[Need_DON]]), 2,(IF(Table2[[#This Row],[Need_DON]]="No", 0, (IF(AND(Table2[[#This Row],[Need_DON]]="Yes",  Table2[[#This Row],[DON_pub_date]]=""),1, 0)))))</f>
        <v>0</v>
      </c>
      <c r="AQ264" s="34">
        <f>IF(ISBLANK(Table2[[#This Row],[Pending_question]]), 2,(IF(Table2[[#This Row],[Pending_question]]="Yes", 1, 0)))</f>
        <v>0</v>
      </c>
      <c r="AR264" s="43"/>
    </row>
    <row r="265" spans="1:44" ht="15" customHeight="1">
      <c r="A265" s="63">
        <v>44943</v>
      </c>
      <c r="B265" s="29" t="s">
        <v>15</v>
      </c>
      <c r="C265" s="34" t="str" cm="1">
        <f t="array" ref="C26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65" s="27" t="s">
        <v>1239</v>
      </c>
      <c r="E265" s="67" t="s">
        <v>128</v>
      </c>
      <c r="F265" s="29" t="s">
        <v>93</v>
      </c>
      <c r="G265" s="29" t="s">
        <v>93</v>
      </c>
      <c r="H265" s="155"/>
      <c r="I265" s="156"/>
      <c r="J265" s="155"/>
      <c r="K265" s="156"/>
      <c r="L265" s="85"/>
      <c r="M265" s="70" t="s">
        <v>19</v>
      </c>
      <c r="N265" s="59"/>
      <c r="O265" s="85"/>
      <c r="P265" s="59" t="s">
        <v>30</v>
      </c>
      <c r="Q265" s="84">
        <v>2</v>
      </c>
      <c r="R265" s="29" t="s">
        <v>1254</v>
      </c>
      <c r="S265" s="59">
        <v>44943</v>
      </c>
      <c r="T265" s="59">
        <v>44943</v>
      </c>
      <c r="U265" s="59">
        <v>44947</v>
      </c>
      <c r="V265" s="29" t="s">
        <v>34</v>
      </c>
      <c r="W265" s="29" t="s">
        <v>34</v>
      </c>
      <c r="X265" s="27" t="s">
        <v>41</v>
      </c>
      <c r="Y265" s="29" t="s">
        <v>30</v>
      </c>
      <c r="Z265" s="29" t="s">
        <v>33</v>
      </c>
      <c r="AA265" s="29" t="s">
        <v>43</v>
      </c>
      <c r="AB265" s="29" t="s">
        <v>1255</v>
      </c>
      <c r="AC265" s="59">
        <v>44950</v>
      </c>
      <c r="AD265" s="59">
        <v>44950</v>
      </c>
      <c r="AE265" s="59">
        <v>44951</v>
      </c>
      <c r="AF265" s="155" t="s">
        <v>632</v>
      </c>
      <c r="AG265" s="388" t="s">
        <v>632</v>
      </c>
      <c r="AH265" s="85">
        <v>44957</v>
      </c>
      <c r="AI265" s="29" t="s">
        <v>30</v>
      </c>
      <c r="AJ265" s="139">
        <v>44958</v>
      </c>
      <c r="AK265" s="85">
        <v>44968</v>
      </c>
      <c r="AL265" s="102" t="s">
        <v>1256</v>
      </c>
      <c r="AM265" s="41" t="e">
        <f>VLOOKUP(Table2[[#This Row],[country]],Countrycode!A:B,2,FALSE)</f>
        <v>#N/A</v>
      </c>
      <c r="AN265" s="34">
        <f>IF(ISBLANK(Table2[[#This Row],[Need_RRA]]), 2,(IF(Table2[[#This Row],[Need_RRA]]="No", 0, (IF(AND(Table2[[#This Row],[Need_RRA]]="Yes",  Table2[[#This Row],[RRA_pub_date]]=""),1, 0)))))</f>
        <v>0</v>
      </c>
      <c r="AO265" s="34">
        <f>IF(ISBLANK(Table2[[#This Row],[Need_EIS]]), 2,(IF(Table2[[#This Row],[Need_EIS]]="No", 0, (IF(AND(Table2[[#This Row],[Need_EIS]]="Yes",  Table2[[#This Row],[EIS_pub_date]]=""),1, 0)))))</f>
        <v>0</v>
      </c>
      <c r="AP265" s="34">
        <f>IF(ISBLANK(Table2[[#This Row],[Need_DON]]), 2,(IF(Table2[[#This Row],[Need_DON]]="No", 0, (IF(AND(Table2[[#This Row],[Need_DON]]="Yes",  Table2[[#This Row],[DON_pub_date]]=""),1, 0)))))</f>
        <v>0</v>
      </c>
      <c r="AQ265" s="34">
        <f>IF(ISBLANK(Table2[[#This Row],[Pending_question]]), 2,(IF(Table2[[#This Row],[Pending_question]]="Yes", 1, 0)))</f>
        <v>0</v>
      </c>
      <c r="AR265" s="43"/>
    </row>
    <row r="266" spans="1:44" ht="15" customHeight="1">
      <c r="A266" s="63">
        <v>44946</v>
      </c>
      <c r="B266" s="29" t="s">
        <v>15</v>
      </c>
      <c r="C266" s="34" t="str" cm="1">
        <f t="array" ref="C26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66" s="27" t="s">
        <v>1248</v>
      </c>
      <c r="E266" s="67" t="s">
        <v>188</v>
      </c>
      <c r="F266" s="29" t="s">
        <v>117</v>
      </c>
      <c r="G266" s="29" t="s">
        <v>34</v>
      </c>
      <c r="H266" s="59">
        <v>44946</v>
      </c>
      <c r="I266" s="59">
        <v>44963</v>
      </c>
      <c r="J266" s="59">
        <v>44945</v>
      </c>
      <c r="K266" s="59" t="s">
        <v>1257</v>
      </c>
      <c r="L266" s="112" t="s">
        <v>1258</v>
      </c>
      <c r="M266" s="70" t="s">
        <v>19</v>
      </c>
      <c r="N266" s="59"/>
      <c r="O266" s="85"/>
      <c r="P266" s="59" t="s">
        <v>30</v>
      </c>
      <c r="Q266" s="84">
        <v>1</v>
      </c>
      <c r="R266" s="29" t="s">
        <v>1259</v>
      </c>
      <c r="S266" s="59">
        <v>44946</v>
      </c>
      <c r="T266" s="59">
        <v>44946</v>
      </c>
      <c r="U266" s="59">
        <v>44958</v>
      </c>
      <c r="V266" s="29" t="s">
        <v>20</v>
      </c>
      <c r="W266" s="29" t="s">
        <v>32</v>
      </c>
      <c r="X266" s="27" t="s">
        <v>51</v>
      </c>
      <c r="Y266" s="29" t="s">
        <v>30</v>
      </c>
      <c r="Z266" s="29" t="s">
        <v>42</v>
      </c>
      <c r="AA266" s="29" t="s">
        <v>22</v>
      </c>
      <c r="AB266" s="29" t="s">
        <v>1260</v>
      </c>
      <c r="AC266" s="59">
        <v>44946</v>
      </c>
      <c r="AD266" s="59">
        <v>44954</v>
      </c>
      <c r="AE266" s="59">
        <v>44956</v>
      </c>
      <c r="AF266" s="59">
        <v>44958</v>
      </c>
      <c r="AG266" s="59">
        <v>44963</v>
      </c>
      <c r="AH266" s="85">
        <v>44963</v>
      </c>
      <c r="AI266" s="29" t="s">
        <v>30</v>
      </c>
      <c r="AJ266" s="139">
        <v>44964</v>
      </c>
      <c r="AK266" s="85">
        <v>44974</v>
      </c>
      <c r="AL266" s="102"/>
      <c r="AM266" s="41" t="str">
        <f>VLOOKUP(Table2[[#This Row],[country]],Countrycode!A:B,2,FALSE)</f>
        <v>BGD</v>
      </c>
      <c r="AN266" s="34">
        <f>IF(ISBLANK(Table2[[#This Row],[Need_RRA]]), 2,(IF(Table2[[#This Row],[Need_RRA]]="No", 0, (IF(AND(Table2[[#This Row],[Need_RRA]]="Yes",  Table2[[#This Row],[RRA_pub_date]]=""),1, 0)))))</f>
        <v>0</v>
      </c>
      <c r="AO266" s="34">
        <f>IF(ISBLANK(Table2[[#This Row],[Need_EIS]]), 2,(IF(Table2[[#This Row],[Need_EIS]]="No", 0, (IF(AND(Table2[[#This Row],[Need_EIS]]="Yes",  Table2[[#This Row],[EIS_pub_date]]=""),1, 0)))))</f>
        <v>0</v>
      </c>
      <c r="AP266" s="34">
        <f>IF(ISBLANK(Table2[[#This Row],[Need_DON]]), 2,(IF(Table2[[#This Row],[Need_DON]]="No", 0, (IF(AND(Table2[[#This Row],[Need_DON]]="Yes",  Table2[[#This Row],[DON_pub_date]]=""),1, 0)))))</f>
        <v>0</v>
      </c>
      <c r="AQ266" s="34">
        <f>IF(ISBLANK(Table2[[#This Row],[Pending_question]]), 2,(IF(Table2[[#This Row],[Pending_question]]="Yes", 1, 0)))</f>
        <v>0</v>
      </c>
      <c r="AR266" s="43"/>
    </row>
    <row r="267" spans="1:44" ht="15" customHeight="1">
      <c r="A267" s="63">
        <v>44949</v>
      </c>
      <c r="B267" s="29" t="s">
        <v>15</v>
      </c>
      <c r="C267" s="34" t="str" cm="1">
        <f t="array" ref="C26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67" s="27" t="s">
        <v>1133</v>
      </c>
      <c r="E267" s="67" t="s">
        <v>176</v>
      </c>
      <c r="F267" s="29" t="s">
        <v>275</v>
      </c>
      <c r="G267" s="29" t="s">
        <v>34</v>
      </c>
      <c r="H267" s="29"/>
      <c r="I267" s="59"/>
      <c r="J267" s="59">
        <v>44949</v>
      </c>
      <c r="K267" s="59" t="s">
        <v>1261</v>
      </c>
      <c r="L267" s="85" t="s">
        <v>1262</v>
      </c>
      <c r="M267" s="70" t="s">
        <v>19</v>
      </c>
      <c r="N267" s="59"/>
      <c r="O267" s="85"/>
      <c r="P267" s="59" t="s">
        <v>30</v>
      </c>
      <c r="Q267" s="84">
        <v>1</v>
      </c>
      <c r="R267" s="29" t="s">
        <v>1263</v>
      </c>
      <c r="S267" s="59">
        <v>44958</v>
      </c>
      <c r="T267" s="59">
        <v>44958</v>
      </c>
      <c r="U267" s="59">
        <v>44973</v>
      </c>
      <c r="V267" s="29" t="s">
        <v>20</v>
      </c>
      <c r="W267" s="29" t="s">
        <v>32</v>
      </c>
      <c r="X267" s="27" t="s">
        <v>51</v>
      </c>
      <c r="Y267" s="29" t="s">
        <v>30</v>
      </c>
      <c r="Z267" s="29" t="s">
        <v>42</v>
      </c>
      <c r="AA267" s="29" t="s">
        <v>22</v>
      </c>
      <c r="AB267" s="29" t="s">
        <v>1264</v>
      </c>
      <c r="AC267" s="59">
        <v>44973</v>
      </c>
      <c r="AD267" s="59">
        <v>45020</v>
      </c>
      <c r="AE267" s="59">
        <v>45030</v>
      </c>
      <c r="AF267" s="29"/>
      <c r="AG267" s="29"/>
      <c r="AH267" s="85">
        <v>45034</v>
      </c>
      <c r="AI267" s="29" t="s">
        <v>30</v>
      </c>
      <c r="AJ267" s="139">
        <v>45034</v>
      </c>
      <c r="AK267" s="85">
        <v>45044</v>
      </c>
      <c r="AL267" s="102"/>
      <c r="AM267" s="41" t="str">
        <f>VLOOKUP(Table2[[#This Row],[country]],Countrycode!A:B,2,FALSE)</f>
        <v>IDN</v>
      </c>
      <c r="AN267" s="34">
        <f>IF(ISBLANK(Table2[[#This Row],[Need_RRA]]), 2,(IF(Table2[[#This Row],[Need_RRA]]="No", 0, (IF(AND(Table2[[#This Row],[Need_RRA]]="Yes",  Table2[[#This Row],[RRA_pub_date]]=""),1, 0)))))</f>
        <v>0</v>
      </c>
      <c r="AO267" s="34">
        <f>IF(ISBLANK(Table2[[#This Row],[Need_EIS]]), 2,(IF(Table2[[#This Row],[Need_EIS]]="No", 0, (IF(AND(Table2[[#This Row],[Need_EIS]]="Yes",  Table2[[#This Row],[EIS_pub_date]]=""),1, 0)))))</f>
        <v>0</v>
      </c>
      <c r="AP267" s="34">
        <f>IF(ISBLANK(Table2[[#This Row],[Need_DON]]), 2,(IF(Table2[[#This Row],[Need_DON]]="No", 0, (IF(AND(Table2[[#This Row],[Need_DON]]="Yes",  Table2[[#This Row],[DON_pub_date]]=""),1, 0)))))</f>
        <v>0</v>
      </c>
      <c r="AQ267" s="34">
        <f>IF(ISBLANK(Table2[[#This Row],[Pending_question]]), 2,(IF(Table2[[#This Row],[Pending_question]]="Yes", 1, 0)))</f>
        <v>0</v>
      </c>
      <c r="AR267" s="43"/>
    </row>
    <row r="268" spans="1:44" ht="15" customHeight="1">
      <c r="A268" s="63">
        <v>44951</v>
      </c>
      <c r="B268" s="29" t="s">
        <v>15</v>
      </c>
      <c r="C268" s="34" t="str" cm="1">
        <f t="array" ref="C26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68" s="27" t="s">
        <v>1133</v>
      </c>
      <c r="E268" s="67" t="s">
        <v>176</v>
      </c>
      <c r="F268" s="29" t="s">
        <v>339</v>
      </c>
      <c r="G268" s="29" t="s">
        <v>34</v>
      </c>
      <c r="H268" s="59">
        <v>44951</v>
      </c>
      <c r="I268" s="59">
        <v>44953</v>
      </c>
      <c r="J268" s="59">
        <v>44949</v>
      </c>
      <c r="K268" s="59" t="s">
        <v>1265</v>
      </c>
      <c r="L268" s="112" t="s">
        <v>1266</v>
      </c>
      <c r="M268" s="70" t="s">
        <v>19</v>
      </c>
      <c r="N268" s="59"/>
      <c r="O268" s="85"/>
      <c r="P268" s="59" t="s">
        <v>19</v>
      </c>
      <c r="Q268" s="84">
        <v>1</v>
      </c>
      <c r="R268" s="29"/>
      <c r="S268" s="29"/>
      <c r="T268" s="59"/>
      <c r="U268" s="29"/>
      <c r="V268" s="29"/>
      <c r="W268" s="29"/>
      <c r="X268" s="27"/>
      <c r="Y268" s="29" t="s">
        <v>30</v>
      </c>
      <c r="Z268" s="29" t="s">
        <v>42</v>
      </c>
      <c r="AA268" s="29" t="s">
        <v>22</v>
      </c>
      <c r="AB268" s="29" t="s">
        <v>1267</v>
      </c>
      <c r="AC268" s="59">
        <v>44950</v>
      </c>
      <c r="AD268" s="59">
        <v>44950</v>
      </c>
      <c r="AE268" s="59">
        <v>44951</v>
      </c>
      <c r="AF268" s="59">
        <v>44952</v>
      </c>
      <c r="AG268" s="59">
        <v>44953</v>
      </c>
      <c r="AH268" s="85">
        <v>44953</v>
      </c>
      <c r="AI268" s="29" t="s">
        <v>30</v>
      </c>
      <c r="AJ268" s="139">
        <v>44956</v>
      </c>
      <c r="AK268" s="85">
        <v>44959</v>
      </c>
      <c r="AL268" s="102"/>
      <c r="AM268" s="41" t="str">
        <f>VLOOKUP(Table2[[#This Row],[country]],Countrycode!A:B,2,FALSE)</f>
        <v>PRY</v>
      </c>
      <c r="AN268" s="34">
        <f>IF(ISBLANK(Table2[[#This Row],[Need_RRA]]), 2,(IF(Table2[[#This Row],[Need_RRA]]="No", 0, (IF(AND(Table2[[#This Row],[Need_RRA]]="Yes",  Table2[[#This Row],[RRA_pub_date]]=""),1, 0)))))</f>
        <v>0</v>
      </c>
      <c r="AO268" s="34">
        <f>IF(ISBLANK(Table2[[#This Row],[Need_EIS]]), 2,(IF(Table2[[#This Row],[Need_EIS]]="No", 0, (IF(AND(Table2[[#This Row],[Need_EIS]]="Yes",  Table2[[#This Row],[EIS_pub_date]]=""),1, 0)))))</f>
        <v>0</v>
      </c>
      <c r="AP268" s="34">
        <f>IF(ISBLANK(Table2[[#This Row],[Need_DON]]), 2,(IF(Table2[[#This Row],[Need_DON]]="No", 0, (IF(AND(Table2[[#This Row],[Need_DON]]="Yes",  Table2[[#This Row],[DON_pub_date]]=""),1, 0)))))</f>
        <v>0</v>
      </c>
      <c r="AQ268" s="34">
        <f>IF(ISBLANK(Table2[[#This Row],[Pending_question]]), 2,(IF(Table2[[#This Row],[Pending_question]]="Yes", 1, 0)))</f>
        <v>0</v>
      </c>
      <c r="AR268" s="43"/>
    </row>
    <row r="269" spans="1:44" ht="15" customHeight="1">
      <c r="A269" s="63">
        <v>44958</v>
      </c>
      <c r="B269" s="29" t="s">
        <v>15</v>
      </c>
      <c r="C269" s="34" t="str" cm="1">
        <f t="array" ref="C26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69" s="27" t="s">
        <v>1268</v>
      </c>
      <c r="E269" s="67" t="s">
        <v>172</v>
      </c>
      <c r="F269" s="29" t="s">
        <v>212</v>
      </c>
      <c r="G269" s="29" t="s">
        <v>34</v>
      </c>
      <c r="H269" s="59">
        <v>44958</v>
      </c>
      <c r="I269" s="59">
        <v>44978</v>
      </c>
      <c r="J269" s="59">
        <v>43509</v>
      </c>
      <c r="K269" s="59" t="s">
        <v>1269</v>
      </c>
      <c r="L269" s="112" t="s">
        <v>1270</v>
      </c>
      <c r="M269" s="70" t="s">
        <v>19</v>
      </c>
      <c r="N269" s="59"/>
      <c r="O269" s="85"/>
      <c r="P269" s="59" t="s">
        <v>30</v>
      </c>
      <c r="Q269" s="84">
        <v>3</v>
      </c>
      <c r="R269" s="29" t="s">
        <v>1271</v>
      </c>
      <c r="S269" s="59">
        <v>44952</v>
      </c>
      <c r="T269" s="59">
        <v>44952</v>
      </c>
      <c r="U269" s="59">
        <v>44965</v>
      </c>
      <c r="V269" s="29" t="s">
        <v>20</v>
      </c>
      <c r="W269" s="29" t="s">
        <v>20</v>
      </c>
      <c r="X269" s="27" t="s">
        <v>51</v>
      </c>
      <c r="Y269" s="29" t="s">
        <v>19</v>
      </c>
      <c r="Z269" s="29" t="s">
        <v>34</v>
      </c>
      <c r="AA269" s="29" t="s">
        <v>22</v>
      </c>
      <c r="AB269" s="29" t="s">
        <v>1272</v>
      </c>
      <c r="AC269" s="59">
        <v>44964</v>
      </c>
      <c r="AD269" s="59">
        <v>44966</v>
      </c>
      <c r="AE269" s="59">
        <v>44967</v>
      </c>
      <c r="AF269" s="29"/>
      <c r="AG269" s="29"/>
      <c r="AH269" s="27"/>
      <c r="AI269" s="29" t="s">
        <v>19</v>
      </c>
      <c r="AJ269" s="139">
        <v>45025</v>
      </c>
      <c r="AK269" s="85">
        <v>45052</v>
      </c>
      <c r="AL269" s="102" t="s">
        <v>1273</v>
      </c>
      <c r="AM269" s="41" t="str">
        <f>VLOOKUP(Table2[[#This Row],[country]],Countrycode!A:B,2,FALSE)</f>
        <v>DJI</v>
      </c>
      <c r="AN269" s="34">
        <f>IF(ISBLANK(Table2[[#This Row],[Need_RRA]]), 2,(IF(Table2[[#This Row],[Need_RRA]]="No", 0, (IF(AND(Table2[[#This Row],[Need_RRA]]="Yes",  Table2[[#This Row],[RRA_pub_date]]=""),1, 0)))))</f>
        <v>0</v>
      </c>
      <c r="AO269" s="34">
        <f>IF(ISBLANK(Table2[[#This Row],[Need_EIS]]), 2,(IF(Table2[[#This Row],[Need_EIS]]="No", 0, (IF(AND(Table2[[#This Row],[Need_EIS]]="Yes",  Table2[[#This Row],[EIS_pub_date]]=""),1, 0)))))</f>
        <v>0</v>
      </c>
      <c r="AP269" s="34">
        <f>IF(ISBLANK(Table2[[#This Row],[Need_DON]]), 2,(IF(Table2[[#This Row],[Need_DON]]="No", 0, (IF(AND(Table2[[#This Row],[Need_DON]]="Yes",  Table2[[#This Row],[DON_pub_date]]=""),1, 0)))))</f>
        <v>0</v>
      </c>
      <c r="AQ269" s="34">
        <f>IF(ISBLANK(Table2[[#This Row],[Pending_question]]), 2,(IF(Table2[[#This Row],[Pending_question]]="Yes", 1, 0)))</f>
        <v>0</v>
      </c>
      <c r="AR269" s="43"/>
    </row>
    <row r="270" spans="1:44" ht="15" customHeight="1">
      <c r="A270" s="63">
        <v>44958</v>
      </c>
      <c r="B270" s="29" t="s">
        <v>15</v>
      </c>
      <c r="C270" s="34" t="str" cm="1">
        <f t="array" ref="C27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70" s="27" t="s">
        <v>1274</v>
      </c>
      <c r="E270" s="67" t="s">
        <v>138</v>
      </c>
      <c r="F270" s="29" t="s">
        <v>328</v>
      </c>
      <c r="G270" s="29" t="s">
        <v>34</v>
      </c>
      <c r="H270" s="59">
        <v>44958</v>
      </c>
      <c r="I270" s="59"/>
      <c r="J270" s="59">
        <v>44965</v>
      </c>
      <c r="K270" s="59" t="s">
        <v>1275</v>
      </c>
      <c r="L270" s="104" t="s">
        <v>1276</v>
      </c>
      <c r="M270" s="70" t="s">
        <v>19</v>
      </c>
      <c r="N270" s="59"/>
      <c r="O270" s="85"/>
      <c r="P270" s="59" t="s">
        <v>30</v>
      </c>
      <c r="Q270" s="84">
        <v>1</v>
      </c>
      <c r="R270" s="29" t="s">
        <v>1277</v>
      </c>
      <c r="S270" s="59">
        <v>44965</v>
      </c>
      <c r="T270" s="59">
        <v>44965</v>
      </c>
      <c r="U270" s="59">
        <v>44987</v>
      </c>
      <c r="V270" s="29" t="s">
        <v>20</v>
      </c>
      <c r="W270" s="29" t="s">
        <v>51</v>
      </c>
      <c r="X270" s="27" t="s">
        <v>51</v>
      </c>
      <c r="Y270" s="29" t="s">
        <v>30</v>
      </c>
      <c r="Z270" s="29" t="s">
        <v>42</v>
      </c>
      <c r="AA270" s="29" t="s">
        <v>22</v>
      </c>
      <c r="AB270" s="29"/>
      <c r="AC270" s="59">
        <v>44973</v>
      </c>
      <c r="AD270" s="59">
        <v>45005</v>
      </c>
      <c r="AE270" s="59">
        <v>45006</v>
      </c>
      <c r="AF270" s="59">
        <v>45006</v>
      </c>
      <c r="AG270" s="59">
        <v>45016</v>
      </c>
      <c r="AH270" s="85">
        <v>45016</v>
      </c>
      <c r="AI270" s="29" t="s">
        <v>30</v>
      </c>
      <c r="AJ270" s="139">
        <v>45016</v>
      </c>
      <c r="AK270" s="85">
        <v>45043</v>
      </c>
      <c r="AL270" s="102"/>
      <c r="AM270" s="41" t="str">
        <f>VLOOKUP(Table2[[#This Row],[country]],Countrycode!A:B,2,FALSE)</f>
        <v>NGA</v>
      </c>
      <c r="AN270" s="34">
        <f>IF(ISBLANK(Table2[[#This Row],[Need_RRA]]), 2,(IF(Table2[[#This Row],[Need_RRA]]="No", 0, (IF(AND(Table2[[#This Row],[Need_RRA]]="Yes",  Table2[[#This Row],[RRA_pub_date]]=""),1, 0)))))</f>
        <v>0</v>
      </c>
      <c r="AO270" s="41">
        <f>IF(ISBLANK(Table2[[#This Row],[Need_EIS]]), 2,(IF(Table2[[#This Row],[Need_EIS]]="No", 0, (IF(AND(Table2[[#This Row],[Need_EIS]]="Yes",  Table2[[#This Row],[EIS_pub_date]]=""),1, 0)))))</f>
        <v>0</v>
      </c>
      <c r="AP270" s="41">
        <f>IF(ISBLANK(Table2[[#This Row],[Need_DON]]), 2,(IF(Table2[[#This Row],[Need_DON]]="No", 0, (IF(AND(Table2[[#This Row],[Need_DON]]="Yes",  Table2[[#This Row],[DON_pub_date]]=""),1, 0)))))</f>
        <v>0</v>
      </c>
      <c r="AQ270" s="34">
        <f>IF(ISBLANK(Table2[[#This Row],[Pending_question]]), 2,(IF(Table2[[#This Row],[Pending_question]]="Yes", 1, 0)))</f>
        <v>0</v>
      </c>
      <c r="AR270" s="43"/>
    </row>
    <row r="271" spans="1:44" ht="15" customHeight="1">
      <c r="A271" s="63">
        <v>44960</v>
      </c>
      <c r="B271" s="29" t="s">
        <v>15</v>
      </c>
      <c r="C271" s="34" t="str" cm="1">
        <f t="array" ref="C27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71" s="27" t="s">
        <v>1250</v>
      </c>
      <c r="E271" s="67" t="s">
        <v>178</v>
      </c>
      <c r="F271" s="29" t="s">
        <v>328</v>
      </c>
      <c r="G271" s="29" t="s">
        <v>34</v>
      </c>
      <c r="H271" s="29"/>
      <c r="I271" s="59"/>
      <c r="J271" s="59">
        <v>44960</v>
      </c>
      <c r="K271" s="59" t="s">
        <v>1278</v>
      </c>
      <c r="L271" s="104" t="s">
        <v>1279</v>
      </c>
      <c r="M271" s="70" t="s">
        <v>19</v>
      </c>
      <c r="N271" s="59"/>
      <c r="O271" s="85"/>
      <c r="P271" s="59" t="s">
        <v>30</v>
      </c>
      <c r="Q271" s="84">
        <v>1</v>
      </c>
      <c r="R271" s="29" t="s">
        <v>1277</v>
      </c>
      <c r="S271" s="59">
        <v>44960</v>
      </c>
      <c r="T271" s="59">
        <v>44960</v>
      </c>
      <c r="U271" s="59">
        <v>44981</v>
      </c>
      <c r="V271" s="29" t="s">
        <v>20</v>
      </c>
      <c r="W271" s="29" t="s">
        <v>32</v>
      </c>
      <c r="X271" s="27" t="s">
        <v>51</v>
      </c>
      <c r="Y271" s="29" t="s">
        <v>30</v>
      </c>
      <c r="Z271" s="29" t="s">
        <v>42</v>
      </c>
      <c r="AA271" s="29" t="s">
        <v>22</v>
      </c>
      <c r="AB271" s="29" t="s">
        <v>1280</v>
      </c>
      <c r="AC271" s="59">
        <v>44988</v>
      </c>
      <c r="AD271" s="59">
        <v>44988</v>
      </c>
      <c r="AE271" s="59">
        <v>44992</v>
      </c>
      <c r="AF271" s="59">
        <v>44992</v>
      </c>
      <c r="AG271" s="59">
        <v>45016</v>
      </c>
      <c r="AH271" s="85">
        <v>45016</v>
      </c>
      <c r="AI271" s="29" t="s">
        <v>30</v>
      </c>
      <c r="AJ271" s="139">
        <v>45019</v>
      </c>
      <c r="AK271" s="85">
        <v>45043</v>
      </c>
      <c r="AL271" s="102"/>
      <c r="AM271" s="41" t="str">
        <f>VLOOKUP(Table2[[#This Row],[country]],Countrycode!A:B,2,FALSE)</f>
        <v>NGA</v>
      </c>
      <c r="AN271" s="34">
        <f>IF(ISBLANK(Table2[[#This Row],[Need_RRA]]), 2,(IF(Table2[[#This Row],[Need_RRA]]="No", 0, (IF(AND(Table2[[#This Row],[Need_RRA]]="Yes",  Table2[[#This Row],[RRA_pub_date]]=""),1, 0)))))</f>
        <v>0</v>
      </c>
      <c r="AO271" s="34">
        <f>IF(ISBLANK(Table2[[#This Row],[Need_EIS]]), 2,(IF(Table2[[#This Row],[Need_EIS]]="No", 0, (IF(AND(Table2[[#This Row],[Need_EIS]]="Yes",  Table2[[#This Row],[EIS_pub_date]]=""),1, 0)))))</f>
        <v>0</v>
      </c>
      <c r="AP271" s="34">
        <f>IF(ISBLANK(Table2[[#This Row],[Need_DON]]), 2,(IF(Table2[[#This Row],[Need_DON]]="No", 0, (IF(AND(Table2[[#This Row],[Need_DON]]="Yes",  Table2[[#This Row],[DON_pub_date]]=""),1, 0)))))</f>
        <v>0</v>
      </c>
      <c r="AQ271" s="34">
        <f>IF(ISBLANK(Table2[[#This Row],[Pending_question]]), 2,(IF(Table2[[#This Row],[Pending_question]]="Yes", 1, 0)))</f>
        <v>0</v>
      </c>
      <c r="AR271" s="43"/>
    </row>
    <row r="272" spans="1:44" ht="15" customHeight="1">
      <c r="A272" s="63">
        <v>44962</v>
      </c>
      <c r="B272" s="29" t="s">
        <v>15</v>
      </c>
      <c r="C272" s="34" t="str" cm="1">
        <f t="array" ref="C27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72" s="27" t="s">
        <v>1248</v>
      </c>
      <c r="E272" s="67" t="s">
        <v>1281</v>
      </c>
      <c r="F272" s="29" t="s">
        <v>173</v>
      </c>
      <c r="G272" s="29" t="s">
        <v>34</v>
      </c>
      <c r="H272" s="59">
        <v>44962</v>
      </c>
      <c r="I272" s="59">
        <v>44980</v>
      </c>
      <c r="J272" s="59">
        <v>44960</v>
      </c>
      <c r="K272" s="59" t="s">
        <v>1282</v>
      </c>
      <c r="L272" s="112" t="s">
        <v>1283</v>
      </c>
      <c r="M272" s="70" t="s">
        <v>19</v>
      </c>
      <c r="N272" s="59"/>
      <c r="O272" s="85"/>
      <c r="P272" s="59" t="s">
        <v>19</v>
      </c>
      <c r="Q272" s="84"/>
      <c r="R272" s="29"/>
      <c r="S272" s="29"/>
      <c r="T272" s="59"/>
      <c r="U272" s="29"/>
      <c r="V272" s="29"/>
      <c r="W272" s="29"/>
      <c r="X272" s="27"/>
      <c r="Y272" s="29" t="s">
        <v>30</v>
      </c>
      <c r="Z272" s="29" t="s">
        <v>42</v>
      </c>
      <c r="AA272" s="29" t="s">
        <v>22</v>
      </c>
      <c r="AB272" s="29" t="s">
        <v>1284</v>
      </c>
      <c r="AC272" s="59">
        <v>44962</v>
      </c>
      <c r="AD272" s="59">
        <v>44962</v>
      </c>
      <c r="AE272" s="59">
        <v>44963</v>
      </c>
      <c r="AF272" s="59">
        <v>44964</v>
      </c>
      <c r="AG272" s="85">
        <v>44980</v>
      </c>
      <c r="AH272" s="85">
        <v>44981</v>
      </c>
      <c r="AI272" s="29" t="s">
        <v>19</v>
      </c>
      <c r="AJ272" s="139"/>
      <c r="AK272" s="27"/>
      <c r="AL272" s="102"/>
      <c r="AM272" s="41" t="str">
        <f>VLOOKUP(Table2[[#This Row],[country]],Countrycode!A:B,2,FALSE)</f>
        <v>CHN</v>
      </c>
      <c r="AN272" s="34">
        <f>IF(ISBLANK(Table2[[#This Row],[Need_RRA]]), 2,(IF(Table2[[#This Row],[Need_RRA]]="No", 0, (IF(AND(Table2[[#This Row],[Need_RRA]]="Yes",  Table2[[#This Row],[RRA_pub_date]]=""),1, 0)))))</f>
        <v>0</v>
      </c>
      <c r="AO272" s="34">
        <f>IF(ISBLANK(Table2[[#This Row],[Need_EIS]]), 2,(IF(Table2[[#This Row],[Need_EIS]]="No", 0, (IF(AND(Table2[[#This Row],[Need_EIS]]="Yes",  Table2[[#This Row],[EIS_pub_date]]=""),1, 0)))))</f>
        <v>0</v>
      </c>
      <c r="AP272" s="34">
        <f>IF(ISBLANK(Table2[[#This Row],[Need_DON]]), 2,(IF(Table2[[#This Row],[Need_DON]]="No", 0, (IF(AND(Table2[[#This Row],[Need_DON]]="Yes",  Table2[[#This Row],[DON_pub_date]]=""),1, 0)))))</f>
        <v>0</v>
      </c>
      <c r="AQ272" s="34">
        <f>IF(ISBLANK(Table2[[#This Row],[Pending_question]]), 2,(IF(Table2[[#This Row],[Pending_question]]="Yes", 1, 0)))</f>
        <v>0</v>
      </c>
      <c r="AR272" s="43"/>
    </row>
    <row r="273" spans="1:44" ht="15" customHeight="1">
      <c r="A273" s="63">
        <v>44962</v>
      </c>
      <c r="B273" s="29" t="s">
        <v>15</v>
      </c>
      <c r="C273" s="34" t="str" cm="1">
        <f t="array" ref="C27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73" s="27" t="s">
        <v>1248</v>
      </c>
      <c r="E273" s="67" t="s">
        <v>1285</v>
      </c>
      <c r="F273" s="29" t="s">
        <v>173</v>
      </c>
      <c r="G273" s="29" t="s">
        <v>34</v>
      </c>
      <c r="H273" s="59">
        <v>44962</v>
      </c>
      <c r="I273" s="59">
        <v>44980</v>
      </c>
      <c r="J273" s="59">
        <v>44960</v>
      </c>
      <c r="K273" s="59" t="s">
        <v>1286</v>
      </c>
      <c r="L273" s="112" t="s">
        <v>1287</v>
      </c>
      <c r="M273" s="70" t="s">
        <v>19</v>
      </c>
      <c r="N273" s="59"/>
      <c r="O273" s="85"/>
      <c r="P273" s="59" t="s">
        <v>19</v>
      </c>
      <c r="Q273" s="84"/>
      <c r="R273" s="29"/>
      <c r="S273" s="29"/>
      <c r="T273" s="59"/>
      <c r="U273" s="29"/>
      <c r="V273" s="29"/>
      <c r="W273" s="29"/>
      <c r="X273" s="27"/>
      <c r="Y273" s="29" t="s">
        <v>30</v>
      </c>
      <c r="Z273" s="29" t="s">
        <v>42</v>
      </c>
      <c r="AA273" s="29" t="s">
        <v>22</v>
      </c>
      <c r="AB273" s="29" t="s">
        <v>1284</v>
      </c>
      <c r="AC273" s="59">
        <v>44962</v>
      </c>
      <c r="AD273" s="59">
        <v>44962</v>
      </c>
      <c r="AE273" s="59">
        <v>44963</v>
      </c>
      <c r="AF273" s="59">
        <v>44964</v>
      </c>
      <c r="AG273" s="59">
        <v>44980</v>
      </c>
      <c r="AH273" s="85">
        <v>44981</v>
      </c>
      <c r="AI273" s="29" t="s">
        <v>19</v>
      </c>
      <c r="AJ273" s="139"/>
      <c r="AK273" s="27"/>
      <c r="AL273" s="102"/>
      <c r="AM273" s="41" t="str">
        <f>VLOOKUP(Table2[[#This Row],[country]],Countrycode!A:B,2,FALSE)</f>
        <v>CHN</v>
      </c>
      <c r="AN273" s="34">
        <f>IF(ISBLANK(Table2[[#This Row],[Need_RRA]]), 2,(IF(Table2[[#This Row],[Need_RRA]]="No", 0, (IF(AND(Table2[[#This Row],[Need_RRA]]="Yes",  Table2[[#This Row],[RRA_pub_date]]=""),1, 0)))))</f>
        <v>0</v>
      </c>
      <c r="AO273" s="34">
        <f>IF(ISBLANK(Table2[[#This Row],[Need_EIS]]), 2,(IF(Table2[[#This Row],[Need_EIS]]="No", 0, (IF(AND(Table2[[#This Row],[Need_EIS]]="Yes",  Table2[[#This Row],[EIS_pub_date]]=""),1, 0)))))</f>
        <v>0</v>
      </c>
      <c r="AP273" s="34">
        <f>IF(ISBLANK(Table2[[#This Row],[Need_DON]]), 2,(IF(Table2[[#This Row],[Need_DON]]="No", 0, (IF(AND(Table2[[#This Row],[Need_DON]]="Yes",  Table2[[#This Row],[DON_pub_date]]=""),1, 0)))))</f>
        <v>0</v>
      </c>
      <c r="AQ273" s="34">
        <f>IF(ISBLANK(Table2[[#This Row],[Pending_question]]), 2,(IF(Table2[[#This Row],[Pending_question]]="Yes", 1, 0)))</f>
        <v>0</v>
      </c>
      <c r="AR273" s="43"/>
    </row>
    <row r="274" spans="1:44" ht="15" customHeight="1">
      <c r="A274" s="63">
        <v>44965</v>
      </c>
      <c r="B274" s="29" t="s">
        <v>15</v>
      </c>
      <c r="C274" s="110" t="str" cm="1">
        <f t="array" ref="C27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74" s="27" t="s">
        <v>1288</v>
      </c>
      <c r="E274" s="67" t="s">
        <v>138</v>
      </c>
      <c r="F274" s="29" t="s">
        <v>328</v>
      </c>
      <c r="G274" s="29" t="s">
        <v>34</v>
      </c>
      <c r="H274" s="29"/>
      <c r="I274" s="59"/>
      <c r="J274" s="59">
        <v>44965</v>
      </c>
      <c r="K274" s="169" t="s">
        <v>1275</v>
      </c>
      <c r="L274" s="104" t="str">
        <f>"https://ems.who.int/Event/eventSummary.aspx?eid=2023-E000" &amp; RIGHT(Table2[[#This Row],[EMS event ID]], 3)</f>
        <v>https://ems.who.int/Event/eventSummary.aspx?eid=2023-E000052</v>
      </c>
      <c r="M274" s="121" t="s">
        <v>30</v>
      </c>
      <c r="N274" s="59" t="s">
        <v>1289</v>
      </c>
      <c r="O274" s="85">
        <v>45147</v>
      </c>
      <c r="P274" s="59" t="s">
        <v>30</v>
      </c>
      <c r="Q274" s="84">
        <v>2</v>
      </c>
      <c r="R274" s="29" t="s">
        <v>1290</v>
      </c>
      <c r="S274" s="59">
        <v>45121</v>
      </c>
      <c r="T274" s="59">
        <v>45128</v>
      </c>
      <c r="U274" s="59">
        <v>45147</v>
      </c>
      <c r="V274" s="29" t="s">
        <v>20</v>
      </c>
      <c r="W274" s="29" t="s">
        <v>51</v>
      </c>
      <c r="X274" s="27" t="s">
        <v>51</v>
      </c>
      <c r="Y274" s="29" t="s">
        <v>30</v>
      </c>
      <c r="Z274" s="29" t="s">
        <v>21</v>
      </c>
      <c r="AA274" s="29" t="s">
        <v>22</v>
      </c>
      <c r="AB274" s="29" t="s">
        <v>1291</v>
      </c>
      <c r="AC274" s="317">
        <v>45147</v>
      </c>
      <c r="AD274" s="59">
        <v>45152</v>
      </c>
      <c r="AE274" s="150">
        <v>45154</v>
      </c>
      <c r="AF274" s="347"/>
      <c r="AG274" s="59">
        <v>45167</v>
      </c>
      <c r="AH274" s="85">
        <v>45168</v>
      </c>
      <c r="AI274" s="29" t="s">
        <v>30</v>
      </c>
      <c r="AJ274" s="139">
        <v>45168</v>
      </c>
      <c r="AK274" s="85">
        <v>45182</v>
      </c>
      <c r="AL274" s="102"/>
      <c r="AM274" s="41" t="str">
        <f>VLOOKUP(Table2[[#This Row],[country]],Countrycode!A:B,2,FALSE)</f>
        <v>NGA</v>
      </c>
      <c r="AN274" s="34">
        <f>IF(ISBLANK(Table2[[#This Row],[Need_RRA]]), 2,(IF(Table2[[#This Row],[Need_RRA]]="No", 0, (IF(AND(Table2[[#This Row],[Need_RRA]]="Yes",  Table2[[#This Row],[RRA_pub_date]]=""),1, 0)))))</f>
        <v>0</v>
      </c>
      <c r="AO274" s="34">
        <f>IF(ISBLANK(Table2[[#This Row],[Need_EIS]]), 2,(IF(Table2[[#This Row],[Need_EIS]]="No", 0, (IF(AND(Table2[[#This Row],[Need_EIS]]="Yes",  Table2[[#This Row],[EIS_pub_date]]=""),1, 0)))))</f>
        <v>0</v>
      </c>
      <c r="AP274" s="34">
        <f>IF(ISBLANK(Table2[[#This Row],[Need_DON]]), 2,(IF(Table2[[#This Row],[Need_DON]]="No", 0, (IF(AND(Table2[[#This Row],[Need_DON]]="Yes",  Table2[[#This Row],[DON_pub_date]]=""),1, 0)))))</f>
        <v>0</v>
      </c>
      <c r="AQ274" s="34">
        <f>IF(ISBLANK(Table2[[#This Row],[Pending_question]]), 2,(IF(Table2[[#This Row],[Pending_question]]="Yes", 1, 0)))</f>
        <v>1</v>
      </c>
      <c r="AR274" s="43"/>
    </row>
    <row r="275" spans="1:44" ht="15" customHeight="1">
      <c r="A275" s="63">
        <v>44966</v>
      </c>
      <c r="B275" s="29" t="s">
        <v>15</v>
      </c>
      <c r="C275" s="34" t="str" cm="1">
        <f t="array" ref="C27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75" s="27" t="s">
        <v>1292</v>
      </c>
      <c r="E275" s="67" t="s">
        <v>174</v>
      </c>
      <c r="F275" s="29" t="s">
        <v>224</v>
      </c>
      <c r="G275" s="29" t="s">
        <v>34</v>
      </c>
      <c r="H275" s="59">
        <v>44966</v>
      </c>
      <c r="I275" s="59">
        <v>44970</v>
      </c>
      <c r="J275" s="59">
        <v>44970</v>
      </c>
      <c r="K275" s="59" t="s">
        <v>1293</v>
      </c>
      <c r="L275" s="104" t="s">
        <v>1294</v>
      </c>
      <c r="M275" s="70" t="s">
        <v>19</v>
      </c>
      <c r="N275" s="59"/>
      <c r="O275" s="85"/>
      <c r="P275" s="59" t="s">
        <v>30</v>
      </c>
      <c r="Q275" s="84">
        <v>1</v>
      </c>
      <c r="R275" s="29" t="s">
        <v>1295</v>
      </c>
      <c r="S275" s="59">
        <v>44970</v>
      </c>
      <c r="T275" s="59">
        <v>44971</v>
      </c>
      <c r="U275" s="59">
        <v>44973</v>
      </c>
      <c r="V275" s="29" t="s">
        <v>20</v>
      </c>
      <c r="W275" s="29" t="s">
        <v>32</v>
      </c>
      <c r="X275" s="27" t="s">
        <v>51</v>
      </c>
      <c r="Y275" s="29" t="s">
        <v>30</v>
      </c>
      <c r="Z275" s="29" t="s">
        <v>42</v>
      </c>
      <c r="AA275" s="29" t="s">
        <v>22</v>
      </c>
      <c r="AB275" s="29" t="s">
        <v>1296</v>
      </c>
      <c r="AC275" s="59">
        <v>44970</v>
      </c>
      <c r="AD275" s="59">
        <v>44973</v>
      </c>
      <c r="AE275" s="59">
        <v>44974</v>
      </c>
      <c r="AF275" s="59">
        <v>44980</v>
      </c>
      <c r="AG275" s="29"/>
      <c r="AH275" s="85">
        <v>44981</v>
      </c>
      <c r="AI275" s="29" t="s">
        <v>30</v>
      </c>
      <c r="AJ275" s="139">
        <v>44981</v>
      </c>
      <c r="AK275" s="85">
        <v>44982</v>
      </c>
      <c r="AL275" s="102"/>
      <c r="AM275" s="41" t="str">
        <f>VLOOKUP(Table2[[#This Row],[country]],Countrycode!A:B,2,FALSE)</f>
        <v>GNQ</v>
      </c>
      <c r="AN275" s="34">
        <f>IF(ISBLANK(Table2[[#This Row],[Need_RRA]]), 2,(IF(Table2[[#This Row],[Need_RRA]]="No", 0, (IF(AND(Table2[[#This Row],[Need_RRA]]="Yes",  Table2[[#This Row],[RRA_pub_date]]=""),1, 0)))))</f>
        <v>0</v>
      </c>
      <c r="AO275" s="34">
        <f>IF(ISBLANK(Table2[[#This Row],[Need_EIS]]), 2,(IF(Table2[[#This Row],[Need_EIS]]="No", 0, (IF(AND(Table2[[#This Row],[Need_EIS]]="Yes",  Table2[[#This Row],[EIS_pub_date]]=""),1, 0)))))</f>
        <v>0</v>
      </c>
      <c r="AP275" s="34">
        <f>IF(ISBLANK(Table2[[#This Row],[Need_DON]]), 2,(IF(Table2[[#This Row],[Need_DON]]="No", 0, (IF(AND(Table2[[#This Row],[Need_DON]]="Yes",  Table2[[#This Row],[DON_pub_date]]=""),1, 0)))))</f>
        <v>0</v>
      </c>
      <c r="AQ275" s="34">
        <f>IF(ISBLANK(Table2[[#This Row],[Pending_question]]), 2,(IF(Table2[[#This Row],[Pending_question]]="Yes", 1, 0)))</f>
        <v>0</v>
      </c>
      <c r="AR275" s="43"/>
    </row>
    <row r="276" spans="1:44" ht="15" customHeight="1">
      <c r="A276" s="63">
        <v>44966</v>
      </c>
      <c r="B276" s="29" t="s">
        <v>15</v>
      </c>
      <c r="C276" s="34" t="str" cm="1">
        <f t="array" ref="C27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76" s="27" t="s">
        <v>1244</v>
      </c>
      <c r="E276" s="67" t="s">
        <v>126</v>
      </c>
      <c r="F276" s="29" t="s">
        <v>39</v>
      </c>
      <c r="G276" s="29" t="s">
        <v>1082</v>
      </c>
      <c r="H276" s="59">
        <v>44966</v>
      </c>
      <c r="I276" s="59">
        <v>44972</v>
      </c>
      <c r="J276" s="59">
        <v>44943</v>
      </c>
      <c r="K276" s="59" t="s">
        <v>1297</v>
      </c>
      <c r="L276" s="104" t="s">
        <v>1298</v>
      </c>
      <c r="M276" s="70" t="s">
        <v>19</v>
      </c>
      <c r="N276" s="59" t="s">
        <v>1299</v>
      </c>
      <c r="O276" s="85"/>
      <c r="P276" s="59" t="s">
        <v>30</v>
      </c>
      <c r="Q276" s="84">
        <v>1</v>
      </c>
      <c r="R276" s="29" t="s">
        <v>1300</v>
      </c>
      <c r="S276" s="59">
        <v>44988</v>
      </c>
      <c r="T276" s="59">
        <v>44989</v>
      </c>
      <c r="U276" s="59">
        <v>45006</v>
      </c>
      <c r="V276" s="29" t="s">
        <v>34</v>
      </c>
      <c r="W276" s="29" t="s">
        <v>20</v>
      </c>
      <c r="X276" s="27" t="s">
        <v>34</v>
      </c>
      <c r="Y276" s="29" t="s">
        <v>30</v>
      </c>
      <c r="Z276" s="29" t="s">
        <v>33</v>
      </c>
      <c r="AA276" s="29" t="s">
        <v>22</v>
      </c>
      <c r="AB276" s="29"/>
      <c r="AC276" s="59">
        <v>44985</v>
      </c>
      <c r="AD276" s="59">
        <v>44989</v>
      </c>
      <c r="AE276" s="59">
        <v>44991</v>
      </c>
      <c r="AF276" s="59">
        <v>44992</v>
      </c>
      <c r="AG276" s="59">
        <v>44999</v>
      </c>
      <c r="AH276" s="85">
        <v>45001</v>
      </c>
      <c r="AI276" s="29" t="s">
        <v>30</v>
      </c>
      <c r="AJ276" s="139">
        <v>45006</v>
      </c>
      <c r="AK276" s="85">
        <v>45008</v>
      </c>
      <c r="AL276" s="102"/>
      <c r="AM276" s="41" t="str">
        <f>VLOOKUP(Table2[[#This Row],[country]],Countrycode!A:B,2,FALSE)</f>
        <v>MLX</v>
      </c>
      <c r="AN276" s="34">
        <f>IF(ISBLANK(Table2[[#This Row],[Need_RRA]]), 2,(IF(Table2[[#This Row],[Need_RRA]]="No", 0, (IF(AND(Table2[[#This Row],[Need_RRA]]="Yes",  Table2[[#This Row],[RRA_pub_date]]=""),1, 0)))))</f>
        <v>0</v>
      </c>
      <c r="AO276" s="34">
        <f>IF(ISBLANK(Table2[[#This Row],[Need_EIS]]), 2,(IF(Table2[[#This Row],[Need_EIS]]="No", 0, (IF(AND(Table2[[#This Row],[Need_EIS]]="Yes",  Table2[[#This Row],[EIS_pub_date]]=""),1, 0)))))</f>
        <v>0</v>
      </c>
      <c r="AP276" s="34">
        <f>IF(ISBLANK(Table2[[#This Row],[Need_DON]]), 2,(IF(Table2[[#This Row],[Need_DON]]="No", 0, (IF(AND(Table2[[#This Row],[Need_DON]]="Yes",  Table2[[#This Row],[DON_pub_date]]=""),1, 0)))))</f>
        <v>0</v>
      </c>
      <c r="AQ276" s="34">
        <f>IF(ISBLANK(Table2[[#This Row],[Pending_question]]), 2,(IF(Table2[[#This Row],[Pending_question]]="Yes", 1, 0)))</f>
        <v>0</v>
      </c>
      <c r="AR276" s="43"/>
    </row>
    <row r="277" spans="1:44" ht="15" customHeight="1">
      <c r="A277" s="63">
        <v>44970</v>
      </c>
      <c r="B277" s="29" t="s">
        <v>15</v>
      </c>
      <c r="C277" s="34" t="str" cm="1">
        <f t="array" ref="C27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77" s="27" t="s">
        <v>1250</v>
      </c>
      <c r="E277" s="67" t="s">
        <v>174</v>
      </c>
      <c r="F277" s="29" t="s">
        <v>224</v>
      </c>
      <c r="G277" s="29" t="s">
        <v>34</v>
      </c>
      <c r="H277" s="29"/>
      <c r="I277" s="59"/>
      <c r="J277" s="59">
        <v>44970</v>
      </c>
      <c r="K277" s="63" t="s">
        <v>1293</v>
      </c>
      <c r="L277" s="104" t="s">
        <v>1301</v>
      </c>
      <c r="M277" s="70" t="s">
        <v>19</v>
      </c>
      <c r="N277" s="59" t="s">
        <v>1302</v>
      </c>
      <c r="O277" s="85"/>
      <c r="P277" s="59" t="s">
        <v>30</v>
      </c>
      <c r="Q277" s="84">
        <v>2</v>
      </c>
      <c r="R277" s="29" t="s">
        <v>1303</v>
      </c>
      <c r="S277" s="59">
        <v>45006</v>
      </c>
      <c r="T277" s="59">
        <v>45012</v>
      </c>
      <c r="U277" s="59">
        <v>45015</v>
      </c>
      <c r="V277" s="29" t="s">
        <v>41</v>
      </c>
      <c r="W277" s="29" t="s">
        <v>32</v>
      </c>
      <c r="X277" s="27" t="s">
        <v>51</v>
      </c>
      <c r="Y277" s="29" t="s">
        <v>30</v>
      </c>
      <c r="Z277" s="29" t="s">
        <v>21</v>
      </c>
      <c r="AA277" s="29" t="s">
        <v>43</v>
      </c>
      <c r="AB277" s="29"/>
      <c r="AC277" s="59">
        <v>45006</v>
      </c>
      <c r="AD277" s="59">
        <v>45006</v>
      </c>
      <c r="AE277" s="29"/>
      <c r="AF277" s="29"/>
      <c r="AG277" s="29"/>
      <c r="AH277" s="85">
        <v>45006</v>
      </c>
      <c r="AI277" s="29" t="s">
        <v>19</v>
      </c>
      <c r="AJ277" s="139">
        <v>45026</v>
      </c>
      <c r="AK277" s="139">
        <v>45053</v>
      </c>
      <c r="AL277" s="102"/>
      <c r="AM277" s="41" t="str">
        <f>VLOOKUP(Table2[[#This Row],[country]],Countrycode!A:B,2,FALSE)</f>
        <v>GNQ</v>
      </c>
      <c r="AN277" s="34">
        <f>IF(ISBLANK(Table2[[#This Row],[Need_RRA]]), 2,(IF(Table2[[#This Row],[Need_RRA]]="No", 0, (IF(AND(Table2[[#This Row],[Need_RRA]]="Yes",  Table2[[#This Row],[RRA_pub_date]]=""),1, 0)))))</f>
        <v>0</v>
      </c>
      <c r="AO277" s="34">
        <f>IF(ISBLANK(Table2[[#This Row],[Need_EIS]]), 2,(IF(Table2[[#This Row],[Need_EIS]]="No", 0, (IF(AND(Table2[[#This Row],[Need_EIS]]="Yes",  Table2[[#This Row],[EIS_pub_date]]=""),1, 0)))))</f>
        <v>0</v>
      </c>
      <c r="AP277" s="34">
        <f>IF(ISBLANK(Table2[[#This Row],[Need_DON]]), 2,(IF(Table2[[#This Row],[Need_DON]]="No", 0, (IF(AND(Table2[[#This Row],[Need_DON]]="Yes",  Table2[[#This Row],[DON_pub_date]]=""),1, 0)))))</f>
        <v>0</v>
      </c>
      <c r="AQ277" s="34">
        <f>IF(ISBLANK(Table2[[#This Row],[Pending_question]]), 2,(IF(Table2[[#This Row],[Pending_question]]="Yes", 1, 0)))</f>
        <v>0</v>
      </c>
      <c r="AR277" s="43"/>
    </row>
    <row r="278" spans="1:44" ht="15" customHeight="1">
      <c r="A278" s="63">
        <v>44970</v>
      </c>
      <c r="B278" s="29" t="s">
        <v>15</v>
      </c>
      <c r="C278" s="34" t="str" cm="1">
        <f t="array" ref="C27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78" s="27" t="s">
        <v>1304</v>
      </c>
      <c r="E278" s="67" t="s">
        <v>174</v>
      </c>
      <c r="F278" s="29" t="s">
        <v>224</v>
      </c>
      <c r="G278" s="29" t="s">
        <v>34</v>
      </c>
      <c r="H278" s="29"/>
      <c r="I278" s="59"/>
      <c r="J278" s="59">
        <v>44970</v>
      </c>
      <c r="K278" s="59" t="s">
        <v>1293</v>
      </c>
      <c r="L278" s="104" t="s">
        <v>1301</v>
      </c>
      <c r="M278" s="70" t="s">
        <v>19</v>
      </c>
      <c r="N278" s="59"/>
      <c r="O278" s="85"/>
      <c r="P278" s="59" t="s">
        <v>19</v>
      </c>
      <c r="Q278" s="84"/>
      <c r="R278" s="29"/>
      <c r="S278" s="29"/>
      <c r="T278" s="59"/>
      <c r="U278" s="29"/>
      <c r="V278" s="29"/>
      <c r="W278" s="29"/>
      <c r="X278" s="27"/>
      <c r="Y278" s="29" t="s">
        <v>30</v>
      </c>
      <c r="Z278" s="29" t="s">
        <v>21</v>
      </c>
      <c r="AA278" s="29" t="s">
        <v>43</v>
      </c>
      <c r="AB278" s="29" t="s">
        <v>1305</v>
      </c>
      <c r="AC278" s="59">
        <v>45002</v>
      </c>
      <c r="AD278" s="59">
        <v>45002</v>
      </c>
      <c r="AE278" s="59">
        <v>45002</v>
      </c>
      <c r="AF278" s="59">
        <v>45002</v>
      </c>
      <c r="AG278" s="59">
        <v>45003</v>
      </c>
      <c r="AH278" s="85">
        <v>45003</v>
      </c>
      <c r="AI278" s="29" t="s">
        <v>30</v>
      </c>
      <c r="AJ278" s="139">
        <v>45003</v>
      </c>
      <c r="AK278" s="85">
        <v>45007</v>
      </c>
      <c r="AL278" s="102"/>
      <c r="AM278" s="41" t="str">
        <f>VLOOKUP(Table2[[#This Row],[country]],Countrycode!A:B,2,FALSE)</f>
        <v>GNQ</v>
      </c>
      <c r="AN278" s="34">
        <f>IF(ISBLANK(Table2[[#This Row],[Need_RRA]]), 2,(IF(Table2[[#This Row],[Need_RRA]]="No", 0, (IF(AND(Table2[[#This Row],[Need_RRA]]="Yes",  Table2[[#This Row],[RRA_pub_date]]=""),1, 0)))))</f>
        <v>0</v>
      </c>
      <c r="AO278" s="41">
        <f>IF(ISBLANK(Table2[[#This Row],[Need_EIS]]), 2,(IF(Table2[[#This Row],[Need_EIS]]="No", 0, (IF(AND(Table2[[#This Row],[Need_EIS]]="Yes",  Table2[[#This Row],[EIS_pub_date]]=""),1, 0)))))</f>
        <v>0</v>
      </c>
      <c r="AP278" s="41">
        <f>IF(ISBLANK(Table2[[#This Row],[Need_DON]]), 2,(IF(Table2[[#This Row],[Need_DON]]="No", 0, (IF(AND(Table2[[#This Row],[Need_DON]]="Yes",  Table2[[#This Row],[DON_pub_date]]=""),1, 0)))))</f>
        <v>0</v>
      </c>
      <c r="AQ278" s="34">
        <f>IF(ISBLANK(Table2[[#This Row],[Pending_question]]), 2,(IF(Table2[[#This Row],[Pending_question]]="Yes", 1, 0)))</f>
        <v>0</v>
      </c>
      <c r="AR278" s="43"/>
    </row>
    <row r="279" spans="1:44" ht="15" customHeight="1">
      <c r="A279" s="63">
        <v>44978</v>
      </c>
      <c r="B279" s="29" t="s">
        <v>15</v>
      </c>
      <c r="C279" s="34" t="str" cm="1">
        <f t="array" ref="C27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79" s="27" t="s">
        <v>1306</v>
      </c>
      <c r="E279" s="67" t="s">
        <v>178</v>
      </c>
      <c r="F279" s="29" t="s">
        <v>388</v>
      </c>
      <c r="G279" s="29" t="s">
        <v>34</v>
      </c>
      <c r="H279" s="59">
        <v>44978</v>
      </c>
      <c r="I279" s="59"/>
      <c r="J279" s="59">
        <v>44973</v>
      </c>
      <c r="K279" s="59" t="s">
        <v>1307</v>
      </c>
      <c r="L279" s="104" t="s">
        <v>1308</v>
      </c>
      <c r="M279" s="70" t="s">
        <v>19</v>
      </c>
      <c r="N279" s="59"/>
      <c r="O279" s="85"/>
      <c r="P279" s="59" t="s">
        <v>30</v>
      </c>
      <c r="Q279" s="84">
        <v>1</v>
      </c>
      <c r="R279" s="29" t="s">
        <v>1309</v>
      </c>
      <c r="S279" s="59">
        <v>44981</v>
      </c>
      <c r="T279" s="59">
        <v>44984</v>
      </c>
      <c r="U279" s="59">
        <v>45001</v>
      </c>
      <c r="V279" s="29" t="s">
        <v>20</v>
      </c>
      <c r="W279" s="29" t="s">
        <v>32</v>
      </c>
      <c r="X279" s="27" t="s">
        <v>51</v>
      </c>
      <c r="Y279" s="29" t="s">
        <v>30</v>
      </c>
      <c r="Z279" s="29" t="s">
        <v>42</v>
      </c>
      <c r="AA279" s="29" t="s">
        <v>22</v>
      </c>
      <c r="AB279" s="29" t="s">
        <v>1310</v>
      </c>
      <c r="AC279" s="59">
        <v>45001</v>
      </c>
      <c r="AD279" s="59">
        <v>45007</v>
      </c>
      <c r="AE279" s="59">
        <v>45009</v>
      </c>
      <c r="AF279" s="29"/>
      <c r="AG279" s="59">
        <v>45019</v>
      </c>
      <c r="AH279" s="85">
        <v>45019</v>
      </c>
      <c r="AI279" s="29" t="s">
        <v>30</v>
      </c>
      <c r="AJ279" s="139">
        <v>45021</v>
      </c>
      <c r="AK279" s="85">
        <v>45048</v>
      </c>
      <c r="AL279" s="102"/>
      <c r="AM279" s="41" t="str">
        <f>VLOOKUP(Table2[[#This Row],[country]],Countrycode!A:B,2,FALSE)</f>
        <v>TGO</v>
      </c>
      <c r="AN279" s="34">
        <f>IF(ISBLANK(Table2[[#This Row],[Need_RRA]]), 2,(IF(Table2[[#This Row],[Need_RRA]]="No", 0, (IF(AND(Table2[[#This Row],[Need_RRA]]="Yes",  Table2[[#This Row],[RRA_pub_date]]=""),1, 0)))))</f>
        <v>0</v>
      </c>
      <c r="AO279" s="41">
        <f>IF(ISBLANK(Table2[[#This Row],[Need_EIS]]), 2,(IF(Table2[[#This Row],[Need_EIS]]="No", 0, (IF(AND(Table2[[#This Row],[Need_EIS]]="Yes",  Table2[[#This Row],[EIS_pub_date]]=""),1, 0)))))</f>
        <v>0</v>
      </c>
      <c r="AP279" s="41">
        <f>IF(ISBLANK(Table2[[#This Row],[Need_DON]]), 2,(IF(Table2[[#This Row],[Need_DON]]="No", 0, (IF(AND(Table2[[#This Row],[Need_DON]]="Yes",  Table2[[#This Row],[DON_pub_date]]=""),1, 0)))))</f>
        <v>0</v>
      </c>
      <c r="AQ279" s="34">
        <f>IF(ISBLANK(Table2[[#This Row],[Pending_question]]), 2,(IF(Table2[[#This Row],[Pending_question]]="Yes", 1, 0)))</f>
        <v>0</v>
      </c>
      <c r="AR279" s="43"/>
    </row>
    <row r="280" spans="1:44" ht="15" customHeight="1">
      <c r="A280" s="63">
        <v>44980</v>
      </c>
      <c r="B280" s="29" t="s">
        <v>15</v>
      </c>
      <c r="C280" s="34" t="str" cm="1">
        <f t="array" ref="C28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80" s="27" t="s">
        <v>1311</v>
      </c>
      <c r="E280" s="67" t="s">
        <v>99</v>
      </c>
      <c r="F280" s="29" t="s">
        <v>159</v>
      </c>
      <c r="G280" s="29" t="s">
        <v>34</v>
      </c>
      <c r="H280" s="59">
        <v>44980</v>
      </c>
      <c r="I280" s="59">
        <v>44981</v>
      </c>
      <c r="J280" s="59">
        <v>44980</v>
      </c>
      <c r="K280" s="59" t="s">
        <v>1312</v>
      </c>
      <c r="L280" s="104" t="s">
        <v>1313</v>
      </c>
      <c r="M280" s="70" t="s">
        <v>19</v>
      </c>
      <c r="N280" s="59"/>
      <c r="O280" s="85"/>
      <c r="P280" s="59" t="s">
        <v>30</v>
      </c>
      <c r="Q280" s="84">
        <v>1</v>
      </c>
      <c r="R280" s="29" t="s">
        <v>1314</v>
      </c>
      <c r="S280" s="59">
        <v>44981</v>
      </c>
      <c r="T280" s="59">
        <v>44981</v>
      </c>
      <c r="U280" s="59">
        <v>44991</v>
      </c>
      <c r="V280" s="29" t="s">
        <v>51</v>
      </c>
      <c r="W280" s="29" t="s">
        <v>51</v>
      </c>
      <c r="X280" s="27" t="s">
        <v>51</v>
      </c>
      <c r="Y280" s="29" t="s">
        <v>30</v>
      </c>
      <c r="Z280" s="29" t="s">
        <v>42</v>
      </c>
      <c r="AA280" s="29" t="s">
        <v>22</v>
      </c>
      <c r="AB280" s="29" t="s">
        <v>1315</v>
      </c>
      <c r="AC280" s="59">
        <v>44980</v>
      </c>
      <c r="AD280" s="59">
        <v>44981</v>
      </c>
      <c r="AE280" s="59">
        <v>44981</v>
      </c>
      <c r="AF280" s="59">
        <v>44981</v>
      </c>
      <c r="AG280" s="59">
        <v>44982</v>
      </c>
      <c r="AH280" s="85">
        <v>44982</v>
      </c>
      <c r="AI280" s="29" t="s">
        <v>30</v>
      </c>
      <c r="AJ280" s="139">
        <v>44982</v>
      </c>
      <c r="AK280" s="85">
        <v>44983</v>
      </c>
      <c r="AL280" s="102"/>
      <c r="AM280" s="41" t="str">
        <f>VLOOKUP(Table2[[#This Row],[country]],Countrycode!A:B,2,FALSE)</f>
        <v>KHM</v>
      </c>
      <c r="AN280" s="34">
        <f>IF(ISBLANK(Table2[[#This Row],[Need_RRA]]), 2,(IF(Table2[[#This Row],[Need_RRA]]="No", 0, (IF(AND(Table2[[#This Row],[Need_RRA]]="Yes",  Table2[[#This Row],[RRA_pub_date]]=""),1, 0)))))</f>
        <v>0</v>
      </c>
      <c r="AO280" s="34">
        <f>IF(ISBLANK(Table2[[#This Row],[Need_EIS]]), 2,(IF(Table2[[#This Row],[Need_EIS]]="No", 0, (IF(AND(Table2[[#This Row],[Need_EIS]]="Yes",  Table2[[#This Row],[EIS_pub_date]]=""),1, 0)))))</f>
        <v>0</v>
      </c>
      <c r="AP280" s="34">
        <f>IF(ISBLANK(Table2[[#This Row],[Need_DON]]), 2,(IF(Table2[[#This Row],[Need_DON]]="No", 0, (IF(AND(Table2[[#This Row],[Need_DON]]="Yes",  Table2[[#This Row],[DON_pub_date]]=""),1, 0)))))</f>
        <v>0</v>
      </c>
      <c r="AQ280" s="34">
        <f>IF(ISBLANK(Table2[[#This Row],[Pending_question]]), 2,(IF(Table2[[#This Row],[Pending_question]]="Yes", 1, 0)))</f>
        <v>0</v>
      </c>
      <c r="AR280" s="43"/>
    </row>
    <row r="281" spans="1:44" ht="15" customHeight="1">
      <c r="A281" s="63">
        <v>44980</v>
      </c>
      <c r="B281" s="29" t="s">
        <v>15</v>
      </c>
      <c r="C281" s="34" t="str" cm="1">
        <f t="array" ref="C28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81" s="27" t="s">
        <v>1316</v>
      </c>
      <c r="E281" s="67" t="s">
        <v>99</v>
      </c>
      <c r="F281" s="29" t="s">
        <v>159</v>
      </c>
      <c r="G281" s="29" t="s">
        <v>34</v>
      </c>
      <c r="H281" s="29"/>
      <c r="I281" s="59"/>
      <c r="J281" s="59">
        <v>44980</v>
      </c>
      <c r="K281" s="59" t="s">
        <v>1312</v>
      </c>
      <c r="L281" s="104" t="s">
        <v>1313</v>
      </c>
      <c r="M281" s="70" t="s">
        <v>19</v>
      </c>
      <c r="N281" s="59"/>
      <c r="O281" s="85"/>
      <c r="P281" s="59" t="s">
        <v>19</v>
      </c>
      <c r="Q281" s="84"/>
      <c r="R281" s="29"/>
      <c r="S281" s="29"/>
      <c r="T281" s="59"/>
      <c r="U281" s="29"/>
      <c r="V281" s="29"/>
      <c r="W281" s="29"/>
      <c r="X281" s="27"/>
      <c r="Y281" s="29" t="s">
        <v>30</v>
      </c>
      <c r="Z281" s="29" t="s">
        <v>21</v>
      </c>
      <c r="AA281" s="29" t="s">
        <v>22</v>
      </c>
      <c r="AB281" s="29" t="s">
        <v>1317</v>
      </c>
      <c r="AC281" s="59">
        <v>44988</v>
      </c>
      <c r="AD281" s="59">
        <v>44988</v>
      </c>
      <c r="AE281" s="59">
        <v>44988</v>
      </c>
      <c r="AF281" s="59">
        <v>44988</v>
      </c>
      <c r="AG281" s="59">
        <v>44990</v>
      </c>
      <c r="AH281" s="85">
        <v>44991</v>
      </c>
      <c r="AI281" s="29" t="s">
        <v>19</v>
      </c>
      <c r="AJ281" s="139"/>
      <c r="AK281" s="27"/>
      <c r="AL281" s="102"/>
      <c r="AM281" s="41" t="str">
        <f>VLOOKUP(Table2[[#This Row],[country]],Countrycode!A:B,2,FALSE)</f>
        <v>KHM</v>
      </c>
      <c r="AN281" s="34">
        <f>IF(ISBLANK(Table2[[#This Row],[Need_RRA]]), 2,(IF(Table2[[#This Row],[Need_RRA]]="No", 0, (IF(AND(Table2[[#This Row],[Need_RRA]]="Yes",  Table2[[#This Row],[RRA_pub_date]]=""),1, 0)))))</f>
        <v>0</v>
      </c>
      <c r="AO281" s="34">
        <f>IF(ISBLANK(Table2[[#This Row],[Need_EIS]]), 2,(IF(Table2[[#This Row],[Need_EIS]]="No", 0, (IF(AND(Table2[[#This Row],[Need_EIS]]="Yes",  Table2[[#This Row],[EIS_pub_date]]=""),1, 0)))))</f>
        <v>0</v>
      </c>
      <c r="AP281" s="34">
        <f>IF(ISBLANK(Table2[[#This Row],[Need_DON]]), 2,(IF(Table2[[#This Row],[Need_DON]]="No", 0, (IF(AND(Table2[[#This Row],[Need_DON]]="Yes",  Table2[[#This Row],[DON_pub_date]]=""),1, 0)))))</f>
        <v>0</v>
      </c>
      <c r="AQ281" s="34">
        <f>IF(ISBLANK(Table2[[#This Row],[Pending_question]]), 2,(IF(Table2[[#This Row],[Pending_question]]="Yes", 1, 0)))</f>
        <v>0</v>
      </c>
      <c r="AR281" s="43"/>
    </row>
    <row r="282" spans="1:44" ht="15" customHeight="1">
      <c r="A282" s="63">
        <v>44984</v>
      </c>
      <c r="B282" s="29" t="s">
        <v>15</v>
      </c>
      <c r="C282" s="34" t="str" cm="1">
        <f t="array" ref="C28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82" s="27" t="s">
        <v>1318</v>
      </c>
      <c r="E282" s="67" t="s">
        <v>99</v>
      </c>
      <c r="F282" s="29" t="s">
        <v>173</v>
      </c>
      <c r="G282" s="29" t="s">
        <v>34</v>
      </c>
      <c r="H282" s="59">
        <v>44984</v>
      </c>
      <c r="I282" s="59">
        <v>44998</v>
      </c>
      <c r="J282" s="59">
        <v>44984</v>
      </c>
      <c r="K282" s="59" t="s">
        <v>1319</v>
      </c>
      <c r="L282" s="112" t="s">
        <v>1320</v>
      </c>
      <c r="M282" s="70" t="s">
        <v>19</v>
      </c>
      <c r="N282" s="59"/>
      <c r="O282" s="85"/>
      <c r="P282" s="59" t="s">
        <v>19</v>
      </c>
      <c r="Q282" s="84"/>
      <c r="R282" s="29"/>
      <c r="S282" s="29"/>
      <c r="T282" s="59"/>
      <c r="U282" s="29"/>
      <c r="V282" s="29"/>
      <c r="W282" s="29"/>
      <c r="X282" s="27"/>
      <c r="Y282" s="29" t="s">
        <v>30</v>
      </c>
      <c r="Z282" s="29" t="s">
        <v>42</v>
      </c>
      <c r="AA282" s="29" t="s">
        <v>22</v>
      </c>
      <c r="AB282" s="29" t="s">
        <v>1321</v>
      </c>
      <c r="AC282" s="59">
        <v>44984</v>
      </c>
      <c r="AD282" s="59">
        <v>44984</v>
      </c>
      <c r="AE282" s="59">
        <v>44985</v>
      </c>
      <c r="AF282" s="59">
        <v>44985</v>
      </c>
      <c r="AG282" s="29"/>
      <c r="AH282" s="85">
        <v>45000</v>
      </c>
      <c r="AI282" s="29" t="s">
        <v>19</v>
      </c>
      <c r="AJ282" s="139">
        <v>45024</v>
      </c>
      <c r="AK282" s="85">
        <v>45051</v>
      </c>
      <c r="AL282" s="102"/>
      <c r="AM282" s="41" t="str">
        <f>VLOOKUP(Table2[[#This Row],[country]],Countrycode!A:B,2,FALSE)</f>
        <v>CHN</v>
      </c>
      <c r="AN282" s="34">
        <f>IF(ISBLANK(Table2[[#This Row],[Need_RRA]]), 2,(IF(Table2[[#This Row],[Need_RRA]]="No", 0, (IF(AND(Table2[[#This Row],[Need_RRA]]="Yes",  Table2[[#This Row],[RRA_pub_date]]=""),1, 0)))))</f>
        <v>0</v>
      </c>
      <c r="AO282" s="34">
        <f>IF(ISBLANK(Table2[[#This Row],[Need_EIS]]), 2,(IF(Table2[[#This Row],[Need_EIS]]="No", 0, (IF(AND(Table2[[#This Row],[Need_EIS]]="Yes",  Table2[[#This Row],[EIS_pub_date]]=""),1, 0)))))</f>
        <v>0</v>
      </c>
      <c r="AP282" s="34">
        <f>IF(ISBLANK(Table2[[#This Row],[Need_DON]]), 2,(IF(Table2[[#This Row],[Need_DON]]="No", 0, (IF(AND(Table2[[#This Row],[Need_DON]]="Yes",  Table2[[#This Row],[DON_pub_date]]=""),1, 0)))))</f>
        <v>0</v>
      </c>
      <c r="AQ282" s="34">
        <f>IF(ISBLANK(Table2[[#This Row],[Pending_question]]), 2,(IF(Table2[[#This Row],[Pending_question]]="Yes", 1, 0)))</f>
        <v>0</v>
      </c>
      <c r="AR282" s="43"/>
    </row>
    <row r="283" spans="1:44" ht="15" customHeight="1">
      <c r="A283" s="63">
        <v>44985</v>
      </c>
      <c r="B283" s="29" t="s">
        <v>15</v>
      </c>
      <c r="C283" s="34" t="str" cm="1">
        <f t="array" ref="C28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83" s="27" t="s">
        <v>1322</v>
      </c>
      <c r="E283" s="67" t="s">
        <v>138</v>
      </c>
      <c r="F283" s="29" t="s">
        <v>275</v>
      </c>
      <c r="G283" s="29" t="s">
        <v>34</v>
      </c>
      <c r="H283" s="59">
        <v>44985</v>
      </c>
      <c r="I283" s="59"/>
      <c r="J283" s="59">
        <v>44980</v>
      </c>
      <c r="K283" s="264" t="s">
        <v>1323</v>
      </c>
      <c r="L283" s="104" t="s">
        <v>1324</v>
      </c>
      <c r="M283" s="70" t="s">
        <v>19</v>
      </c>
      <c r="N283" s="59"/>
      <c r="O283" s="85"/>
      <c r="P283" s="59" t="s">
        <v>30</v>
      </c>
      <c r="Q283" s="84">
        <v>1</v>
      </c>
      <c r="R283" s="29" t="s">
        <v>1325</v>
      </c>
      <c r="S283" s="59">
        <v>44986</v>
      </c>
      <c r="T283" s="59">
        <v>44986</v>
      </c>
      <c r="U283" s="59">
        <v>45016</v>
      </c>
      <c r="V283" s="29" t="s">
        <v>20</v>
      </c>
      <c r="W283" s="29" t="s">
        <v>51</v>
      </c>
      <c r="X283" s="27" t="s">
        <v>51</v>
      </c>
      <c r="Y283" s="29" t="s">
        <v>19</v>
      </c>
      <c r="Z283" s="29"/>
      <c r="AA283" s="29"/>
      <c r="AB283" s="29"/>
      <c r="AC283" s="59" t="s">
        <v>34</v>
      </c>
      <c r="AD283" s="59" t="s">
        <v>34</v>
      </c>
      <c r="AE283" s="59" t="s">
        <v>34</v>
      </c>
      <c r="AF283" s="59" t="s">
        <v>34</v>
      </c>
      <c r="AG283" s="59" t="s">
        <v>34</v>
      </c>
      <c r="AH283" s="27" t="s">
        <v>34</v>
      </c>
      <c r="AI283" s="29" t="s">
        <v>19</v>
      </c>
      <c r="AJ283" s="139">
        <v>45019</v>
      </c>
      <c r="AK283" s="85">
        <v>45046</v>
      </c>
      <c r="AL283" s="102"/>
      <c r="AM283" s="41" t="str">
        <f>VLOOKUP(Table2[[#This Row],[country]],Countrycode!A:B,2,FALSE)</f>
        <v>IDN</v>
      </c>
      <c r="AN283" s="34">
        <f>IF(ISBLANK(Table2[[#This Row],[Need_RRA]]), 2,(IF(Table2[[#This Row],[Need_RRA]]="No", 0, (IF(AND(Table2[[#This Row],[Need_RRA]]="Yes",  Table2[[#This Row],[RRA_pub_date]]=""),1, 0)))))</f>
        <v>0</v>
      </c>
      <c r="AO283" s="34">
        <f>IF(ISBLANK(Table2[[#This Row],[Need_EIS]]), 2,(IF(Table2[[#This Row],[Need_EIS]]="No", 0, (IF(AND(Table2[[#This Row],[Need_EIS]]="Yes",  Table2[[#This Row],[EIS_pub_date]]=""),1, 0)))))</f>
        <v>0</v>
      </c>
      <c r="AP283" s="34">
        <f>IF(ISBLANK(Table2[[#This Row],[Need_DON]]), 2,(IF(Table2[[#This Row],[Need_DON]]="No", 0, (IF(AND(Table2[[#This Row],[Need_DON]]="Yes",  Table2[[#This Row],[DON_pub_date]]=""),1, 0)))))</f>
        <v>0</v>
      </c>
      <c r="AQ283" s="34">
        <f>IF(ISBLANK(Table2[[#This Row],[Pending_question]]), 2,(IF(Table2[[#This Row],[Pending_question]]="Yes", 1, 0)))</f>
        <v>0</v>
      </c>
      <c r="AR283" s="43"/>
    </row>
    <row r="284" spans="1:44" ht="15" customHeight="1">
      <c r="A284" s="63">
        <v>44996</v>
      </c>
      <c r="B284" s="29" t="s">
        <v>15</v>
      </c>
      <c r="C284" s="34" t="str" cm="1">
        <f t="array" ref="C28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84" s="27" t="s">
        <v>1248</v>
      </c>
      <c r="E284" s="67" t="s">
        <v>1285</v>
      </c>
      <c r="F284" s="29" t="s">
        <v>173</v>
      </c>
      <c r="G284" s="29" t="s">
        <v>34</v>
      </c>
      <c r="H284" s="59">
        <v>44996</v>
      </c>
      <c r="I284" s="59"/>
      <c r="J284" s="59">
        <v>44995</v>
      </c>
      <c r="K284" s="59" t="s">
        <v>1326</v>
      </c>
      <c r="L284" s="104" t="s">
        <v>1287</v>
      </c>
      <c r="M284" s="70" t="s">
        <v>19</v>
      </c>
      <c r="N284" s="59"/>
      <c r="O284" s="85"/>
      <c r="P284" s="59" t="s">
        <v>19</v>
      </c>
      <c r="Q284" s="84"/>
      <c r="R284" s="29"/>
      <c r="S284" s="29"/>
      <c r="T284" s="59"/>
      <c r="U284" s="29"/>
      <c r="V284" s="29"/>
      <c r="W284" s="29"/>
      <c r="X284" s="27"/>
      <c r="Y284" s="29" t="s">
        <v>30</v>
      </c>
      <c r="Z284" s="29" t="s">
        <v>42</v>
      </c>
      <c r="AA284" s="29" t="s">
        <v>22</v>
      </c>
      <c r="AB284" s="29" t="s">
        <v>1327</v>
      </c>
      <c r="AC284" s="59">
        <v>44995</v>
      </c>
      <c r="AD284" s="59">
        <v>44996</v>
      </c>
      <c r="AE284" s="59">
        <v>44998</v>
      </c>
      <c r="AF284" s="59">
        <v>44999</v>
      </c>
      <c r="AG284" s="29"/>
      <c r="AH284" s="85">
        <v>45002</v>
      </c>
      <c r="AI284" s="29" t="s">
        <v>19</v>
      </c>
      <c r="AJ284" s="85"/>
      <c r="AK284" s="27"/>
      <c r="AL284" s="102"/>
      <c r="AM284" s="41" t="str">
        <f>VLOOKUP(Table2[[#This Row],[country]],Countrycode!A:B,2,FALSE)</f>
        <v>CHN</v>
      </c>
      <c r="AN284" s="34">
        <f>IF(ISBLANK(Table2[[#This Row],[Need_RRA]]), 2,(IF(Table2[[#This Row],[Need_RRA]]="No", 0, (IF(AND(Table2[[#This Row],[Need_RRA]]="Yes",  Table2[[#This Row],[RRA_pub_date]]=""),1, 0)))))</f>
        <v>0</v>
      </c>
      <c r="AO284" s="34">
        <f>IF(ISBLANK(Table2[[#This Row],[Need_EIS]]), 2,(IF(Table2[[#This Row],[Need_EIS]]="No", 0, (IF(AND(Table2[[#This Row],[Need_EIS]]="Yes",  Table2[[#This Row],[EIS_pub_date]]=""),1, 0)))))</f>
        <v>0</v>
      </c>
      <c r="AP284" s="34">
        <f>IF(ISBLANK(Table2[[#This Row],[Need_DON]]), 2,(IF(Table2[[#This Row],[Need_DON]]="No", 0, (IF(AND(Table2[[#This Row],[Need_DON]]="Yes",  Table2[[#This Row],[DON_pub_date]]=""),1, 0)))))</f>
        <v>0</v>
      </c>
      <c r="AQ284" s="34">
        <f>IF(ISBLANK(Table2[[#This Row],[Pending_question]]), 2,(IF(Table2[[#This Row],[Pending_question]]="Yes", 1, 0)))</f>
        <v>0</v>
      </c>
      <c r="AR284" s="43"/>
    </row>
    <row r="285" spans="1:44" ht="15" customHeight="1">
      <c r="A285" s="63">
        <v>44996</v>
      </c>
      <c r="B285" s="29" t="s">
        <v>15</v>
      </c>
      <c r="C285" s="34" t="str" cm="1">
        <f t="array" ref="C28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85" s="27" t="s">
        <v>1248</v>
      </c>
      <c r="E285" s="67" t="s">
        <v>233</v>
      </c>
      <c r="F285" s="29" t="s">
        <v>173</v>
      </c>
      <c r="G285" s="29" t="s">
        <v>34</v>
      </c>
      <c r="H285" s="59">
        <v>44996</v>
      </c>
      <c r="I285" s="59"/>
      <c r="J285" s="59">
        <v>44995</v>
      </c>
      <c r="K285" s="59" t="s">
        <v>1038</v>
      </c>
      <c r="L285" s="104" t="s">
        <v>1039</v>
      </c>
      <c r="M285" s="70" t="s">
        <v>19</v>
      </c>
      <c r="N285" s="59"/>
      <c r="O285" s="85"/>
      <c r="P285" s="59" t="s">
        <v>19</v>
      </c>
      <c r="Q285" s="84"/>
      <c r="R285" s="29"/>
      <c r="S285" s="29"/>
      <c r="T285" s="59"/>
      <c r="U285" s="29"/>
      <c r="V285" s="29"/>
      <c r="W285" s="29"/>
      <c r="X285" s="27"/>
      <c r="Y285" s="29" t="s">
        <v>30</v>
      </c>
      <c r="Z285" s="29" t="s">
        <v>42</v>
      </c>
      <c r="AA285" s="29" t="s">
        <v>22</v>
      </c>
      <c r="AB285" s="29" t="s">
        <v>1327</v>
      </c>
      <c r="AC285" s="59">
        <v>44995</v>
      </c>
      <c r="AD285" s="59">
        <v>44996</v>
      </c>
      <c r="AE285" s="59">
        <v>44998</v>
      </c>
      <c r="AF285" s="59">
        <v>44999</v>
      </c>
      <c r="AG285" s="29"/>
      <c r="AH285" s="85">
        <v>45002</v>
      </c>
      <c r="AI285" s="29" t="s">
        <v>19</v>
      </c>
      <c r="AJ285" s="139"/>
      <c r="AK285" s="27"/>
      <c r="AL285" s="102"/>
      <c r="AM285" s="41" t="str">
        <f>VLOOKUP(Table2[[#This Row],[country]],Countrycode!A:B,2,FALSE)</f>
        <v>CHN</v>
      </c>
      <c r="AN285" s="34">
        <f>IF(ISBLANK(Table2[[#This Row],[Need_RRA]]), 2,(IF(Table2[[#This Row],[Need_RRA]]="No", 0, (IF(AND(Table2[[#This Row],[Need_RRA]]="Yes",  Table2[[#This Row],[RRA_pub_date]]=""),1, 0)))))</f>
        <v>0</v>
      </c>
      <c r="AO285" s="34">
        <f>IF(ISBLANK(Table2[[#This Row],[Need_EIS]]), 2,(IF(Table2[[#This Row],[Need_EIS]]="No", 0, (IF(AND(Table2[[#This Row],[Need_EIS]]="Yes",  Table2[[#This Row],[EIS_pub_date]]=""),1, 0)))))</f>
        <v>0</v>
      </c>
      <c r="AP285" s="34">
        <f>IF(ISBLANK(Table2[[#This Row],[Need_DON]]), 2,(IF(Table2[[#This Row],[Need_DON]]="No", 0, (IF(AND(Table2[[#This Row],[Need_DON]]="Yes",  Table2[[#This Row],[DON_pub_date]]=""),1, 0)))))</f>
        <v>0</v>
      </c>
      <c r="AQ285" s="34">
        <f>IF(ISBLANK(Table2[[#This Row],[Pending_question]]), 2,(IF(Table2[[#This Row],[Pending_question]]="Yes", 1, 0)))</f>
        <v>0</v>
      </c>
      <c r="AR285" s="43"/>
    </row>
    <row r="286" spans="1:44" ht="15" customHeight="1">
      <c r="A286" s="63">
        <v>44998</v>
      </c>
      <c r="B286" s="29" t="s">
        <v>15</v>
      </c>
      <c r="C286" s="34" t="str" cm="1">
        <f t="array" ref="C28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86" s="27" t="s">
        <v>1244</v>
      </c>
      <c r="E286" s="67" t="s">
        <v>118</v>
      </c>
      <c r="F286" s="29" t="s">
        <v>39</v>
      </c>
      <c r="G286" s="29" t="s">
        <v>746</v>
      </c>
      <c r="H286" s="59">
        <v>44998</v>
      </c>
      <c r="I286" s="59"/>
      <c r="J286" s="59">
        <v>44993</v>
      </c>
      <c r="K286" s="59" t="s">
        <v>1328</v>
      </c>
      <c r="L286" s="182" t="s">
        <v>1329</v>
      </c>
      <c r="M286" s="70" t="s">
        <v>19</v>
      </c>
      <c r="N286" s="59"/>
      <c r="O286" s="85"/>
      <c r="P286" s="59" t="s">
        <v>19</v>
      </c>
      <c r="Q286" s="84"/>
      <c r="R286" s="29"/>
      <c r="S286" s="29"/>
      <c r="T286" s="59"/>
      <c r="U286" s="29"/>
      <c r="V286" s="29"/>
      <c r="W286" s="29"/>
      <c r="X286" s="27"/>
      <c r="Y286" s="29" t="s">
        <v>30</v>
      </c>
      <c r="Z286" s="29" t="s">
        <v>33</v>
      </c>
      <c r="AA286" s="29" t="s">
        <v>22</v>
      </c>
      <c r="AB286" s="29" t="s">
        <v>1330</v>
      </c>
      <c r="AC286" s="59">
        <v>44995</v>
      </c>
      <c r="AD286" s="59">
        <v>44998</v>
      </c>
      <c r="AE286" s="59">
        <v>44999</v>
      </c>
      <c r="AF286" s="59">
        <v>44999</v>
      </c>
      <c r="AG286" s="29"/>
      <c r="AH286" s="85">
        <v>45003</v>
      </c>
      <c r="AI286" s="29" t="s">
        <v>30</v>
      </c>
      <c r="AJ286" s="85">
        <v>45017</v>
      </c>
      <c r="AK286" s="85">
        <v>45044</v>
      </c>
      <c r="AL286" s="102"/>
      <c r="AM286" s="41" t="str">
        <f>VLOOKUP(Table2[[#This Row],[country]],Countrycode!A:B,2,FALSE)</f>
        <v>MLX</v>
      </c>
      <c r="AN286" s="34">
        <f>IF(ISBLANK(Table2[[#This Row],[Need_RRA]]), 2,(IF(Table2[[#This Row],[Need_RRA]]="No", 0, (IF(AND(Table2[[#This Row],[Need_RRA]]="Yes",  Table2[[#This Row],[RRA_pub_date]]=""),1, 0)))))</f>
        <v>0</v>
      </c>
      <c r="AO286" s="34">
        <f>IF(ISBLANK(Table2[[#This Row],[Need_EIS]]), 2,(IF(Table2[[#This Row],[Need_EIS]]="No", 0, (IF(AND(Table2[[#This Row],[Need_EIS]]="Yes",  Table2[[#This Row],[EIS_pub_date]]=""),1, 0)))))</f>
        <v>0</v>
      </c>
      <c r="AP286" s="34">
        <f>IF(ISBLANK(Table2[[#This Row],[Need_DON]]), 2,(IF(Table2[[#This Row],[Need_DON]]="No", 0, (IF(AND(Table2[[#This Row],[Need_DON]]="Yes",  Table2[[#This Row],[DON_pub_date]]=""),1, 0)))))</f>
        <v>0</v>
      </c>
      <c r="AQ286" s="34">
        <f>IF(ISBLANK(Table2[[#This Row],[Pending_question]]), 2,(IF(Table2[[#This Row],[Pending_question]]="Yes", 1, 0)))</f>
        <v>0</v>
      </c>
      <c r="AR286" s="43"/>
    </row>
    <row r="287" spans="1:44" ht="15" customHeight="1">
      <c r="A287" s="63">
        <v>45002</v>
      </c>
      <c r="B287" s="29" t="s">
        <v>15</v>
      </c>
      <c r="C287" s="34" t="str" cm="1">
        <f t="array" ref="C28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87" s="27" t="s">
        <v>1191</v>
      </c>
      <c r="E287" s="67" t="s">
        <v>194</v>
      </c>
      <c r="F287" s="29" t="s">
        <v>155</v>
      </c>
      <c r="G287" s="29" t="s">
        <v>34</v>
      </c>
      <c r="H287" s="59">
        <v>45002</v>
      </c>
      <c r="I287" s="59"/>
      <c r="J287" s="59">
        <v>45002</v>
      </c>
      <c r="K287" s="59" t="s">
        <v>1331</v>
      </c>
      <c r="L287" s="104" t="s">
        <v>1332</v>
      </c>
      <c r="M287" s="70" t="s">
        <v>19</v>
      </c>
      <c r="N287" s="59"/>
      <c r="O287" s="85"/>
      <c r="P287" s="59" t="s">
        <v>19</v>
      </c>
      <c r="Q287" s="84"/>
      <c r="R287" s="29"/>
      <c r="S287" s="29"/>
      <c r="T287" s="59"/>
      <c r="U287" s="29"/>
      <c r="V287" s="29"/>
      <c r="W287" s="29"/>
      <c r="X287" s="27"/>
      <c r="Y287" s="29" t="s">
        <v>30</v>
      </c>
      <c r="Z287" s="29" t="s">
        <v>42</v>
      </c>
      <c r="AA287" s="29" t="s">
        <v>43</v>
      </c>
      <c r="AB287" s="29" t="s">
        <v>1333</v>
      </c>
      <c r="AC287" s="59">
        <v>45002</v>
      </c>
      <c r="AD287" s="59">
        <v>45002</v>
      </c>
      <c r="AE287" s="59">
        <v>45006</v>
      </c>
      <c r="AF287" s="59"/>
      <c r="AG287" s="29"/>
      <c r="AH287" s="85">
        <v>45021</v>
      </c>
      <c r="AI287" s="29" t="s">
        <v>30</v>
      </c>
      <c r="AJ287" s="85">
        <v>45021</v>
      </c>
      <c r="AK287" s="85">
        <v>45036</v>
      </c>
      <c r="AL287" s="102"/>
      <c r="AM287" s="41" t="str">
        <f>VLOOKUP(Table2[[#This Row],[country]],Countrycode!A:B,2,FALSE)</f>
        <v>BDI</v>
      </c>
      <c r="AN287" s="34">
        <f>IF(ISBLANK(Table2[[#This Row],[Need_RRA]]), 2,(IF(Table2[[#This Row],[Need_RRA]]="No", 0, (IF(AND(Table2[[#This Row],[Need_RRA]]="Yes",  Table2[[#This Row],[RRA_pub_date]]=""),1, 0)))))</f>
        <v>0</v>
      </c>
      <c r="AO287" s="41">
        <f>IF(ISBLANK(Table2[[#This Row],[Need_EIS]]), 2,(IF(Table2[[#This Row],[Need_EIS]]="No", 0, (IF(AND(Table2[[#This Row],[Need_EIS]]="Yes",  Table2[[#This Row],[EIS_pub_date]]=""),1, 0)))))</f>
        <v>0</v>
      </c>
      <c r="AP287" s="41">
        <f>IF(ISBLANK(Table2[[#This Row],[Need_DON]]), 2,(IF(Table2[[#This Row],[Need_DON]]="No", 0, (IF(AND(Table2[[#This Row],[Need_DON]]="Yes",  Table2[[#This Row],[DON_pub_date]]=""),1, 0)))))</f>
        <v>0</v>
      </c>
      <c r="AQ287" s="34">
        <f>IF(ISBLANK(Table2[[#This Row],[Pending_question]]), 2,(IF(Table2[[#This Row],[Pending_question]]="Yes", 1, 0)))</f>
        <v>0</v>
      </c>
      <c r="AR287" s="43"/>
    </row>
    <row r="288" spans="1:44" ht="15" customHeight="1">
      <c r="A288" s="63">
        <v>45006</v>
      </c>
      <c r="B288" s="29" t="s">
        <v>15</v>
      </c>
      <c r="C288" s="34" t="str" cm="1">
        <f t="array" ref="C28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88" s="27" t="s">
        <v>1304</v>
      </c>
      <c r="E288" s="67" t="s">
        <v>174</v>
      </c>
      <c r="F288" s="29" t="s">
        <v>401</v>
      </c>
      <c r="G288" s="29" t="s">
        <v>34</v>
      </c>
      <c r="H288" s="59">
        <v>45006</v>
      </c>
      <c r="I288" s="59"/>
      <c r="J288" s="59">
        <v>45007</v>
      </c>
      <c r="K288" s="59" t="s">
        <v>1334</v>
      </c>
      <c r="L288" s="104" t="s">
        <v>1335</v>
      </c>
      <c r="M288" s="70" t="s">
        <v>19</v>
      </c>
      <c r="N288" s="59"/>
      <c r="O288" s="85"/>
      <c r="P288" s="59" t="s">
        <v>30</v>
      </c>
      <c r="Q288" s="84">
        <v>1</v>
      </c>
      <c r="R288" s="29" t="s">
        <v>1336</v>
      </c>
      <c r="S288" s="59">
        <v>45006</v>
      </c>
      <c r="T288" s="59">
        <v>45007</v>
      </c>
      <c r="U288" s="59">
        <v>45009</v>
      </c>
      <c r="V288" s="29" t="s">
        <v>41</v>
      </c>
      <c r="W288" s="29" t="s">
        <v>32</v>
      </c>
      <c r="X288" s="27" t="s">
        <v>51</v>
      </c>
      <c r="Y288" s="29" t="s">
        <v>30</v>
      </c>
      <c r="Z288" s="29" t="s">
        <v>42</v>
      </c>
      <c r="AA288" s="29" t="s">
        <v>22</v>
      </c>
      <c r="AB288" s="29" t="s">
        <v>1337</v>
      </c>
      <c r="AC288" s="59">
        <v>45006</v>
      </c>
      <c r="AD288" s="59">
        <v>45007</v>
      </c>
      <c r="AE288" s="59">
        <v>45007</v>
      </c>
      <c r="AF288" s="59">
        <v>45008</v>
      </c>
      <c r="AG288" s="29"/>
      <c r="AH288" s="85">
        <v>45009</v>
      </c>
      <c r="AI288" s="29" t="s">
        <v>30</v>
      </c>
      <c r="AJ288" s="139">
        <v>45018</v>
      </c>
      <c r="AK288" s="85">
        <v>45045</v>
      </c>
      <c r="AL288" s="102"/>
      <c r="AM288" s="41" t="str">
        <f>VLOOKUP(Table2[[#This Row],[country]],Countrycode!A:B,2,FALSE)</f>
        <v>TZA</v>
      </c>
      <c r="AN288" s="34">
        <f>IF(ISBLANK(Table2[[#This Row],[Need_RRA]]), 2,(IF(Table2[[#This Row],[Need_RRA]]="No", 0, (IF(AND(Table2[[#This Row],[Need_RRA]]="Yes",  Table2[[#This Row],[RRA_pub_date]]=""),1, 0)))))</f>
        <v>0</v>
      </c>
      <c r="AO288" s="41">
        <f>IF(ISBLANK(Table2[[#This Row],[Need_EIS]]), 2,(IF(Table2[[#This Row],[Need_EIS]]="No", 0, (IF(AND(Table2[[#This Row],[Need_EIS]]="Yes",  Table2[[#This Row],[EIS_pub_date]]=""),1, 0)))))</f>
        <v>0</v>
      </c>
      <c r="AP288" s="41">
        <f>IF(ISBLANK(Table2[[#This Row],[Need_DON]]), 2,(IF(Table2[[#This Row],[Need_DON]]="No", 0, (IF(AND(Table2[[#This Row],[Need_DON]]="Yes",  Table2[[#This Row],[DON_pub_date]]=""),1, 0)))))</f>
        <v>0</v>
      </c>
      <c r="AQ288" s="34">
        <f>IF(ISBLANK(Table2[[#This Row],[Pending_question]]), 2,(IF(Table2[[#This Row],[Pending_question]]="Yes", 1, 0)))</f>
        <v>0</v>
      </c>
      <c r="AR288" s="43"/>
    </row>
    <row r="289" spans="1:44" ht="47.25" customHeight="1">
      <c r="A289" s="63">
        <v>45006</v>
      </c>
      <c r="B289" s="29" t="s">
        <v>15</v>
      </c>
      <c r="C289" s="34" t="str" cm="1">
        <f t="array" ref="C28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89" s="27" t="s">
        <v>1338</v>
      </c>
      <c r="E289" s="67" t="s">
        <v>174</v>
      </c>
      <c r="F289" s="29" t="s">
        <v>401</v>
      </c>
      <c r="G289" s="29" t="s">
        <v>34</v>
      </c>
      <c r="H289" s="59">
        <v>45006</v>
      </c>
      <c r="I289" s="59">
        <v>45016</v>
      </c>
      <c r="J289" s="59">
        <v>45007</v>
      </c>
      <c r="K289" s="59" t="s">
        <v>1334</v>
      </c>
      <c r="L289" s="104" t="s">
        <v>1335</v>
      </c>
      <c r="M289" s="70" t="s">
        <v>19</v>
      </c>
      <c r="N289" s="59" t="s">
        <v>19</v>
      </c>
      <c r="O289" s="85"/>
      <c r="P289" s="59" t="s">
        <v>19</v>
      </c>
      <c r="Q289" s="84"/>
      <c r="R289" s="29"/>
      <c r="S289" s="29"/>
      <c r="T289" s="59"/>
      <c r="U289" s="29"/>
      <c r="V289" s="29"/>
      <c r="W289" s="29"/>
      <c r="X289" s="27"/>
      <c r="Y289" s="29" t="s">
        <v>30</v>
      </c>
      <c r="Z289" s="29" t="s">
        <v>21</v>
      </c>
      <c r="AA289" s="29" t="s">
        <v>43</v>
      </c>
      <c r="AB289" s="29" t="s">
        <v>1339</v>
      </c>
      <c r="AC289" s="59">
        <v>45070</v>
      </c>
      <c r="AD289" s="59">
        <v>45072</v>
      </c>
      <c r="AE289" s="59">
        <v>45075</v>
      </c>
      <c r="AF289" s="59">
        <v>45076</v>
      </c>
      <c r="AG289" s="85">
        <v>45077</v>
      </c>
      <c r="AH289" s="85">
        <v>45079</v>
      </c>
      <c r="AI289" s="29" t="s">
        <v>30</v>
      </c>
      <c r="AJ289" s="139"/>
      <c r="AK289" s="139">
        <v>45079</v>
      </c>
      <c r="AL289" s="102"/>
      <c r="AM289" s="41" t="str">
        <f>VLOOKUP(Table2[[#This Row],[country]],Countrycode!A:B,2,FALSE)</f>
        <v>TZA</v>
      </c>
      <c r="AN289" s="34">
        <f>IF(ISBLANK(Table2[[#This Row],[Need_RRA]]), 2,(IF(Table2[[#This Row],[Need_RRA]]="No", 0, (IF(AND(Table2[[#This Row],[Need_RRA]]="Yes",  Table2[[#This Row],[RRA_pub_date]]=""),1, 0)))))</f>
        <v>0</v>
      </c>
      <c r="AO289" s="41">
        <f>IF(ISBLANK(Table2[[#This Row],[Need_EIS]]), 2,(IF(Table2[[#This Row],[Need_EIS]]="No", 0, (IF(AND(Table2[[#This Row],[Need_EIS]]="Yes",  Table2[[#This Row],[EIS_pub_date]]=""),1, 0)))))</f>
        <v>0</v>
      </c>
      <c r="AP289" s="41">
        <f>IF(ISBLANK(Table2[[#This Row],[Need_DON]]), 2,(IF(Table2[[#This Row],[Need_DON]]="No", 0, (IF(AND(Table2[[#This Row],[Need_DON]]="Yes",  Table2[[#This Row],[DON_pub_date]]=""),1, 0)))))</f>
        <v>0</v>
      </c>
      <c r="AQ289" s="34">
        <f>IF(ISBLANK(Table2[[#This Row],[Pending_question]]), 2,(IF(Table2[[#This Row],[Pending_question]]="Yes", 1, 0)))</f>
        <v>0</v>
      </c>
      <c r="AR289" s="43"/>
    </row>
    <row r="290" spans="1:44" ht="15" customHeight="1">
      <c r="A290" s="63">
        <v>45007</v>
      </c>
      <c r="B290" s="29" t="s">
        <v>15</v>
      </c>
      <c r="C290" s="34" t="str" cm="1">
        <f t="array" ref="C29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90" s="27" t="s">
        <v>1340</v>
      </c>
      <c r="E290" s="67" t="s">
        <v>136</v>
      </c>
      <c r="F290" s="29" t="s">
        <v>379</v>
      </c>
      <c r="G290" s="29" t="s">
        <v>34</v>
      </c>
      <c r="H290" s="59">
        <v>45007</v>
      </c>
      <c r="I290" s="59">
        <v>45013</v>
      </c>
      <c r="J290" s="59">
        <v>44976</v>
      </c>
      <c r="K290" s="59" t="s">
        <v>622</v>
      </c>
      <c r="L290" s="104" t="s">
        <v>1341</v>
      </c>
      <c r="M290" s="70" t="s">
        <v>19</v>
      </c>
      <c r="N290" s="59"/>
      <c r="O290" s="85"/>
      <c r="P290" s="59" t="s">
        <v>30</v>
      </c>
      <c r="Q290" s="84">
        <v>3</v>
      </c>
      <c r="R290" s="29" t="s">
        <v>1342</v>
      </c>
      <c r="S290" s="59">
        <v>44988</v>
      </c>
      <c r="T290" s="59">
        <v>44988</v>
      </c>
      <c r="U290" s="59">
        <v>45009</v>
      </c>
      <c r="V290" s="29" t="s">
        <v>20</v>
      </c>
      <c r="W290" s="29" t="s">
        <v>20</v>
      </c>
      <c r="X290" s="27" t="s">
        <v>51</v>
      </c>
      <c r="Y290" s="29" t="s">
        <v>31</v>
      </c>
      <c r="Z290" s="29" t="s">
        <v>42</v>
      </c>
      <c r="AA290" s="29" t="s">
        <v>22</v>
      </c>
      <c r="AB290" s="29"/>
      <c r="AC290" s="59">
        <v>45001</v>
      </c>
      <c r="AD290" s="59">
        <v>45019</v>
      </c>
      <c r="AE290" s="59">
        <v>45019</v>
      </c>
      <c r="AF290" s="29"/>
      <c r="AG290" s="29"/>
      <c r="AH290" s="27"/>
      <c r="AI290" s="29" t="s">
        <v>31</v>
      </c>
      <c r="AJ290" s="139"/>
      <c r="AK290" s="27"/>
      <c r="AL290" s="102" t="s">
        <v>1343</v>
      </c>
      <c r="AM290" s="41" t="str">
        <f>VLOOKUP(Table2[[#This Row],[country]],Countrycode!A:B,2,FALSE)</f>
        <v>SDN</v>
      </c>
      <c r="AN290" s="34">
        <f>IF(ISBLANK(Table2[[#This Row],[Need_RRA]]), 2,(IF(Table2[[#This Row],[Need_RRA]]="No", 0, (IF(AND(Table2[[#This Row],[Need_RRA]]="Yes",  Table2[[#This Row],[RRA_pub_date]]=""),1, 0)))))</f>
        <v>0</v>
      </c>
      <c r="AO290" s="41">
        <f>IF(ISBLANK(Table2[[#This Row],[Need_EIS]]), 2,(IF(Table2[[#This Row],[Need_EIS]]="No", 0, (IF(AND(Table2[[#This Row],[Need_EIS]]="Yes",  Table2[[#This Row],[EIS_pub_date]]=""),1, 0)))))</f>
        <v>0</v>
      </c>
      <c r="AP290" s="41">
        <f>IF(ISBLANK(Table2[[#This Row],[Need_DON]]), 2,(IF(Table2[[#This Row],[Need_DON]]="No", 0, (IF(AND(Table2[[#This Row],[Need_DON]]="Yes",  Table2[[#This Row],[DON_pub_date]]=""),1, 0)))))</f>
        <v>0</v>
      </c>
      <c r="AQ290" s="34">
        <f>IF(ISBLANK(Table2[[#This Row],[Pending_question]]), 2,(IF(Table2[[#This Row],[Pending_question]]="Yes", 1, 0)))</f>
        <v>0</v>
      </c>
      <c r="AR290" s="43"/>
    </row>
    <row r="291" spans="1:44" ht="15" customHeight="1">
      <c r="A291" s="63">
        <v>45008</v>
      </c>
      <c r="B291" s="29" t="s">
        <v>15</v>
      </c>
      <c r="C291" s="34" t="str" cm="1">
        <f t="array" ref="C29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91" s="27" t="s">
        <v>1344</v>
      </c>
      <c r="E291" s="67" t="s">
        <v>194</v>
      </c>
      <c r="F291" s="29" t="s">
        <v>275</v>
      </c>
      <c r="G291" s="29" t="s">
        <v>34</v>
      </c>
      <c r="H291" s="59">
        <v>45008</v>
      </c>
      <c r="I291" s="59"/>
      <c r="J291" s="59">
        <v>44875</v>
      </c>
      <c r="K291" s="59" t="s">
        <v>1179</v>
      </c>
      <c r="L291" s="181" t="s">
        <v>1180</v>
      </c>
      <c r="M291" s="70" t="s">
        <v>19</v>
      </c>
      <c r="N291" s="59"/>
      <c r="O291" s="85"/>
      <c r="P291" s="59" t="s">
        <v>30</v>
      </c>
      <c r="Q291" s="84">
        <v>2</v>
      </c>
      <c r="R291" s="29" t="s">
        <v>1345</v>
      </c>
      <c r="S291" s="59">
        <v>45009</v>
      </c>
      <c r="T291" s="59">
        <v>45010</v>
      </c>
      <c r="U291" s="59">
        <v>45020</v>
      </c>
      <c r="V291" s="29" t="s">
        <v>20</v>
      </c>
      <c r="W291" s="29" t="s">
        <v>32</v>
      </c>
      <c r="X291" s="27" t="s">
        <v>51</v>
      </c>
      <c r="Y291" s="29" t="s">
        <v>30</v>
      </c>
      <c r="Z291" s="29" t="s">
        <v>21</v>
      </c>
      <c r="AA291" s="29" t="s">
        <v>22</v>
      </c>
      <c r="AB291" s="29" t="s">
        <v>1346</v>
      </c>
      <c r="AC291" s="59">
        <v>45007</v>
      </c>
      <c r="AD291" s="59">
        <v>45021</v>
      </c>
      <c r="AE291" s="59">
        <v>45022</v>
      </c>
      <c r="AF291" s="29"/>
      <c r="AG291" s="29"/>
      <c r="AH291" s="85">
        <v>45022</v>
      </c>
      <c r="AI291" s="29" t="s">
        <v>30</v>
      </c>
      <c r="AJ291" s="139">
        <v>45027</v>
      </c>
      <c r="AK291" s="85">
        <v>45033</v>
      </c>
      <c r="AL291" s="102"/>
      <c r="AM291" s="41" t="str">
        <f>VLOOKUP(Table2[[#This Row],[country]],Countrycode!A:B,2,FALSE)</f>
        <v>IDN</v>
      </c>
      <c r="AN291" s="34">
        <f>IF(ISBLANK(Table2[[#This Row],[Need_RRA]]), 2,(IF(Table2[[#This Row],[Need_RRA]]="No", 0, (IF(AND(Table2[[#This Row],[Need_RRA]]="Yes",  Table2[[#This Row],[RRA_pub_date]]=""),1, 0)))))</f>
        <v>0</v>
      </c>
      <c r="AO291" s="34">
        <f>IF(ISBLANK(Table2[[#This Row],[Need_EIS]]), 2,(IF(Table2[[#This Row],[Need_EIS]]="No", 0, (IF(AND(Table2[[#This Row],[Need_EIS]]="Yes",  Table2[[#This Row],[EIS_pub_date]]=""),1, 0)))))</f>
        <v>0</v>
      </c>
      <c r="AP291" s="34">
        <f>IF(ISBLANK(Table2[[#This Row],[Need_DON]]), 2,(IF(Table2[[#This Row],[Need_DON]]="No", 0, (IF(AND(Table2[[#This Row],[Need_DON]]="Yes",  Table2[[#This Row],[DON_pub_date]]=""),1, 0)))))</f>
        <v>0</v>
      </c>
      <c r="AQ291" s="34">
        <f>IF(ISBLANK(Table2[[#This Row],[Pending_question]]), 2,(IF(Table2[[#This Row],[Pending_question]]="Yes", 1, 0)))</f>
        <v>0</v>
      </c>
      <c r="AR291" s="43"/>
    </row>
    <row r="292" spans="1:44" ht="15" customHeight="1">
      <c r="A292" s="63">
        <v>45014</v>
      </c>
      <c r="B292" s="29" t="s">
        <v>15</v>
      </c>
      <c r="C292" s="34" t="str" cm="1">
        <f t="array" ref="C29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92" s="27" t="s">
        <v>1347</v>
      </c>
      <c r="E292" s="67" t="s">
        <v>166</v>
      </c>
      <c r="F292" s="29" t="s">
        <v>328</v>
      </c>
      <c r="G292" s="29" t="s">
        <v>34</v>
      </c>
      <c r="H292" s="59">
        <v>45014</v>
      </c>
      <c r="I292" s="59">
        <v>45029</v>
      </c>
      <c r="J292" s="59">
        <v>44910</v>
      </c>
      <c r="K292" s="59" t="s">
        <v>1348</v>
      </c>
      <c r="L292" s="104" t="s">
        <v>1349</v>
      </c>
      <c r="M292" s="70" t="s">
        <v>19</v>
      </c>
      <c r="N292" s="59"/>
      <c r="O292" s="85"/>
      <c r="P292" s="59" t="s">
        <v>30</v>
      </c>
      <c r="Q292" s="84">
        <v>1</v>
      </c>
      <c r="R292" s="29" t="s">
        <v>1350</v>
      </c>
      <c r="S292" s="59">
        <v>45015</v>
      </c>
      <c r="T292" s="59">
        <v>45016</v>
      </c>
      <c r="U292" s="59">
        <v>45022</v>
      </c>
      <c r="V292" s="29" t="s">
        <v>20</v>
      </c>
      <c r="W292" s="29" t="s">
        <v>51</v>
      </c>
      <c r="X292" s="27" t="s">
        <v>51</v>
      </c>
      <c r="Y292" s="29" t="s">
        <v>30</v>
      </c>
      <c r="Z292" s="29" t="s">
        <v>42</v>
      </c>
      <c r="AA292" s="29" t="s">
        <v>22</v>
      </c>
      <c r="AB292" s="29" t="s">
        <v>1351</v>
      </c>
      <c r="AC292" s="59">
        <v>45022</v>
      </c>
      <c r="AD292" s="59">
        <v>45029</v>
      </c>
      <c r="AE292" s="59">
        <v>45030</v>
      </c>
      <c r="AF292" s="59">
        <v>45030</v>
      </c>
      <c r="AG292" s="29"/>
      <c r="AH292" s="85">
        <v>45034</v>
      </c>
      <c r="AI292" s="29" t="s">
        <v>30</v>
      </c>
      <c r="AJ292" s="139">
        <v>45035</v>
      </c>
      <c r="AK292" s="151">
        <v>44931</v>
      </c>
      <c r="AL292" s="102"/>
      <c r="AM292" s="41" t="str">
        <f>VLOOKUP(Table2[[#This Row],[country]],Countrycode!A:B,2,FALSE)</f>
        <v>NGA</v>
      </c>
      <c r="AN292" s="34">
        <f>IF(ISBLANK(Table2[[#This Row],[Need_RRA]]), 2,(IF(Table2[[#This Row],[Need_RRA]]="No", 0, (IF(AND(Table2[[#This Row],[Need_RRA]]="Yes",  Table2[[#This Row],[RRA_pub_date]]=""),1, 0)))))</f>
        <v>0</v>
      </c>
      <c r="AO292" s="41">
        <f>IF(ISBLANK(Table2[[#This Row],[Need_EIS]]), 2,(IF(Table2[[#This Row],[Need_EIS]]="No", 0, (IF(AND(Table2[[#This Row],[Need_EIS]]="Yes",  Table2[[#This Row],[EIS_pub_date]]=""),1, 0)))))</f>
        <v>0</v>
      </c>
      <c r="AP292" s="41">
        <f>IF(ISBLANK(Table2[[#This Row],[Need_DON]]), 2,(IF(Table2[[#This Row],[Need_DON]]="No", 0, (IF(AND(Table2[[#This Row],[Need_DON]]="Yes",  Table2[[#This Row],[DON_pub_date]]=""),1, 0)))))</f>
        <v>0</v>
      </c>
      <c r="AQ292" s="34">
        <f>IF(ISBLANK(Table2[[#This Row],[Pending_question]]), 2,(IF(Table2[[#This Row],[Pending_question]]="Yes", 1, 0)))</f>
        <v>0</v>
      </c>
      <c r="AR292" s="43"/>
    </row>
    <row r="293" spans="1:44" ht="15" customHeight="1">
      <c r="A293" s="63">
        <v>45016</v>
      </c>
      <c r="B293" s="29" t="s">
        <v>15</v>
      </c>
      <c r="C293" s="34" t="str" cm="1">
        <f t="array" ref="C29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93" s="27" t="s">
        <v>1352</v>
      </c>
      <c r="E293" s="67" t="s">
        <v>1145</v>
      </c>
      <c r="F293" s="29" t="s">
        <v>171</v>
      </c>
      <c r="G293" s="29" t="s">
        <v>34</v>
      </c>
      <c r="H293" s="59">
        <v>45016</v>
      </c>
      <c r="I293" s="59"/>
      <c r="J293" s="59">
        <v>45015</v>
      </c>
      <c r="K293" s="59" t="s">
        <v>1353</v>
      </c>
      <c r="L293" s="104" t="s">
        <v>1354</v>
      </c>
      <c r="M293" s="70" t="s">
        <v>19</v>
      </c>
      <c r="N293" s="59"/>
      <c r="O293" s="85"/>
      <c r="P293" s="59" t="s">
        <v>19</v>
      </c>
      <c r="Q293" s="84"/>
      <c r="R293" s="29"/>
      <c r="S293" s="29"/>
      <c r="T293" s="59"/>
      <c r="U293" s="29"/>
      <c r="V293" s="29"/>
      <c r="W293" s="29"/>
      <c r="X293" s="27"/>
      <c r="Y293" s="29" t="s">
        <v>30</v>
      </c>
      <c r="Z293" s="29" t="s">
        <v>42</v>
      </c>
      <c r="AA293" s="29" t="s">
        <v>43</v>
      </c>
      <c r="AB293" s="29" t="s">
        <v>1355</v>
      </c>
      <c r="AC293" s="59">
        <v>45014</v>
      </c>
      <c r="AD293" s="59">
        <v>45015</v>
      </c>
      <c r="AE293" s="59">
        <v>45016</v>
      </c>
      <c r="AF293" s="59">
        <v>45016</v>
      </c>
      <c r="AG293" s="59">
        <v>45017</v>
      </c>
      <c r="AH293" s="85">
        <v>45019</v>
      </c>
      <c r="AI293" s="29" t="s">
        <v>30</v>
      </c>
      <c r="AJ293" s="139">
        <v>45020</v>
      </c>
      <c r="AK293" s="85">
        <v>45022</v>
      </c>
      <c r="AL293" s="102"/>
      <c r="AM293" s="41" t="str">
        <f>VLOOKUP(Table2[[#This Row],[country]],Countrycode!A:B,2,FALSE)</f>
        <v>CHL</v>
      </c>
      <c r="AN293" s="34">
        <f>IF(ISBLANK(Table2[[#This Row],[Need_RRA]]), 2,(IF(Table2[[#This Row],[Need_RRA]]="No", 0, (IF(AND(Table2[[#This Row],[Need_RRA]]="Yes",  Table2[[#This Row],[RRA_pub_date]]=""),1, 0)))))</f>
        <v>0</v>
      </c>
      <c r="AO293" s="41">
        <f>IF(ISBLANK(Table2[[#This Row],[Need_EIS]]), 2,(IF(Table2[[#This Row],[Need_EIS]]="No", 0, (IF(AND(Table2[[#This Row],[Need_EIS]]="Yes",  Table2[[#This Row],[EIS_pub_date]]=""),1, 0)))))</f>
        <v>0</v>
      </c>
      <c r="AP293" s="41">
        <f>IF(ISBLANK(Table2[[#This Row],[Need_DON]]), 2,(IF(Table2[[#This Row],[Need_DON]]="No", 0, (IF(AND(Table2[[#This Row],[Need_DON]]="Yes",  Table2[[#This Row],[DON_pub_date]]=""),1, 0)))))</f>
        <v>0</v>
      </c>
      <c r="AQ293" s="34">
        <f>IF(ISBLANK(Table2[[#This Row],[Pending_question]]), 2,(IF(Table2[[#This Row],[Pending_question]]="Yes", 1, 0)))</f>
        <v>0</v>
      </c>
      <c r="AR293" s="43"/>
    </row>
    <row r="294" spans="1:44" ht="15" customHeight="1">
      <c r="A294" s="63">
        <v>45016</v>
      </c>
      <c r="B294" s="29" t="s">
        <v>15</v>
      </c>
      <c r="C294" s="34" t="str" cm="1">
        <f t="array" ref="C29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94" s="27" t="s">
        <v>1356</v>
      </c>
      <c r="E294" s="67" t="s">
        <v>94</v>
      </c>
      <c r="F294" s="29" t="s">
        <v>173</v>
      </c>
      <c r="G294" s="29" t="s">
        <v>34</v>
      </c>
      <c r="H294" s="59">
        <v>45016</v>
      </c>
      <c r="I294" s="59"/>
      <c r="J294" s="59">
        <v>45013</v>
      </c>
      <c r="K294" s="59" t="s">
        <v>919</v>
      </c>
      <c r="L294" s="104" t="s">
        <v>920</v>
      </c>
      <c r="M294" s="70" t="s">
        <v>19</v>
      </c>
      <c r="N294" s="59"/>
      <c r="O294" s="85"/>
      <c r="P294" s="59" t="s">
        <v>19</v>
      </c>
      <c r="Q294" s="84"/>
      <c r="R294" s="29"/>
      <c r="S294" s="29"/>
      <c r="T294" s="59"/>
      <c r="U294" s="29"/>
      <c r="V294" s="29"/>
      <c r="W294" s="29"/>
      <c r="X294" s="27"/>
      <c r="Y294" s="29" t="s">
        <v>30</v>
      </c>
      <c r="Z294" s="29" t="s">
        <v>21</v>
      </c>
      <c r="AA294" s="29" t="s">
        <v>22</v>
      </c>
      <c r="AB294" s="29" t="s">
        <v>1357</v>
      </c>
      <c r="AC294" s="59">
        <v>45012</v>
      </c>
      <c r="AD294" s="59">
        <v>45013</v>
      </c>
      <c r="AE294" s="59">
        <v>45013</v>
      </c>
      <c r="AF294" s="59">
        <v>45014</v>
      </c>
      <c r="AG294" s="29"/>
      <c r="AH294" s="85">
        <v>45020</v>
      </c>
      <c r="AI294" s="29" t="s">
        <v>30</v>
      </c>
      <c r="AJ294" s="139">
        <v>45022</v>
      </c>
      <c r="AK294" s="85">
        <v>45049</v>
      </c>
      <c r="AL294" s="102" t="s">
        <v>1358</v>
      </c>
      <c r="AM294" s="41" t="str">
        <f>VLOOKUP(Table2[[#This Row],[country]],Countrycode!A:B,2,FALSE)</f>
        <v>CHN</v>
      </c>
      <c r="AN294" s="34">
        <f>IF(ISBLANK(Table2[[#This Row],[Need_RRA]]), 2,(IF(Table2[[#This Row],[Need_RRA]]="No", 0, (IF(AND(Table2[[#This Row],[Need_RRA]]="Yes",  Table2[[#This Row],[RRA_pub_date]]=""),1, 0)))))</f>
        <v>0</v>
      </c>
      <c r="AO294" s="41">
        <f>IF(ISBLANK(Table2[[#This Row],[Need_EIS]]), 2,(IF(Table2[[#This Row],[Need_EIS]]="No", 0, (IF(AND(Table2[[#This Row],[Need_EIS]]="Yes",  Table2[[#This Row],[EIS_pub_date]]=""),1, 0)))))</f>
        <v>0</v>
      </c>
      <c r="AP294" s="41">
        <f>IF(ISBLANK(Table2[[#This Row],[Need_DON]]), 2,(IF(Table2[[#This Row],[Need_DON]]="No", 0, (IF(AND(Table2[[#This Row],[Need_DON]]="Yes",  Table2[[#This Row],[DON_pub_date]]=""),1, 0)))))</f>
        <v>0</v>
      </c>
      <c r="AQ294" s="34">
        <f>IF(ISBLANK(Table2[[#This Row],[Pending_question]]), 2,(IF(Table2[[#This Row],[Pending_question]]="Yes", 1, 0)))</f>
        <v>0</v>
      </c>
      <c r="AR294" s="43"/>
    </row>
    <row r="295" spans="1:44" ht="15" customHeight="1">
      <c r="A295" s="63">
        <v>45016</v>
      </c>
      <c r="B295" s="29" t="s">
        <v>15</v>
      </c>
      <c r="C295" s="34" t="str" cm="1">
        <f t="array" ref="C29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95" s="27" t="s">
        <v>1359</v>
      </c>
      <c r="E295" s="67" t="s">
        <v>174</v>
      </c>
      <c r="F295" s="29" t="s">
        <v>224</v>
      </c>
      <c r="G295" s="29" t="s">
        <v>34</v>
      </c>
      <c r="H295" s="59">
        <v>45016</v>
      </c>
      <c r="I295" s="59"/>
      <c r="J295" s="59">
        <v>45041</v>
      </c>
      <c r="K295" s="63" t="s">
        <v>1293</v>
      </c>
      <c r="L295" s="104" t="s">
        <v>1294</v>
      </c>
      <c r="M295" s="70" t="s">
        <v>19</v>
      </c>
      <c r="N295" s="59"/>
      <c r="O295" s="85"/>
      <c r="P295" s="59" t="s">
        <v>19</v>
      </c>
      <c r="Q295" s="84"/>
      <c r="R295" s="29"/>
      <c r="S295" s="29"/>
      <c r="T295" s="59"/>
      <c r="U295" s="29"/>
      <c r="V295" s="29"/>
      <c r="W295" s="29"/>
      <c r="X295" s="27"/>
      <c r="Y295" s="29" t="s">
        <v>30</v>
      </c>
      <c r="Z295" s="29" t="s">
        <v>21</v>
      </c>
      <c r="AA295" s="29" t="s">
        <v>22</v>
      </c>
      <c r="AB295" s="29" t="s">
        <v>1360</v>
      </c>
      <c r="AC295" s="59">
        <v>45075</v>
      </c>
      <c r="AD295" s="59">
        <v>45079</v>
      </c>
      <c r="AE295" s="59">
        <v>45082</v>
      </c>
      <c r="AF295" s="29"/>
      <c r="AG295" s="29"/>
      <c r="AH295" s="85">
        <v>45086</v>
      </c>
      <c r="AI295" s="29" t="s">
        <v>30</v>
      </c>
      <c r="AJ295" s="139"/>
      <c r="AK295" s="139">
        <v>45086</v>
      </c>
      <c r="AL295" s="102"/>
      <c r="AM295" s="41" t="str">
        <f>VLOOKUP(Table2[[#This Row],[country]],Countrycode!A:B,2,FALSE)</f>
        <v>GNQ</v>
      </c>
      <c r="AN295" s="34">
        <f>IF(ISBLANK(Table2[[#This Row],[Need_RRA]]), 2,(IF(Table2[[#This Row],[Need_RRA]]="No", 0, (IF(AND(Table2[[#This Row],[Need_RRA]]="Yes",  Table2[[#This Row],[RRA_pub_date]]=""),1, 0)))))</f>
        <v>0</v>
      </c>
      <c r="AO295" s="34">
        <f>IF(ISBLANK(Table2[[#This Row],[Need_EIS]]), 2,(IF(Table2[[#This Row],[Need_EIS]]="No", 0, (IF(AND(Table2[[#This Row],[Need_EIS]]="Yes",  Table2[[#This Row],[EIS_pub_date]]=""),1, 0)))))</f>
        <v>0</v>
      </c>
      <c r="AP295" s="34">
        <f>IF(ISBLANK(Table2[[#This Row],[Need_DON]]), 2,(IF(Table2[[#This Row],[Need_DON]]="No", 0, (IF(AND(Table2[[#This Row],[Need_DON]]="Yes",  Table2[[#This Row],[DON_pub_date]]=""),1, 0)))))</f>
        <v>0</v>
      </c>
      <c r="AQ295" s="34">
        <f>IF(ISBLANK(Table2[[#This Row],[Pending_question]]), 2,(IF(Table2[[#This Row],[Pending_question]]="Yes", 1, 0)))</f>
        <v>0</v>
      </c>
      <c r="AR295" s="43"/>
    </row>
    <row r="296" spans="1:44" ht="15" customHeight="1">
      <c r="A296" s="63">
        <v>45022</v>
      </c>
      <c r="B296" s="29" t="s">
        <v>15</v>
      </c>
      <c r="C296" s="34" t="str" cm="1">
        <f t="array" ref="C29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96" s="27" t="s">
        <v>1322</v>
      </c>
      <c r="E296" s="67" t="s">
        <v>186</v>
      </c>
      <c r="F296" s="29" t="s">
        <v>400</v>
      </c>
      <c r="G296" s="29" t="s">
        <v>34</v>
      </c>
      <c r="H296" s="150">
        <v>45022</v>
      </c>
      <c r="I296" s="59">
        <v>45051</v>
      </c>
      <c r="J296" s="59">
        <v>45022</v>
      </c>
      <c r="K296" s="59" t="s">
        <v>1361</v>
      </c>
      <c r="L296" s="104" t="s">
        <v>1362</v>
      </c>
      <c r="M296" s="70" t="s">
        <v>19</v>
      </c>
      <c r="N296" s="59"/>
      <c r="O296" s="85"/>
      <c r="P296" s="59" t="s">
        <v>19</v>
      </c>
      <c r="Q296" s="84"/>
      <c r="R296" s="29"/>
      <c r="S296" s="29"/>
      <c r="T296" s="59"/>
      <c r="U296" s="29"/>
      <c r="V296" s="29"/>
      <c r="W296" s="29"/>
      <c r="X296" s="27"/>
      <c r="Y296" s="29" t="s">
        <v>30</v>
      </c>
      <c r="Z296" s="29" t="s">
        <v>42</v>
      </c>
      <c r="AA296" s="29" t="s">
        <v>43</v>
      </c>
      <c r="AB296" s="29" t="s">
        <v>1363</v>
      </c>
      <c r="AC296" s="150">
        <v>45021</v>
      </c>
      <c r="AD296" s="59">
        <v>45022</v>
      </c>
      <c r="AE296" s="59">
        <v>45022</v>
      </c>
      <c r="AF296" s="59">
        <v>45022</v>
      </c>
      <c r="AG296" s="59">
        <v>45036</v>
      </c>
      <c r="AH296" s="85">
        <v>45040</v>
      </c>
      <c r="AI296" s="29" t="s">
        <v>19</v>
      </c>
      <c r="AJ296" s="139">
        <v>45042</v>
      </c>
      <c r="AK296" s="27"/>
      <c r="AL296" s="102" t="s">
        <v>1364</v>
      </c>
      <c r="AM296" s="41" t="str">
        <f>VLOOKUP(Table2[[#This Row],[country]],Countrycode!A:B,2,FALSE)</f>
        <v>GBR</v>
      </c>
      <c r="AN296" s="34">
        <f>IF(ISBLANK(Table2[[#This Row],[Need_RRA]]), 2,(IF(Table2[[#This Row],[Need_RRA]]="No", 0, (IF(AND(Table2[[#This Row],[Need_RRA]]="Yes",  Table2[[#This Row],[RRA_pub_date]]=""),1, 0)))))</f>
        <v>0</v>
      </c>
      <c r="AO296" s="34">
        <f>IF(ISBLANK(Table2[[#This Row],[Need_EIS]]), 2,(IF(Table2[[#This Row],[Need_EIS]]="No", 0, (IF(AND(Table2[[#This Row],[Need_EIS]]="Yes",  Table2[[#This Row],[EIS_pub_date]]=""),1, 0)))))</f>
        <v>0</v>
      </c>
      <c r="AP296" s="34">
        <f>IF(ISBLANK(Table2[[#This Row],[Need_DON]]), 2,(IF(Table2[[#This Row],[Need_DON]]="No", 0, (IF(AND(Table2[[#This Row],[Need_DON]]="Yes",  Table2[[#This Row],[DON_pub_date]]=""),1, 0)))))</f>
        <v>0</v>
      </c>
      <c r="AQ296" s="34">
        <f>IF(ISBLANK(Table2[[#This Row],[Pending_question]]), 2,(IF(Table2[[#This Row],[Pending_question]]="Yes", 1, 0)))</f>
        <v>0</v>
      </c>
      <c r="AR296" s="43"/>
    </row>
    <row r="297" spans="1:44" ht="15" customHeight="1">
      <c r="A297" s="63">
        <v>45022</v>
      </c>
      <c r="B297" s="29" t="s">
        <v>15</v>
      </c>
      <c r="C297" s="34" t="str" cm="1">
        <f t="array" ref="C29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97" s="27" t="s">
        <v>1322</v>
      </c>
      <c r="E297" s="67" t="s">
        <v>186</v>
      </c>
      <c r="F297" s="29" t="s">
        <v>400</v>
      </c>
      <c r="G297" s="29" t="s">
        <v>34</v>
      </c>
      <c r="H297" s="150">
        <v>45022</v>
      </c>
      <c r="I297" s="59">
        <v>45051</v>
      </c>
      <c r="J297" s="59">
        <v>45022</v>
      </c>
      <c r="K297" s="59" t="s">
        <v>1361</v>
      </c>
      <c r="L297" s="104" t="s">
        <v>1362</v>
      </c>
      <c r="M297" s="70" t="s">
        <v>19</v>
      </c>
      <c r="N297" s="59"/>
      <c r="O297" s="85"/>
      <c r="P297" s="59" t="s">
        <v>19</v>
      </c>
      <c r="Q297" s="84"/>
      <c r="R297" s="29"/>
      <c r="S297" s="29"/>
      <c r="T297" s="59"/>
      <c r="U297" s="29"/>
      <c r="V297" s="29"/>
      <c r="W297" s="29"/>
      <c r="X297" s="27"/>
      <c r="Y297" s="29" t="s">
        <v>30</v>
      </c>
      <c r="Z297" s="29" t="s">
        <v>21</v>
      </c>
      <c r="AA297" s="29" t="s">
        <v>22</v>
      </c>
      <c r="AB297" s="29" t="s">
        <v>1365</v>
      </c>
      <c r="AC297" s="59">
        <v>45051</v>
      </c>
      <c r="AD297" s="59">
        <v>45055</v>
      </c>
      <c r="AE297" s="59">
        <v>45055</v>
      </c>
      <c r="AF297" s="59">
        <v>45055</v>
      </c>
      <c r="AG297" s="59">
        <v>45056</v>
      </c>
      <c r="AH297" s="85">
        <v>45057</v>
      </c>
      <c r="AI297" s="29" t="s">
        <v>30</v>
      </c>
      <c r="AJ297" s="139">
        <v>45042</v>
      </c>
      <c r="AK297" s="85">
        <v>45062</v>
      </c>
      <c r="AL297" s="102"/>
      <c r="AM297" s="41" t="str">
        <f>VLOOKUP(Table2[[#This Row],[country]],Countrycode!A:B,2,FALSE)</f>
        <v>GBR</v>
      </c>
      <c r="AN297" s="34">
        <f>IF(ISBLANK(Table2[[#This Row],[Need_RRA]]), 2,(IF(Table2[[#This Row],[Need_RRA]]="No", 0, (IF(AND(Table2[[#This Row],[Need_RRA]]="Yes",  Table2[[#This Row],[RRA_pub_date]]=""),1, 0)))))</f>
        <v>0</v>
      </c>
      <c r="AO297" s="34">
        <f>IF(ISBLANK(Table2[[#This Row],[Need_EIS]]), 2,(IF(Table2[[#This Row],[Need_EIS]]="No", 0, (IF(AND(Table2[[#This Row],[Need_EIS]]="Yes",  Table2[[#This Row],[EIS_pub_date]]=""),1, 0)))))</f>
        <v>0</v>
      </c>
      <c r="AP297" s="34">
        <f>IF(ISBLANK(Table2[[#This Row],[Need_DON]]), 2,(IF(Table2[[#This Row],[Need_DON]]="No", 0, (IF(AND(Table2[[#This Row],[Need_DON]]="Yes",  Table2[[#This Row],[DON_pub_date]]=""),1, 0)))))</f>
        <v>0</v>
      </c>
      <c r="AQ297" s="34">
        <f>IF(ISBLANK(Table2[[#This Row],[Pending_question]]), 2,(IF(Table2[[#This Row],[Pending_question]]="Yes", 1, 0)))</f>
        <v>0</v>
      </c>
      <c r="AR297" s="43"/>
    </row>
    <row r="298" spans="1:44" ht="15" customHeight="1" thickBot="1">
      <c r="A298" s="63">
        <v>45027</v>
      </c>
      <c r="B298" s="29" t="s">
        <v>15</v>
      </c>
      <c r="C298" s="34" t="str" cm="1">
        <f t="array" ref="C29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98" s="27" t="s">
        <v>1248</v>
      </c>
      <c r="E298" s="67" t="s">
        <v>99</v>
      </c>
      <c r="F298" s="29" t="s">
        <v>171</v>
      </c>
      <c r="G298" s="29" t="s">
        <v>34</v>
      </c>
      <c r="H298" s="59">
        <v>45027</v>
      </c>
      <c r="I298" s="59">
        <v>45030</v>
      </c>
      <c r="J298" s="59">
        <v>44905</v>
      </c>
      <c r="K298" s="180" t="s">
        <v>1366</v>
      </c>
      <c r="L298" s="104" t="s">
        <v>1367</v>
      </c>
      <c r="M298" s="70" t="s">
        <v>19</v>
      </c>
      <c r="N298" s="59"/>
      <c r="O298" s="85"/>
      <c r="P298" s="59" t="s">
        <v>19</v>
      </c>
      <c r="Q298" s="84"/>
      <c r="R298" s="29"/>
      <c r="S298" s="29"/>
      <c r="T298" s="59"/>
      <c r="U298" s="29"/>
      <c r="V298" s="29"/>
      <c r="W298" s="29"/>
      <c r="X298" s="27"/>
      <c r="Y298" s="29" t="s">
        <v>30</v>
      </c>
      <c r="Z298" s="29" t="s">
        <v>21</v>
      </c>
      <c r="AA298" s="29" t="s">
        <v>43</v>
      </c>
      <c r="AB298" s="29" t="s">
        <v>1368</v>
      </c>
      <c r="AC298" s="59">
        <v>45027</v>
      </c>
      <c r="AD298" s="59">
        <v>45027</v>
      </c>
      <c r="AE298" s="59">
        <v>45027</v>
      </c>
      <c r="AF298" s="59">
        <v>45028</v>
      </c>
      <c r="AG298" s="59">
        <v>45029</v>
      </c>
      <c r="AH298" s="85">
        <v>45030</v>
      </c>
      <c r="AI298" s="29" t="s">
        <v>30</v>
      </c>
      <c r="AJ298" s="139"/>
      <c r="AK298" s="85">
        <v>45037</v>
      </c>
      <c r="AL298" s="102"/>
      <c r="AM298" s="41" t="str">
        <f>VLOOKUP(Table2[[#This Row],[country]],Countrycode!A:B,2,FALSE)</f>
        <v>CHL</v>
      </c>
      <c r="AN298" s="34">
        <f>IF(ISBLANK(Table2[[#This Row],[Need_RRA]]), 2,(IF(Table2[[#This Row],[Need_RRA]]="No", 0, (IF(AND(Table2[[#This Row],[Need_RRA]]="Yes",  Table2[[#This Row],[RRA_pub_date]]=""),1, 0)))))</f>
        <v>0</v>
      </c>
      <c r="AO298" s="34">
        <f>IF(ISBLANK(Table2[[#This Row],[Need_EIS]]), 2,(IF(Table2[[#This Row],[Need_EIS]]="No", 0, (IF(AND(Table2[[#This Row],[Need_EIS]]="Yes",  Table2[[#This Row],[EIS_pub_date]]=""),1, 0)))))</f>
        <v>0</v>
      </c>
      <c r="AP298" s="34">
        <f>IF(ISBLANK(Table2[[#This Row],[Need_DON]]), 2,(IF(Table2[[#This Row],[Need_DON]]="No", 0, (IF(AND(Table2[[#This Row],[Need_DON]]="Yes",  Table2[[#This Row],[DON_pub_date]]=""),1, 0)))))</f>
        <v>0</v>
      </c>
      <c r="AQ298" s="34">
        <f>IF(ISBLANK(Table2[[#This Row],[Pending_question]]), 2,(IF(Table2[[#This Row],[Pending_question]]="Yes", 1, 0)))</f>
        <v>0</v>
      </c>
      <c r="AR298" s="43"/>
    </row>
    <row r="299" spans="1:44" ht="15" customHeight="1" thickTop="1">
      <c r="A299" s="63">
        <v>45028</v>
      </c>
      <c r="B299" s="29" t="s">
        <v>15</v>
      </c>
      <c r="C299" s="34" t="str" cm="1">
        <f t="array" ref="C29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299" s="27" t="s">
        <v>1239</v>
      </c>
      <c r="E299" s="67" t="s">
        <v>128</v>
      </c>
      <c r="F299" s="29" t="s">
        <v>376</v>
      </c>
      <c r="G299" s="29" t="s">
        <v>34</v>
      </c>
      <c r="H299" s="29"/>
      <c r="I299" s="59"/>
      <c r="J299" s="59" t="s">
        <v>1369</v>
      </c>
      <c r="K299" s="59"/>
      <c r="L299" s="104"/>
      <c r="M299" s="70" t="s">
        <v>19</v>
      </c>
      <c r="N299" s="109"/>
      <c r="O299" s="85"/>
      <c r="P299" s="59" t="s">
        <v>19</v>
      </c>
      <c r="Q299" s="84"/>
      <c r="R299" s="29"/>
      <c r="S299" s="29"/>
      <c r="T299" s="59"/>
      <c r="U299" s="29"/>
      <c r="V299" s="29"/>
      <c r="W299" s="29"/>
      <c r="X299" s="27"/>
      <c r="Y299" s="29" t="s">
        <v>19</v>
      </c>
      <c r="Z299" s="29" t="s">
        <v>34</v>
      </c>
      <c r="AA299" s="29" t="s">
        <v>43</v>
      </c>
      <c r="AB299" s="29" t="s">
        <v>1370</v>
      </c>
      <c r="AC299" s="150">
        <v>45028</v>
      </c>
      <c r="AD299" s="59">
        <v>45033</v>
      </c>
      <c r="AE299" s="29"/>
      <c r="AF299" s="29"/>
      <c r="AG299" s="29"/>
      <c r="AH299" s="27"/>
      <c r="AI299" s="29" t="s">
        <v>19</v>
      </c>
      <c r="AJ299" s="139"/>
      <c r="AK299" s="198"/>
      <c r="AL299" s="102"/>
      <c r="AM299" s="41" t="str">
        <f>VLOOKUP(Table2[[#This Row],[country]],Countrycode!A:B,2,FALSE)</f>
        <v>SSD</v>
      </c>
      <c r="AN299" s="34">
        <f>IF(ISBLANK(Table2[[#This Row],[Need_RRA]]), 2,(IF(Table2[[#This Row],[Need_RRA]]="No", 0, (IF(AND(Table2[[#This Row],[Need_RRA]]="Yes",  Table2[[#This Row],[RRA_pub_date]]=""),1, 0)))))</f>
        <v>0</v>
      </c>
      <c r="AO299" s="34">
        <f>IF(ISBLANK(Table2[[#This Row],[Need_EIS]]), 2,(IF(Table2[[#This Row],[Need_EIS]]="No", 0, (IF(AND(Table2[[#This Row],[Need_EIS]]="Yes",  Table2[[#This Row],[EIS_pub_date]]=""),1, 0)))))</f>
        <v>0</v>
      </c>
      <c r="AP299" s="34">
        <f>IF(ISBLANK(Table2[[#This Row],[Need_DON]]), 2,(IF(Table2[[#This Row],[Need_DON]]="No", 0, (IF(AND(Table2[[#This Row],[Need_DON]]="Yes",  Table2[[#This Row],[DON_pub_date]]=""),1, 0)))))</f>
        <v>0</v>
      </c>
      <c r="AQ299" s="34">
        <f>IF(ISBLANK(Table2[[#This Row],[Pending_question]]), 2,(IF(Table2[[#This Row],[Pending_question]]="Yes", 1, 0)))</f>
        <v>0</v>
      </c>
      <c r="AR299" s="43"/>
    </row>
    <row r="300" spans="1:44" ht="15" customHeight="1">
      <c r="A300" s="63">
        <v>45035</v>
      </c>
      <c r="B300" s="29" t="s">
        <v>15</v>
      </c>
      <c r="C300" s="34" t="str" cm="1">
        <f t="array" ref="C30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00" s="27" t="s">
        <v>1371</v>
      </c>
      <c r="E300" s="67" t="s">
        <v>154</v>
      </c>
      <c r="F300" s="29" t="s">
        <v>376</v>
      </c>
      <c r="G300" s="29" t="s">
        <v>34</v>
      </c>
      <c r="H300" s="59">
        <v>45035</v>
      </c>
      <c r="I300" s="59">
        <v>45041</v>
      </c>
      <c r="J300" s="59">
        <v>43245</v>
      </c>
      <c r="K300" s="262" t="s">
        <v>562</v>
      </c>
      <c r="L300" s="104" t="s">
        <v>1372</v>
      </c>
      <c r="M300" s="70" t="s">
        <v>19</v>
      </c>
      <c r="N300" s="59"/>
      <c r="O300" s="85"/>
      <c r="P300" s="59" t="s">
        <v>19</v>
      </c>
      <c r="Q300" s="84"/>
      <c r="R300" s="29"/>
      <c r="S300" s="29"/>
      <c r="T300" s="59"/>
      <c r="U300" s="29"/>
      <c r="V300" s="29"/>
      <c r="W300" s="29"/>
      <c r="X300" s="27"/>
      <c r="Y300" s="29" t="s">
        <v>30</v>
      </c>
      <c r="Z300" s="29" t="s">
        <v>21</v>
      </c>
      <c r="AA300" s="29" t="s">
        <v>43</v>
      </c>
      <c r="AB300" s="29" t="s">
        <v>1373</v>
      </c>
      <c r="AC300" s="59">
        <v>45035</v>
      </c>
      <c r="AD300" s="59">
        <v>45035</v>
      </c>
      <c r="AE300" s="59">
        <v>45036</v>
      </c>
      <c r="AF300" s="59">
        <v>45037</v>
      </c>
      <c r="AG300" s="59">
        <v>45042</v>
      </c>
      <c r="AH300" s="85">
        <v>45043</v>
      </c>
      <c r="AI300" s="29" t="s">
        <v>30</v>
      </c>
      <c r="AJ300" s="139">
        <v>45044</v>
      </c>
      <c r="AK300" s="139">
        <v>45051</v>
      </c>
      <c r="AL300" s="102"/>
      <c r="AM300" s="41" t="str">
        <f>VLOOKUP(Table2[[#This Row],[country]],Countrycode!A:B,2,FALSE)</f>
        <v>SSD</v>
      </c>
      <c r="AN300" s="34">
        <f>IF(ISBLANK(Table2[[#This Row],[Need_RRA]]), 2,(IF(Table2[[#This Row],[Need_RRA]]="No", 0, (IF(AND(Table2[[#This Row],[Need_RRA]]="Yes",  Table2[[#This Row],[RRA_pub_date]]=""),1, 0)))))</f>
        <v>0</v>
      </c>
      <c r="AO300" s="34">
        <f>IF(ISBLANK(Table2[[#This Row],[Need_EIS]]), 2,(IF(Table2[[#This Row],[Need_EIS]]="No", 0, (IF(AND(Table2[[#This Row],[Need_EIS]]="Yes",  Table2[[#This Row],[EIS_pub_date]]=""),1, 0)))))</f>
        <v>0</v>
      </c>
      <c r="AP300" s="34">
        <f>IF(ISBLANK(Table2[[#This Row],[Need_DON]]), 2,(IF(Table2[[#This Row],[Need_DON]]="No", 0, (IF(AND(Table2[[#This Row],[Need_DON]]="Yes",  Table2[[#This Row],[DON_pub_date]]=""),1, 0)))))</f>
        <v>0</v>
      </c>
      <c r="AQ300" s="34">
        <f>IF(ISBLANK(Table2[[#This Row],[Pending_question]]), 2,(IF(Table2[[#This Row],[Pending_question]]="Yes", 1, 0)))</f>
        <v>0</v>
      </c>
      <c r="AR300" s="43"/>
    </row>
    <row r="301" spans="1:44" ht="15" customHeight="1">
      <c r="A301" s="63">
        <v>45036</v>
      </c>
      <c r="B301" s="29" t="s">
        <v>15</v>
      </c>
      <c r="C301" s="34" t="str" cm="1">
        <f t="array" ref="C30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01" s="27" t="s">
        <v>1374</v>
      </c>
      <c r="E301" s="67" t="s">
        <v>124</v>
      </c>
      <c r="F301" s="29" t="s">
        <v>265</v>
      </c>
      <c r="G301" s="29" t="s">
        <v>34</v>
      </c>
      <c r="H301" s="59">
        <v>45036</v>
      </c>
      <c r="I301" s="59"/>
      <c r="J301" s="59" t="s">
        <v>1369</v>
      </c>
      <c r="K301" s="59"/>
      <c r="L301" s="104"/>
      <c r="M301" s="70" t="s">
        <v>19</v>
      </c>
      <c r="N301" s="59"/>
      <c r="O301" s="85"/>
      <c r="P301" s="59" t="s">
        <v>19</v>
      </c>
      <c r="Q301" s="84">
        <v>1</v>
      </c>
      <c r="R301" s="29" t="s">
        <v>1375</v>
      </c>
      <c r="S301" s="59">
        <v>45036</v>
      </c>
      <c r="T301" s="59">
        <v>45036</v>
      </c>
      <c r="U301" s="29"/>
      <c r="V301" s="29"/>
      <c r="W301" s="29"/>
      <c r="X301" s="27"/>
      <c r="Y301" s="29" t="s">
        <v>19</v>
      </c>
      <c r="Z301" s="29"/>
      <c r="AA301" s="29"/>
      <c r="AB301" s="29"/>
      <c r="AC301" s="59" t="s">
        <v>34</v>
      </c>
      <c r="AD301" s="59" t="s">
        <v>34</v>
      </c>
      <c r="AE301" s="59" t="s">
        <v>34</v>
      </c>
      <c r="AF301" s="59" t="s">
        <v>34</v>
      </c>
      <c r="AG301" s="59" t="s">
        <v>34</v>
      </c>
      <c r="AH301" s="27" t="s">
        <v>34</v>
      </c>
      <c r="AI301" s="29" t="s">
        <v>19</v>
      </c>
      <c r="AJ301" s="139"/>
      <c r="AK301" s="27"/>
      <c r="AL301" s="102" t="s">
        <v>1376</v>
      </c>
      <c r="AM301" s="41" t="str">
        <f>VLOOKUP(Table2[[#This Row],[country]],Countrycode!A:B,2,FALSE)</f>
        <v>GIN</v>
      </c>
      <c r="AN301" s="34">
        <f>IF(ISBLANK(Table2[[#This Row],[Need_RRA]]), 2,(IF(Table2[[#This Row],[Need_RRA]]="No", 0, (IF(AND(Table2[[#This Row],[Need_RRA]]="Yes",  Table2[[#This Row],[RRA_pub_date]]=""),1, 0)))))</f>
        <v>0</v>
      </c>
      <c r="AO301" s="34">
        <f>IF(ISBLANK(Table2[[#This Row],[Need_EIS]]), 2,(IF(Table2[[#This Row],[Need_EIS]]="No", 0, (IF(AND(Table2[[#This Row],[Need_EIS]]="Yes",  Table2[[#This Row],[EIS_pub_date]]=""),1, 0)))))</f>
        <v>0</v>
      </c>
      <c r="AP301" s="34">
        <f>IF(ISBLANK(Table2[[#This Row],[Need_DON]]), 2,(IF(Table2[[#This Row],[Need_DON]]="No", 0, (IF(AND(Table2[[#This Row],[Need_DON]]="Yes",  Table2[[#This Row],[DON_pub_date]]=""),1, 0)))))</f>
        <v>0</v>
      </c>
      <c r="AQ301" s="34">
        <f>IF(ISBLANK(Table2[[#This Row],[Pending_question]]), 2,(IF(Table2[[#This Row],[Pending_question]]="Yes", 1, 0)))</f>
        <v>0</v>
      </c>
      <c r="AR301" s="43"/>
    </row>
    <row r="302" spans="1:44" ht="15" customHeight="1">
      <c r="A302" s="63">
        <v>45037</v>
      </c>
      <c r="B302" s="29" t="s">
        <v>15</v>
      </c>
      <c r="C302" s="34" t="str" cm="1">
        <f t="array" ref="C30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02" s="27" t="s">
        <v>1119</v>
      </c>
      <c r="E302" s="67" t="s">
        <v>203</v>
      </c>
      <c r="F302" s="29" t="s">
        <v>39</v>
      </c>
      <c r="G302" s="29" t="s">
        <v>1082</v>
      </c>
      <c r="H302" s="29"/>
      <c r="I302" s="59"/>
      <c r="J302" s="59"/>
      <c r="K302" s="59"/>
      <c r="L302" s="104"/>
      <c r="M302" s="70" t="s">
        <v>19</v>
      </c>
      <c r="N302" s="59"/>
      <c r="O302" s="85"/>
      <c r="P302" s="59" t="s">
        <v>30</v>
      </c>
      <c r="Q302" s="84">
        <v>1</v>
      </c>
      <c r="R302" s="29" t="s">
        <v>1377</v>
      </c>
      <c r="S302" s="59">
        <v>45037</v>
      </c>
      <c r="T302" s="59">
        <v>45037</v>
      </c>
      <c r="U302" s="59">
        <v>45041</v>
      </c>
      <c r="V302" s="29" t="s">
        <v>34</v>
      </c>
      <c r="W302" s="29" t="s">
        <v>20</v>
      </c>
      <c r="X302" s="27" t="s">
        <v>34</v>
      </c>
      <c r="Y302" s="29" t="s">
        <v>19</v>
      </c>
      <c r="Z302" s="29"/>
      <c r="AA302" s="29"/>
      <c r="AB302" s="29"/>
      <c r="AC302" s="59" t="s">
        <v>34</v>
      </c>
      <c r="AD302" s="59" t="s">
        <v>34</v>
      </c>
      <c r="AE302" s="59" t="s">
        <v>34</v>
      </c>
      <c r="AF302" s="59" t="s">
        <v>34</v>
      </c>
      <c r="AG302" s="59" t="s">
        <v>34</v>
      </c>
      <c r="AH302" s="29" t="s">
        <v>34</v>
      </c>
      <c r="AI302" s="29" t="s">
        <v>19</v>
      </c>
      <c r="AJ302" s="139"/>
      <c r="AK302" s="27"/>
      <c r="AL302" s="102"/>
      <c r="AM302" s="41" t="str">
        <f>VLOOKUP(Table2[[#This Row],[country]],Countrycode!A:B,2,FALSE)</f>
        <v>MLX</v>
      </c>
      <c r="AN302" s="34">
        <f>IF(ISBLANK(Table2[[#This Row],[Need_RRA]]), 2,(IF(Table2[[#This Row],[Need_RRA]]="No", 0, (IF(AND(Table2[[#This Row],[Need_RRA]]="Yes",  Table2[[#This Row],[RRA_pub_date]]=""),1, 0)))))</f>
        <v>0</v>
      </c>
      <c r="AO302" s="34">
        <f>IF(ISBLANK(Table2[[#This Row],[Need_EIS]]), 2,(IF(Table2[[#This Row],[Need_EIS]]="No", 0, (IF(AND(Table2[[#This Row],[Need_EIS]]="Yes",  Table2[[#This Row],[EIS_pub_date]]=""),1, 0)))))</f>
        <v>0</v>
      </c>
      <c r="AP302" s="34">
        <f>IF(ISBLANK(Table2[[#This Row],[Need_DON]]), 2,(IF(Table2[[#This Row],[Need_DON]]="No", 0, (IF(AND(Table2[[#This Row],[Need_DON]]="Yes",  Table2[[#This Row],[DON_pub_date]]=""),1, 0)))))</f>
        <v>0</v>
      </c>
      <c r="AQ302" s="34">
        <f>IF(ISBLANK(Table2[[#This Row],[Pending_question]]), 2,(IF(Table2[[#This Row],[Pending_question]]="Yes", 1, 0)))</f>
        <v>0</v>
      </c>
      <c r="AR302" s="43"/>
    </row>
    <row r="303" spans="1:44" ht="15" customHeight="1">
      <c r="A303" s="63">
        <v>45037</v>
      </c>
      <c r="B303" s="29" t="s">
        <v>15</v>
      </c>
      <c r="C303" s="34" t="str" cm="1">
        <f t="array" ref="C30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03" s="27" t="s">
        <v>1378</v>
      </c>
      <c r="E303" s="67" t="s">
        <v>128</v>
      </c>
      <c r="F303" s="29" t="s">
        <v>415</v>
      </c>
      <c r="G303" s="29" t="s">
        <v>34</v>
      </c>
      <c r="H303" s="29"/>
      <c r="I303" s="59"/>
      <c r="J303" s="59">
        <v>45037</v>
      </c>
      <c r="K303" s="59" t="s">
        <v>1379</v>
      </c>
      <c r="L303" s="104" t="s">
        <v>1380</v>
      </c>
      <c r="M303" s="70" t="s">
        <v>19</v>
      </c>
      <c r="N303" s="59"/>
      <c r="O303" s="85"/>
      <c r="P303" s="59" t="s">
        <v>19</v>
      </c>
      <c r="Q303" s="84"/>
      <c r="R303" s="29"/>
      <c r="S303" s="29"/>
      <c r="T303" s="59"/>
      <c r="U303" s="29"/>
      <c r="V303" s="29"/>
      <c r="W303" s="29"/>
      <c r="X303" s="27"/>
      <c r="Y303" s="29" t="s">
        <v>30</v>
      </c>
      <c r="Z303" s="29" t="s">
        <v>42</v>
      </c>
      <c r="AA303" s="29" t="s">
        <v>43</v>
      </c>
      <c r="AB303" s="29" t="s">
        <v>1381</v>
      </c>
      <c r="AC303" s="150">
        <v>45028</v>
      </c>
      <c r="AD303" s="59">
        <v>45029</v>
      </c>
      <c r="AE303" s="59">
        <v>45030</v>
      </c>
      <c r="AF303" s="29"/>
      <c r="AG303" s="29"/>
      <c r="AH303" s="85">
        <v>45037</v>
      </c>
      <c r="AI303" s="29" t="s">
        <v>19</v>
      </c>
      <c r="AJ303" s="139"/>
      <c r="AK303" s="27"/>
      <c r="AL303" s="102"/>
      <c r="AM303" s="41" t="str">
        <f>VLOOKUP(Table2[[#This Row],[country]],Countrycode!A:B,2,FALSE)</f>
        <v>ZWE</v>
      </c>
      <c r="AN303" s="34">
        <f>IF(ISBLANK(Table2[[#This Row],[Need_RRA]]), 2,(IF(Table2[[#This Row],[Need_RRA]]="No", 0, (IF(AND(Table2[[#This Row],[Need_RRA]]="Yes",  Table2[[#This Row],[RRA_pub_date]]=""),1, 0)))))</f>
        <v>0</v>
      </c>
      <c r="AO303" s="34">
        <f>IF(ISBLANK(Table2[[#This Row],[Need_EIS]]), 2,(IF(Table2[[#This Row],[Need_EIS]]="No", 0, (IF(AND(Table2[[#This Row],[Need_EIS]]="Yes",  Table2[[#This Row],[EIS_pub_date]]=""),1, 0)))))</f>
        <v>0</v>
      </c>
      <c r="AP303" s="34">
        <f>IF(ISBLANK(Table2[[#This Row],[Need_DON]]), 2,(IF(Table2[[#This Row],[Need_DON]]="No", 0, (IF(AND(Table2[[#This Row],[Need_DON]]="Yes",  Table2[[#This Row],[DON_pub_date]]=""),1, 0)))))</f>
        <v>0</v>
      </c>
      <c r="AQ303" s="34">
        <f>IF(ISBLANK(Table2[[#This Row],[Pending_question]]), 2,(IF(Table2[[#This Row],[Pending_question]]="Yes", 1, 0)))</f>
        <v>0</v>
      </c>
      <c r="AR303" s="43"/>
    </row>
    <row r="304" spans="1:44" ht="15" customHeight="1">
      <c r="A304" s="63">
        <v>45042</v>
      </c>
      <c r="B304" s="29" t="s">
        <v>15</v>
      </c>
      <c r="C304" s="34" t="str" cm="1">
        <f t="array" ref="C30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04" s="27" t="s">
        <v>1378</v>
      </c>
      <c r="E304" s="67" t="s">
        <v>219</v>
      </c>
      <c r="F304" s="29" t="s">
        <v>379</v>
      </c>
      <c r="G304" s="29" t="s">
        <v>34</v>
      </c>
      <c r="H304" s="150">
        <v>45042</v>
      </c>
      <c r="I304" s="59"/>
      <c r="J304" s="59">
        <v>45042</v>
      </c>
      <c r="K304" s="295" t="s">
        <v>1382</v>
      </c>
      <c r="L304" s="104" t="s">
        <v>1383</v>
      </c>
      <c r="M304" s="70" t="s">
        <v>19</v>
      </c>
      <c r="N304" s="59"/>
      <c r="O304" s="85"/>
      <c r="P304" s="59" t="s">
        <v>30</v>
      </c>
      <c r="Q304" s="84">
        <v>1</v>
      </c>
      <c r="R304" s="29" t="s">
        <v>1384</v>
      </c>
      <c r="S304" s="150">
        <v>45042</v>
      </c>
      <c r="T304" s="59">
        <v>45042</v>
      </c>
      <c r="U304" s="59">
        <v>45044</v>
      </c>
      <c r="V304" s="29" t="s">
        <v>32</v>
      </c>
      <c r="W304" s="29" t="s">
        <v>51</v>
      </c>
      <c r="X304" s="27" t="s">
        <v>51</v>
      </c>
      <c r="Y304" s="29" t="s">
        <v>19</v>
      </c>
      <c r="Z304" s="29"/>
      <c r="AA304" s="29"/>
      <c r="AB304" s="29"/>
      <c r="AC304" s="59" t="s">
        <v>34</v>
      </c>
      <c r="AD304" s="59" t="s">
        <v>34</v>
      </c>
      <c r="AE304" s="59" t="s">
        <v>34</v>
      </c>
      <c r="AF304" s="59" t="s">
        <v>34</v>
      </c>
      <c r="AG304" s="59" t="s">
        <v>34</v>
      </c>
      <c r="AH304" s="27" t="s">
        <v>34</v>
      </c>
      <c r="AI304" s="29" t="s">
        <v>19</v>
      </c>
      <c r="AJ304" s="139"/>
      <c r="AK304" s="27"/>
      <c r="AL304" s="102"/>
      <c r="AM304" s="41" t="str">
        <f>VLOOKUP(Table2[[#This Row],[country]],Countrycode!A:B,2,FALSE)</f>
        <v>SDN</v>
      </c>
      <c r="AN304" s="34">
        <f>IF(ISBLANK(Table2[[#This Row],[Need_RRA]]), 2,(IF(Table2[[#This Row],[Need_RRA]]="No", 0, (IF(AND(Table2[[#This Row],[Need_RRA]]="Yes",  Table2[[#This Row],[RRA_pub_date]]=""),1, 0)))))</f>
        <v>0</v>
      </c>
      <c r="AO304" s="34">
        <f>IF(ISBLANK(Table2[[#This Row],[Need_EIS]]), 2,(IF(Table2[[#This Row],[Need_EIS]]="No", 0, (IF(AND(Table2[[#This Row],[Need_EIS]]="Yes",  Table2[[#This Row],[EIS_pub_date]]=""),1, 0)))))</f>
        <v>0</v>
      </c>
      <c r="AP304" s="34">
        <f>IF(ISBLANK(Table2[[#This Row],[Need_DON]]), 2,(IF(Table2[[#This Row],[Need_DON]]="No", 0, (IF(AND(Table2[[#This Row],[Need_DON]]="Yes",  Table2[[#This Row],[DON_pub_date]]=""),1, 0)))))</f>
        <v>0</v>
      </c>
      <c r="AQ304" s="34">
        <f>IF(ISBLANK(Table2[[#This Row],[Pending_question]]), 2,(IF(Table2[[#This Row],[Pending_question]]="Yes", 1, 0)))</f>
        <v>0</v>
      </c>
      <c r="AR304" s="43"/>
    </row>
    <row r="305" spans="1:44" ht="15" customHeight="1">
      <c r="A305" s="63">
        <v>45048</v>
      </c>
      <c r="B305" s="29" t="s">
        <v>15</v>
      </c>
      <c r="C305" s="34" t="str" cm="1">
        <f t="array" ref="C30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05" s="27" t="s">
        <v>1378</v>
      </c>
      <c r="E305" s="67" t="s">
        <v>128</v>
      </c>
      <c r="F305" s="29" t="s">
        <v>93</v>
      </c>
      <c r="G305" s="29" t="s">
        <v>93</v>
      </c>
      <c r="H305" s="29"/>
      <c r="I305" s="59" t="s">
        <v>709</v>
      </c>
      <c r="J305" s="59" t="s">
        <v>709</v>
      </c>
      <c r="K305" s="59" t="s">
        <v>709</v>
      </c>
      <c r="L305" s="104" t="s">
        <v>709</v>
      </c>
      <c r="M305" s="70" t="s">
        <v>19</v>
      </c>
      <c r="N305" s="59"/>
      <c r="O305" s="85"/>
      <c r="P305" s="59" t="s">
        <v>30</v>
      </c>
      <c r="Q305" s="84">
        <v>3</v>
      </c>
      <c r="R305" s="29" t="s">
        <v>1385</v>
      </c>
      <c r="S305" s="59">
        <v>45048</v>
      </c>
      <c r="T305" s="59">
        <v>45048</v>
      </c>
      <c r="U305" s="59">
        <v>45063</v>
      </c>
      <c r="V305" s="29" t="s">
        <v>34</v>
      </c>
      <c r="W305" s="29" t="s">
        <v>34</v>
      </c>
      <c r="X305" s="27" t="s">
        <v>41</v>
      </c>
      <c r="Y305" s="29" t="s">
        <v>19</v>
      </c>
      <c r="Z305" s="29"/>
      <c r="AA305" s="29"/>
      <c r="AB305" s="29" t="s">
        <v>1386</v>
      </c>
      <c r="AC305" s="29"/>
      <c r="AD305" s="59"/>
      <c r="AE305" s="29"/>
      <c r="AF305" s="29"/>
      <c r="AG305" s="29"/>
      <c r="AH305" s="27"/>
      <c r="AI305" s="29" t="s">
        <v>19</v>
      </c>
      <c r="AJ305" s="139"/>
      <c r="AK305" s="27"/>
      <c r="AL305" s="102"/>
      <c r="AM305" s="41" t="e">
        <f>VLOOKUP(Table2[[#This Row],[country]],Countrycode!A:B,2,FALSE)</f>
        <v>#N/A</v>
      </c>
      <c r="AN305" s="34">
        <f>IF(ISBLANK(Table2[[#This Row],[Need_RRA]]), 2,(IF(Table2[[#This Row],[Need_RRA]]="No", 0, (IF(AND(Table2[[#This Row],[Need_RRA]]="Yes",  Table2[[#This Row],[RRA_pub_date]]=""),1, 0)))))</f>
        <v>0</v>
      </c>
      <c r="AO305" s="34">
        <f>IF(ISBLANK(Table2[[#This Row],[Need_EIS]]), 2,(IF(Table2[[#This Row],[Need_EIS]]="No", 0, (IF(AND(Table2[[#This Row],[Need_EIS]]="Yes",  Table2[[#This Row],[EIS_pub_date]]=""),1, 0)))))</f>
        <v>0</v>
      </c>
      <c r="AP305" s="34">
        <f>IF(ISBLANK(Table2[[#This Row],[Need_DON]]), 2,(IF(Table2[[#This Row],[Need_DON]]="No", 0, (IF(AND(Table2[[#This Row],[Need_DON]]="Yes",  Table2[[#This Row],[DON_pub_date]]=""),1, 0)))))</f>
        <v>0</v>
      </c>
      <c r="AQ305" s="34">
        <f>IF(ISBLANK(Table2[[#This Row],[Pending_question]]), 2,(IF(Table2[[#This Row],[Pending_question]]="Yes", 1, 0)))</f>
        <v>0</v>
      </c>
      <c r="AR305" s="43"/>
    </row>
    <row r="306" spans="1:44" ht="15" customHeight="1">
      <c r="A306" s="63">
        <v>45054</v>
      </c>
      <c r="B306" s="29" t="s">
        <v>15</v>
      </c>
      <c r="C306" s="34" t="str" cm="1">
        <f t="array" ref="C30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06" s="27" t="s">
        <v>1387</v>
      </c>
      <c r="E306" s="67" t="s">
        <v>142</v>
      </c>
      <c r="F306" s="29" t="s">
        <v>89</v>
      </c>
      <c r="G306" s="29" t="s">
        <v>34</v>
      </c>
      <c r="H306" s="59">
        <v>45054</v>
      </c>
      <c r="I306" s="59"/>
      <c r="J306" s="59">
        <v>45052</v>
      </c>
      <c r="K306" s="59" t="s">
        <v>1388</v>
      </c>
      <c r="L306" s="104" t="s">
        <v>1389</v>
      </c>
      <c r="M306" s="70" t="s">
        <v>19</v>
      </c>
      <c r="N306" s="109"/>
      <c r="O306" s="85"/>
      <c r="P306" s="59" t="s">
        <v>19</v>
      </c>
      <c r="Q306" s="84"/>
      <c r="R306" s="29"/>
      <c r="S306" s="29"/>
      <c r="T306" s="59"/>
      <c r="U306" s="29"/>
      <c r="V306" s="29"/>
      <c r="W306" s="29"/>
      <c r="X306" s="27"/>
      <c r="Y306" s="29" t="s">
        <v>30</v>
      </c>
      <c r="Z306" s="29" t="s">
        <v>42</v>
      </c>
      <c r="AA306" s="29" t="s">
        <v>22</v>
      </c>
      <c r="AB306" s="29" t="s">
        <v>1390</v>
      </c>
      <c r="AC306" s="59">
        <v>45062</v>
      </c>
      <c r="AD306" s="59">
        <v>45062</v>
      </c>
      <c r="AE306" s="59">
        <v>45063</v>
      </c>
      <c r="AF306" s="29"/>
      <c r="AG306" s="59">
        <v>45068</v>
      </c>
      <c r="AH306" s="85">
        <v>45072</v>
      </c>
      <c r="AI306" s="29" t="s">
        <v>30</v>
      </c>
      <c r="AJ306" s="139">
        <v>45075</v>
      </c>
      <c r="AK306" s="85">
        <v>45077</v>
      </c>
      <c r="AL306" s="102"/>
      <c r="AM306" s="41" t="str">
        <f>VLOOKUP(Table2[[#This Row],[country]],Countrycode!A:B,2,FALSE)</f>
        <v>FRA</v>
      </c>
      <c r="AN306" s="34">
        <f>IF(ISBLANK(Table2[[#This Row],[Need_RRA]]), 2,(IF(Table2[[#This Row],[Need_RRA]]="No", 0, (IF(AND(Table2[[#This Row],[Need_RRA]]="Yes",  Table2[[#This Row],[RRA_pub_date]]=""),1, 0)))))</f>
        <v>0</v>
      </c>
      <c r="AO306" s="34">
        <f>IF(ISBLANK(Table2[[#This Row],[Need_EIS]]), 2,(IF(Table2[[#This Row],[Need_EIS]]="No", 0, (IF(AND(Table2[[#This Row],[Need_EIS]]="Yes",  Table2[[#This Row],[EIS_pub_date]]=""),1, 0)))))</f>
        <v>0</v>
      </c>
      <c r="AP306" s="34">
        <f>IF(ISBLANK(Table2[[#This Row],[Need_DON]]), 2,(IF(Table2[[#This Row],[Need_DON]]="No", 0, (IF(AND(Table2[[#This Row],[Need_DON]]="Yes",  Table2[[#This Row],[DON_pub_date]]=""),1, 0)))))</f>
        <v>0</v>
      </c>
      <c r="AQ306" s="34">
        <f>IF(ISBLANK(Table2[[#This Row],[Pending_question]]), 2,(IF(Table2[[#This Row],[Pending_question]]="Yes", 1, 0)))</f>
        <v>0</v>
      </c>
      <c r="AR306" s="43"/>
    </row>
    <row r="307" spans="1:44" ht="15" customHeight="1">
      <c r="A307" s="63">
        <v>45058</v>
      </c>
      <c r="B307" s="29" t="s">
        <v>15</v>
      </c>
      <c r="C307" s="34" t="str" cm="1">
        <f t="array" ref="C30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07" s="27" t="s">
        <v>1248</v>
      </c>
      <c r="E307" s="67" t="s">
        <v>594</v>
      </c>
      <c r="F307" s="29" t="s">
        <v>173</v>
      </c>
      <c r="G307" s="29" t="s">
        <v>34</v>
      </c>
      <c r="H307" s="59">
        <v>45058</v>
      </c>
      <c r="I307" s="59">
        <v>45064</v>
      </c>
      <c r="J307" s="59"/>
      <c r="K307" s="63"/>
      <c r="L307" s="104"/>
      <c r="M307" s="70" t="s">
        <v>19</v>
      </c>
      <c r="N307" s="59"/>
      <c r="O307" s="85"/>
      <c r="P307" s="59" t="s">
        <v>19</v>
      </c>
      <c r="Q307" s="84"/>
      <c r="R307" s="29"/>
      <c r="S307" s="29"/>
      <c r="T307" s="59"/>
      <c r="U307" s="29"/>
      <c r="V307" s="29"/>
      <c r="W307" s="29"/>
      <c r="X307" s="27"/>
      <c r="Y307" s="29" t="s">
        <v>30</v>
      </c>
      <c r="Z307" s="29" t="s">
        <v>42</v>
      </c>
      <c r="AA307" s="29" t="s">
        <v>43</v>
      </c>
      <c r="AB307" s="29" t="s">
        <v>1391</v>
      </c>
      <c r="AC307" s="59">
        <v>45057</v>
      </c>
      <c r="AD307" s="59">
        <v>45058</v>
      </c>
      <c r="AE307" s="59">
        <v>45058</v>
      </c>
      <c r="AF307" s="59">
        <v>45061</v>
      </c>
      <c r="AG307" s="59">
        <v>45067</v>
      </c>
      <c r="AH307" s="85">
        <v>45067</v>
      </c>
      <c r="AI307" s="29" t="s">
        <v>19</v>
      </c>
      <c r="AJ307" s="139"/>
      <c r="AK307" s="27"/>
      <c r="AL307" s="102"/>
      <c r="AM307" s="41" t="str">
        <f>VLOOKUP(Table2[[#This Row],[country]],Countrycode!A:B,2,FALSE)</f>
        <v>CHN</v>
      </c>
      <c r="AN307" s="34">
        <f>IF(ISBLANK(Table2[[#This Row],[Need_RRA]]), 2,(IF(Table2[[#This Row],[Need_RRA]]="No", 0, (IF(AND(Table2[[#This Row],[Need_RRA]]="Yes",  Table2[[#This Row],[RRA_pub_date]]=""),1, 0)))))</f>
        <v>0</v>
      </c>
      <c r="AO307" s="34">
        <f>IF(ISBLANK(Table2[[#This Row],[Need_EIS]]), 2,(IF(Table2[[#This Row],[Need_EIS]]="No", 0, (IF(AND(Table2[[#This Row],[Need_EIS]]="Yes",  Table2[[#This Row],[EIS_pub_date]]=""),1, 0)))))</f>
        <v>0</v>
      </c>
      <c r="AP307" s="34">
        <f>IF(ISBLANK(Table2[[#This Row],[Need_DON]]), 2,(IF(Table2[[#This Row],[Need_DON]]="No", 0, (IF(AND(Table2[[#This Row],[Need_DON]]="Yes",  Table2[[#This Row],[DON_pub_date]]=""),1, 0)))))</f>
        <v>0</v>
      </c>
      <c r="AQ307" s="34">
        <f>IF(ISBLANK(Table2[[#This Row],[Pending_question]]), 2,(IF(Table2[[#This Row],[Pending_question]]="Yes", 1, 0)))</f>
        <v>0</v>
      </c>
      <c r="AR307" s="43"/>
    </row>
    <row r="308" spans="1:44" ht="15" customHeight="1">
      <c r="A308" s="63">
        <v>45063</v>
      </c>
      <c r="B308" s="29" t="s">
        <v>15</v>
      </c>
      <c r="C308" s="110" t="str" cm="1">
        <f t="array" ref="C30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08" s="27" t="s">
        <v>1248</v>
      </c>
      <c r="E308" s="67" t="s">
        <v>99</v>
      </c>
      <c r="F308" s="29" t="s">
        <v>400</v>
      </c>
      <c r="G308" s="29" t="s">
        <v>34</v>
      </c>
      <c r="H308" s="59">
        <v>45063</v>
      </c>
      <c r="I308" s="59">
        <v>45069</v>
      </c>
      <c r="J308" s="59">
        <v>45063</v>
      </c>
      <c r="K308" s="59" t="s">
        <v>1392</v>
      </c>
      <c r="L308" s="104" t="s">
        <v>1393</v>
      </c>
      <c r="M308" s="121" t="s">
        <v>30</v>
      </c>
      <c r="N308" s="59" t="s">
        <v>1394</v>
      </c>
      <c r="O308" s="85">
        <v>45062</v>
      </c>
      <c r="P308" s="59" t="s">
        <v>19</v>
      </c>
      <c r="Q308" s="84"/>
      <c r="R308" s="29"/>
      <c r="S308" s="29"/>
      <c r="T308" s="59"/>
      <c r="U308" s="29"/>
      <c r="V308" s="29"/>
      <c r="W308" s="29"/>
      <c r="X308" s="27"/>
      <c r="Y308" s="29" t="s">
        <v>30</v>
      </c>
      <c r="Z308" s="29" t="s">
        <v>42</v>
      </c>
      <c r="AA308" s="29" t="s">
        <v>22</v>
      </c>
      <c r="AB308" s="29" t="s">
        <v>1395</v>
      </c>
      <c r="AC308" s="59">
        <v>45062</v>
      </c>
      <c r="AD308" s="59">
        <v>45063</v>
      </c>
      <c r="AE308" s="59">
        <v>45064</v>
      </c>
      <c r="AF308" s="59">
        <v>45065</v>
      </c>
      <c r="AG308" s="59">
        <v>45068</v>
      </c>
      <c r="AH308" s="85">
        <v>45069</v>
      </c>
      <c r="AI308" s="29" t="s">
        <v>30</v>
      </c>
      <c r="AJ308" s="139"/>
      <c r="AK308" s="85">
        <v>45076</v>
      </c>
      <c r="AL308" s="102"/>
      <c r="AM308" s="41" t="str">
        <f>VLOOKUP(Table2[[#This Row],[country]],Countrycode!A:B,2,FALSE)</f>
        <v>GBR</v>
      </c>
      <c r="AN308" s="34">
        <f>IF(ISBLANK(Table2[[#This Row],[Need_RRA]]), 2,(IF(Table2[[#This Row],[Need_RRA]]="No", 0, (IF(AND(Table2[[#This Row],[Need_RRA]]="Yes",  Table2[[#This Row],[RRA_pub_date]]=""),1, 0)))))</f>
        <v>0</v>
      </c>
      <c r="AO308" s="34">
        <f>IF(ISBLANK(Table2[[#This Row],[Need_EIS]]), 2,(IF(Table2[[#This Row],[Need_EIS]]="No", 0, (IF(AND(Table2[[#This Row],[Need_EIS]]="Yes",  Table2[[#This Row],[EIS_pub_date]]=""),1, 0)))))</f>
        <v>0</v>
      </c>
      <c r="AP308" s="34">
        <f>IF(ISBLANK(Table2[[#This Row],[Need_DON]]), 2,(IF(Table2[[#This Row],[Need_DON]]="No", 0, (IF(AND(Table2[[#This Row],[Need_DON]]="Yes",  Table2[[#This Row],[DON_pub_date]]=""),1, 0)))))</f>
        <v>0</v>
      </c>
      <c r="AQ308" s="34">
        <f>IF(ISBLANK(Table2[[#This Row],[Pending_question]]), 2,(IF(Table2[[#This Row],[Pending_question]]="Yes", 1, 0)))</f>
        <v>1</v>
      </c>
      <c r="AR308" s="43"/>
    </row>
    <row r="309" spans="1:44" ht="15" customHeight="1">
      <c r="A309" s="63">
        <v>45068</v>
      </c>
      <c r="B309" s="29" t="s">
        <v>15</v>
      </c>
      <c r="C309" s="34" t="str" cm="1">
        <f t="array" ref="C30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09" s="27" t="s">
        <v>1248</v>
      </c>
      <c r="E309" s="67" t="s">
        <v>110</v>
      </c>
      <c r="F309" s="29" t="s">
        <v>173</v>
      </c>
      <c r="G309" s="29" t="s">
        <v>34</v>
      </c>
      <c r="H309" s="59">
        <v>45068</v>
      </c>
      <c r="I309" s="59">
        <v>45071</v>
      </c>
      <c r="J309" s="59"/>
      <c r="K309" s="59"/>
      <c r="L309" s="104"/>
      <c r="M309" s="70" t="s">
        <v>19</v>
      </c>
      <c r="N309" s="59"/>
      <c r="O309" s="85"/>
      <c r="P309" s="59" t="s">
        <v>19</v>
      </c>
      <c r="Q309" s="84"/>
      <c r="R309" s="29"/>
      <c r="S309" s="29"/>
      <c r="T309" s="59"/>
      <c r="U309" s="29"/>
      <c r="V309" s="29"/>
      <c r="W309" s="29"/>
      <c r="X309" s="27"/>
      <c r="Y309" s="29" t="s">
        <v>30</v>
      </c>
      <c r="Z309" s="29" t="s">
        <v>42</v>
      </c>
      <c r="AA309" s="29" t="s">
        <v>22</v>
      </c>
      <c r="AB309" s="29" t="s">
        <v>1396</v>
      </c>
      <c r="AC309" s="59">
        <v>45064</v>
      </c>
      <c r="AD309" s="59">
        <v>45068</v>
      </c>
      <c r="AE309" s="59">
        <v>45069</v>
      </c>
      <c r="AF309" s="29"/>
      <c r="AG309" s="150"/>
      <c r="AH309" s="85">
        <v>45072</v>
      </c>
      <c r="AI309" s="29" t="s">
        <v>19</v>
      </c>
      <c r="AJ309" s="139"/>
      <c r="AK309" s="27"/>
      <c r="AL309" s="102"/>
      <c r="AM309" s="41" t="str">
        <f>VLOOKUP(Table2[[#This Row],[country]],Countrycode!A:B,2,FALSE)</f>
        <v>CHN</v>
      </c>
      <c r="AN309" s="34">
        <f>IF(ISBLANK(Table2[[#This Row],[Need_RRA]]), 2,(IF(Table2[[#This Row],[Need_RRA]]="No", 0, (IF(AND(Table2[[#This Row],[Need_RRA]]="Yes",  Table2[[#This Row],[RRA_pub_date]]=""),1, 0)))))</f>
        <v>0</v>
      </c>
      <c r="AO309" s="34">
        <f>IF(ISBLANK(Table2[[#This Row],[Need_EIS]]), 2,(IF(Table2[[#This Row],[Need_EIS]]="No", 0, (IF(AND(Table2[[#This Row],[Need_EIS]]="Yes",  Table2[[#This Row],[EIS_pub_date]]=""),1, 0)))))</f>
        <v>0</v>
      </c>
      <c r="AP309" s="34">
        <f>IF(ISBLANK(Table2[[#This Row],[Need_DON]]), 2,(IF(Table2[[#This Row],[Need_DON]]="No", 0, (IF(AND(Table2[[#This Row],[Need_DON]]="Yes",  Table2[[#This Row],[DON_pub_date]]=""),1, 0)))))</f>
        <v>0</v>
      </c>
      <c r="AQ309" s="34">
        <f>IF(ISBLANK(Table2[[#This Row],[Pending_question]]), 2,(IF(Table2[[#This Row],[Pending_question]]="Yes", 1, 0)))</f>
        <v>0</v>
      </c>
      <c r="AR309" s="43"/>
    </row>
    <row r="310" spans="1:44" ht="15" customHeight="1">
      <c r="A310" s="63">
        <v>45071</v>
      </c>
      <c r="B310" s="29" t="s">
        <v>15</v>
      </c>
      <c r="C310" s="34" t="str" cm="1">
        <f t="array" ref="C31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10" s="27" t="s">
        <v>1397</v>
      </c>
      <c r="E310" s="67" t="s">
        <v>104</v>
      </c>
      <c r="F310" s="29" t="s">
        <v>173</v>
      </c>
      <c r="G310" s="29" t="s">
        <v>34</v>
      </c>
      <c r="H310" s="59">
        <v>45071</v>
      </c>
      <c r="I310" s="59">
        <v>45076</v>
      </c>
      <c r="J310" s="59">
        <v>45071</v>
      </c>
      <c r="K310" s="59" t="s">
        <v>1398</v>
      </c>
      <c r="L310" s="104" t="s">
        <v>1399</v>
      </c>
      <c r="M310" s="70" t="s">
        <v>19</v>
      </c>
      <c r="N310" s="59"/>
      <c r="O310" s="85"/>
      <c r="P310" s="59" t="s">
        <v>19</v>
      </c>
      <c r="Q310" s="84"/>
      <c r="R310" s="29"/>
      <c r="S310" s="29"/>
      <c r="T310" s="59"/>
      <c r="U310" s="29"/>
      <c r="V310" s="29"/>
      <c r="W310" s="29"/>
      <c r="X310" s="27"/>
      <c r="Y310" s="29" t="s">
        <v>30</v>
      </c>
      <c r="Z310" s="29" t="s">
        <v>42</v>
      </c>
      <c r="AA310" s="29" t="s">
        <v>22</v>
      </c>
      <c r="AB310" s="29" t="s">
        <v>1400</v>
      </c>
      <c r="AC310" s="59">
        <v>45070</v>
      </c>
      <c r="AD310" s="59">
        <v>45072</v>
      </c>
      <c r="AE310" s="59">
        <v>45072</v>
      </c>
      <c r="AF310" s="59">
        <v>45072</v>
      </c>
      <c r="AG310" s="29"/>
      <c r="AH310" s="85">
        <v>45076</v>
      </c>
      <c r="AI310" s="29" t="s">
        <v>19</v>
      </c>
      <c r="AJ310" s="139"/>
      <c r="AK310" s="27"/>
      <c r="AL310" s="102"/>
      <c r="AM310" s="41" t="str">
        <f>VLOOKUP(Table2[[#This Row],[country]],Countrycode!A:B,2,FALSE)</f>
        <v>CHN</v>
      </c>
      <c r="AN310" s="34">
        <f>IF(ISBLANK(Table2[[#This Row],[Need_RRA]]), 2,(IF(Table2[[#This Row],[Need_RRA]]="No", 0, (IF(AND(Table2[[#This Row],[Need_RRA]]="Yes",  Table2[[#This Row],[RRA_pub_date]]=""),1, 0)))))</f>
        <v>0</v>
      </c>
      <c r="AO310" s="34">
        <f>IF(ISBLANK(Table2[[#This Row],[Need_EIS]]), 2,(IF(Table2[[#This Row],[Need_EIS]]="No", 0, (IF(AND(Table2[[#This Row],[Need_EIS]]="Yes",  Table2[[#This Row],[EIS_pub_date]]=""),1, 0)))))</f>
        <v>0</v>
      </c>
      <c r="AP310" s="34">
        <f>IF(ISBLANK(Table2[[#This Row],[Need_DON]]), 2,(IF(Table2[[#This Row],[Need_DON]]="No", 0, (IF(AND(Table2[[#This Row],[Need_DON]]="Yes",  Table2[[#This Row],[DON_pub_date]]=""),1, 0)))))</f>
        <v>0</v>
      </c>
      <c r="AQ310" s="34">
        <f>IF(ISBLANK(Table2[[#This Row],[Pending_question]]), 2,(IF(Table2[[#This Row],[Pending_question]]="Yes", 1, 0)))</f>
        <v>0</v>
      </c>
      <c r="AR310" s="43"/>
    </row>
    <row r="311" spans="1:44" ht="15" customHeight="1">
      <c r="A311" s="63">
        <v>45071</v>
      </c>
      <c r="B311" s="29" t="s">
        <v>15</v>
      </c>
      <c r="C311" s="34" t="str" cm="1">
        <f t="array" ref="C31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11" s="27" t="s">
        <v>1244</v>
      </c>
      <c r="E311" s="67" t="s">
        <v>178</v>
      </c>
      <c r="F311" s="29" t="s">
        <v>39</v>
      </c>
      <c r="G311" s="29" t="s">
        <v>103</v>
      </c>
      <c r="H311" s="29"/>
      <c r="I311" s="59"/>
      <c r="J311" s="59"/>
      <c r="K311" s="264" t="s">
        <v>1401</v>
      </c>
      <c r="L311" s="104" t="s">
        <v>1402</v>
      </c>
      <c r="M311" s="70" t="s">
        <v>19</v>
      </c>
      <c r="N311" s="59"/>
      <c r="O311" s="85"/>
      <c r="P311" s="59" t="s">
        <v>19</v>
      </c>
      <c r="Q311" s="84"/>
      <c r="R311" s="29"/>
      <c r="S311" s="29"/>
      <c r="T311" s="59"/>
      <c r="U311" s="29"/>
      <c r="V311" s="29"/>
      <c r="W311" s="29"/>
      <c r="X311" s="27"/>
      <c r="Y311" s="29" t="s">
        <v>30</v>
      </c>
      <c r="Z311" s="29" t="s">
        <v>33</v>
      </c>
      <c r="AA311" s="29" t="s">
        <v>22</v>
      </c>
      <c r="AB311" s="29" t="s">
        <v>1403</v>
      </c>
      <c r="AC311" s="59">
        <v>45071</v>
      </c>
      <c r="AD311" s="59">
        <v>45071</v>
      </c>
      <c r="AE311" s="59">
        <v>45072</v>
      </c>
      <c r="AF311" s="59">
        <v>45072</v>
      </c>
      <c r="AG311" s="59">
        <v>45074</v>
      </c>
      <c r="AH311" s="197">
        <v>45075</v>
      </c>
      <c r="AI311" s="29" t="s">
        <v>30</v>
      </c>
      <c r="AJ311" s="139">
        <v>45066</v>
      </c>
      <c r="AK311" s="85">
        <v>45078</v>
      </c>
      <c r="AL311" s="102"/>
      <c r="AM311" s="41" t="str">
        <f>VLOOKUP(Table2[[#This Row],[country]],Countrycode!A:B,2,FALSE)</f>
        <v>MLX</v>
      </c>
      <c r="AN311" s="34">
        <f>IF(ISBLANK(Table2[[#This Row],[Need_RRA]]), 2,(IF(Table2[[#This Row],[Need_RRA]]="No", 0, (IF(AND(Table2[[#This Row],[Need_RRA]]="Yes",  Table2[[#This Row],[RRA_pub_date]]=""),1, 0)))))</f>
        <v>0</v>
      </c>
      <c r="AO311" s="34">
        <f>IF(ISBLANK(Table2[[#This Row],[Need_EIS]]), 2,(IF(Table2[[#This Row],[Need_EIS]]="No", 0, (IF(AND(Table2[[#This Row],[Need_EIS]]="Yes",  Table2[[#This Row],[EIS_pub_date]]=""),1, 0)))))</f>
        <v>0</v>
      </c>
      <c r="AP311" s="34">
        <f>IF(ISBLANK(Table2[[#This Row],[Need_DON]]), 2,(IF(Table2[[#This Row],[Need_DON]]="No", 0, (IF(AND(Table2[[#This Row],[Need_DON]]="Yes",  Table2[[#This Row],[DON_pub_date]]=""),1, 0)))))</f>
        <v>0</v>
      </c>
      <c r="AQ311" s="34">
        <f>IF(ISBLANK(Table2[[#This Row],[Pending_question]]), 2,(IF(Table2[[#This Row],[Pending_question]]="Yes", 1, 0)))</f>
        <v>0</v>
      </c>
      <c r="AR311" s="43"/>
    </row>
    <row r="312" spans="1:44" ht="15" customHeight="1">
      <c r="A312" s="63">
        <v>45075</v>
      </c>
      <c r="B312" s="29" t="s">
        <v>15</v>
      </c>
      <c r="C312" s="34" t="str" cm="1">
        <f t="array" ref="C31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12" s="27" t="s">
        <v>1119</v>
      </c>
      <c r="E312" s="67" t="s">
        <v>176</v>
      </c>
      <c r="F312" s="29" t="s">
        <v>285</v>
      </c>
      <c r="G312" s="29" t="s">
        <v>34</v>
      </c>
      <c r="H312" s="59">
        <v>45075</v>
      </c>
      <c r="I312" s="59">
        <v>45075</v>
      </c>
      <c r="J312" s="59">
        <v>45075</v>
      </c>
      <c r="K312" s="59" t="s">
        <v>1404</v>
      </c>
      <c r="L312" s="104" t="s">
        <v>1405</v>
      </c>
      <c r="M312" s="70" t="s">
        <v>19</v>
      </c>
      <c r="N312" s="59"/>
      <c r="O312" s="85"/>
      <c r="P312" s="59" t="s">
        <v>30</v>
      </c>
      <c r="Q312" s="84">
        <v>1</v>
      </c>
      <c r="R312" s="29" t="s">
        <v>1406</v>
      </c>
      <c r="S312" s="59">
        <v>45075</v>
      </c>
      <c r="T312" s="59">
        <v>45077</v>
      </c>
      <c r="U312" s="59">
        <v>45089</v>
      </c>
      <c r="V312" s="29" t="s">
        <v>32</v>
      </c>
      <c r="W312" s="29" t="s">
        <v>51</v>
      </c>
      <c r="X312" s="27" t="s">
        <v>51</v>
      </c>
      <c r="Y312" s="29" t="s">
        <v>19</v>
      </c>
      <c r="Z312" s="29"/>
      <c r="AA312" s="29"/>
      <c r="AB312" s="29"/>
      <c r="AC312" s="29"/>
      <c r="AD312" s="59"/>
      <c r="AE312" s="29"/>
      <c r="AF312" s="29"/>
      <c r="AG312" s="29"/>
      <c r="AH312" s="27"/>
      <c r="AI312" s="29" t="s">
        <v>19</v>
      </c>
      <c r="AJ312" s="139"/>
      <c r="AK312" s="27"/>
      <c r="AL312" s="102"/>
      <c r="AM312" s="41" t="str">
        <f>VLOOKUP(Table2[[#This Row],[country]],Countrycode!A:B,2,FALSE)</f>
        <v>JOR</v>
      </c>
      <c r="AN312" s="34">
        <f>IF(ISBLANK(Table2[[#This Row],[Need_RRA]]), 2,(IF(Table2[[#This Row],[Need_RRA]]="No", 0, (IF(AND(Table2[[#This Row],[Need_RRA]]="Yes",  Table2[[#This Row],[RRA_pub_date]]=""),1, 0)))))</f>
        <v>0</v>
      </c>
      <c r="AO312" s="34">
        <f>IF(ISBLANK(Table2[[#This Row],[Need_EIS]]), 2,(IF(Table2[[#This Row],[Need_EIS]]="No", 0, (IF(AND(Table2[[#This Row],[Need_EIS]]="Yes",  Table2[[#This Row],[EIS_pub_date]]=""),1, 0)))))</f>
        <v>0</v>
      </c>
      <c r="AP312" s="34">
        <f>IF(ISBLANK(Table2[[#This Row],[Need_DON]]), 2,(IF(Table2[[#This Row],[Need_DON]]="No", 0, (IF(AND(Table2[[#This Row],[Need_DON]]="Yes",  Table2[[#This Row],[DON_pub_date]]=""),1, 0)))))</f>
        <v>0</v>
      </c>
      <c r="AQ312" s="34">
        <f>IF(ISBLANK(Table2[[#This Row],[Pending_question]]), 2,(IF(Table2[[#This Row],[Pending_question]]="Yes", 1, 0)))</f>
        <v>0</v>
      </c>
      <c r="AR312" s="43"/>
    </row>
    <row r="313" spans="1:44" ht="15" customHeight="1">
      <c r="A313" s="63">
        <v>45086</v>
      </c>
      <c r="B313" s="29" t="s">
        <v>15</v>
      </c>
      <c r="C313" s="34" t="str" cm="1">
        <f t="array" ref="C31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13" s="27" t="s">
        <v>1318</v>
      </c>
      <c r="E313" s="67" t="s">
        <v>211</v>
      </c>
      <c r="F313" s="29" t="s">
        <v>275</v>
      </c>
      <c r="G313" s="29" t="s">
        <v>34</v>
      </c>
      <c r="H313" s="59">
        <v>45086</v>
      </c>
      <c r="I313" s="59">
        <v>45120</v>
      </c>
      <c r="J313" s="59">
        <v>45079</v>
      </c>
      <c r="K313" s="59" t="s">
        <v>1407</v>
      </c>
      <c r="L313" s="104" t="s">
        <v>1408</v>
      </c>
      <c r="M313" s="70" t="s">
        <v>19</v>
      </c>
      <c r="N313" s="59"/>
      <c r="O313" s="85"/>
      <c r="P313" s="59" t="s">
        <v>30</v>
      </c>
      <c r="Q313" s="84">
        <v>1</v>
      </c>
      <c r="R313" s="29" t="s">
        <v>1409</v>
      </c>
      <c r="S313" s="59">
        <v>45086</v>
      </c>
      <c r="T313" s="59">
        <v>45086</v>
      </c>
      <c r="U313" s="59">
        <v>45098</v>
      </c>
      <c r="V313" s="29" t="s">
        <v>20</v>
      </c>
      <c r="W313" s="29" t="s">
        <v>32</v>
      </c>
      <c r="X313" s="27" t="s">
        <v>51</v>
      </c>
      <c r="Y313" s="29" t="s">
        <v>19</v>
      </c>
      <c r="Z313" s="29" t="s">
        <v>34</v>
      </c>
      <c r="AA313" s="29" t="s">
        <v>22</v>
      </c>
      <c r="AB313" s="29" t="s">
        <v>1410</v>
      </c>
      <c r="AC313" s="59">
        <v>45097</v>
      </c>
      <c r="AD313" s="59">
        <v>45110</v>
      </c>
      <c r="AE313" s="59">
        <v>45111</v>
      </c>
      <c r="AF313" s="59">
        <v>45111</v>
      </c>
      <c r="AG313" s="29"/>
      <c r="AH313" s="27"/>
      <c r="AI313" s="29" t="s">
        <v>19</v>
      </c>
      <c r="AJ313" s="139"/>
      <c r="AK313" s="27"/>
      <c r="AL313" s="102"/>
      <c r="AM313" s="41" t="str">
        <f>VLOOKUP(Table2[[#This Row],[country]],Countrycode!A:B,2,FALSE)</f>
        <v>IDN</v>
      </c>
      <c r="AN313" s="34">
        <f>IF(ISBLANK(Table2[[#This Row],[Need_RRA]]), 2,(IF(Table2[[#This Row],[Need_RRA]]="No", 0, (IF(AND(Table2[[#This Row],[Need_RRA]]="Yes",  Table2[[#This Row],[RRA_pub_date]]=""),1, 0)))))</f>
        <v>0</v>
      </c>
      <c r="AO313" s="34">
        <f>IF(ISBLANK(Table2[[#This Row],[Need_EIS]]), 2,(IF(Table2[[#This Row],[Need_EIS]]="No", 0, (IF(AND(Table2[[#This Row],[Need_EIS]]="Yes",  Table2[[#This Row],[EIS_pub_date]]=""),1, 0)))))</f>
        <v>0</v>
      </c>
      <c r="AP313" s="34">
        <f>IF(ISBLANK(Table2[[#This Row],[Need_DON]]), 2,(IF(Table2[[#This Row],[Need_DON]]="No", 0, (IF(AND(Table2[[#This Row],[Need_DON]]="Yes",  Table2[[#This Row],[DON_pub_date]]=""),1, 0)))))</f>
        <v>0</v>
      </c>
      <c r="AQ313" s="34">
        <f>IF(ISBLANK(Table2[[#This Row],[Pending_question]]), 2,(IF(Table2[[#This Row],[Pending_question]]="Yes", 1, 0)))</f>
        <v>0</v>
      </c>
      <c r="AR313" s="43"/>
    </row>
    <row r="314" spans="1:44" ht="15" customHeight="1">
      <c r="A314" s="63">
        <v>45089</v>
      </c>
      <c r="B314" s="29" t="s">
        <v>15</v>
      </c>
      <c r="C314" s="34" t="str" cm="1">
        <f t="array" ref="C31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14" s="27" t="s">
        <v>1248</v>
      </c>
      <c r="E314" s="67" t="s">
        <v>80</v>
      </c>
      <c r="F314" s="29" t="s">
        <v>143</v>
      </c>
      <c r="G314" s="29" t="s">
        <v>34</v>
      </c>
      <c r="H314" s="59">
        <v>45089</v>
      </c>
      <c r="I314" s="59">
        <v>45090</v>
      </c>
      <c r="J314" s="59">
        <v>45085</v>
      </c>
      <c r="K314" s="59" t="s">
        <v>1411</v>
      </c>
      <c r="L314" s="104" t="s">
        <v>1412</v>
      </c>
      <c r="M314" s="70" t="s">
        <v>19</v>
      </c>
      <c r="N314" s="59"/>
      <c r="O314" s="85"/>
      <c r="P314" s="59" t="s">
        <v>19</v>
      </c>
      <c r="Q314" s="84"/>
      <c r="R314" s="29"/>
      <c r="S314" s="29"/>
      <c r="T314" s="59"/>
      <c r="U314" s="29"/>
      <c r="V314" s="29"/>
      <c r="W314" s="29"/>
      <c r="X314" s="27"/>
      <c r="Y314" s="29" t="s">
        <v>30</v>
      </c>
      <c r="Z314" s="29" t="s">
        <v>42</v>
      </c>
      <c r="AA314" s="29" t="s">
        <v>22</v>
      </c>
      <c r="AB314" s="29" t="s">
        <v>1413</v>
      </c>
      <c r="AC314" s="59">
        <v>45085</v>
      </c>
      <c r="AD314" s="59">
        <v>45085</v>
      </c>
      <c r="AE314" s="59">
        <v>45086</v>
      </c>
      <c r="AF314" s="59">
        <v>45086</v>
      </c>
      <c r="AG314" s="59">
        <v>45089</v>
      </c>
      <c r="AH314" s="85">
        <v>45090</v>
      </c>
      <c r="AI314" s="29" t="s">
        <v>30</v>
      </c>
      <c r="AJ314" s="139">
        <v>45091</v>
      </c>
      <c r="AK314" s="85">
        <v>45093</v>
      </c>
      <c r="AL314" s="102"/>
      <c r="AM314" s="41" t="str">
        <f>VLOOKUP(Table2[[#This Row],[country]],Countrycode!A:B,2,FALSE)</f>
        <v>BRA</v>
      </c>
      <c r="AN314" s="34">
        <f>IF(ISBLANK(Table2[[#This Row],[Need_RRA]]), 2,(IF(Table2[[#This Row],[Need_RRA]]="No", 0, (IF(AND(Table2[[#This Row],[Need_RRA]]="Yes",  Table2[[#This Row],[RRA_pub_date]]=""),1, 0)))))</f>
        <v>0</v>
      </c>
      <c r="AO314" s="34">
        <f>IF(ISBLANK(Table2[[#This Row],[Need_EIS]]), 2,(IF(Table2[[#This Row],[Need_EIS]]="No", 0, (IF(AND(Table2[[#This Row],[Need_EIS]]="Yes",  Table2[[#This Row],[EIS_pub_date]]=""),1, 0)))))</f>
        <v>0</v>
      </c>
      <c r="AP314" s="34">
        <f>IF(ISBLANK(Table2[[#This Row],[Need_DON]]), 2,(IF(Table2[[#This Row],[Need_DON]]="No", 0, (IF(AND(Table2[[#This Row],[Need_DON]]="Yes",  Table2[[#This Row],[DON_pub_date]]=""),1, 0)))))</f>
        <v>0</v>
      </c>
      <c r="AQ314" s="34">
        <f>IF(ISBLANK(Table2[[#This Row],[Pending_question]]), 2,(IF(Table2[[#This Row],[Pending_question]]="Yes", 1, 0)))</f>
        <v>0</v>
      </c>
      <c r="AR314" s="43"/>
    </row>
    <row r="315" spans="1:44" ht="15" customHeight="1">
      <c r="A315" s="63">
        <v>45089</v>
      </c>
      <c r="B315" s="29" t="s">
        <v>15</v>
      </c>
      <c r="C315" s="34" t="str" cm="1">
        <f t="array" ref="C31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15" s="27" t="s">
        <v>1248</v>
      </c>
      <c r="E315" s="67" t="s">
        <v>110</v>
      </c>
      <c r="F315" s="29" t="s">
        <v>173</v>
      </c>
      <c r="G315" s="29" t="s">
        <v>34</v>
      </c>
      <c r="H315" s="59">
        <v>45089</v>
      </c>
      <c r="I315" s="59">
        <v>45091</v>
      </c>
      <c r="J315" s="59">
        <v>44960</v>
      </c>
      <c r="K315" s="59" t="s">
        <v>1326</v>
      </c>
      <c r="L315" s="104" t="s">
        <v>1287</v>
      </c>
      <c r="M315" s="70" t="s">
        <v>19</v>
      </c>
      <c r="N315" s="59"/>
      <c r="O315" s="85"/>
      <c r="P315" s="59" t="s">
        <v>19</v>
      </c>
      <c r="Q315" s="84"/>
      <c r="R315" s="29"/>
      <c r="S315" s="29"/>
      <c r="T315" s="59"/>
      <c r="U315" s="29"/>
      <c r="V315" s="29"/>
      <c r="W315" s="29"/>
      <c r="X315" s="27"/>
      <c r="Y315" s="29" t="s">
        <v>30</v>
      </c>
      <c r="Z315" s="29" t="s">
        <v>42</v>
      </c>
      <c r="AA315" s="29" t="s">
        <v>22</v>
      </c>
      <c r="AB315" s="29" t="s">
        <v>1414</v>
      </c>
      <c r="AC315" s="59">
        <v>45086</v>
      </c>
      <c r="AD315" s="59">
        <v>45089</v>
      </c>
      <c r="AE315" s="59">
        <v>45090</v>
      </c>
      <c r="AF315" s="59">
        <v>45091</v>
      </c>
      <c r="AG315" s="29"/>
      <c r="AH315" s="85">
        <v>45093</v>
      </c>
      <c r="AI315" s="29" t="s">
        <v>19</v>
      </c>
      <c r="AJ315" s="139"/>
      <c r="AK315" s="27"/>
      <c r="AL315" s="102"/>
      <c r="AM315" s="41" t="str">
        <f>VLOOKUP(Table2[[#This Row],[country]],Countrycode!A:B,2,FALSE)</f>
        <v>CHN</v>
      </c>
      <c r="AN315" s="34">
        <f>IF(ISBLANK(Table2[[#This Row],[Need_RRA]]), 2,(IF(Table2[[#This Row],[Need_RRA]]="No", 0, (IF(AND(Table2[[#This Row],[Need_RRA]]="Yes",  Table2[[#This Row],[RRA_pub_date]]=""),1, 0)))))</f>
        <v>0</v>
      </c>
      <c r="AO315" s="34">
        <f>IF(ISBLANK(Table2[[#This Row],[Need_EIS]]), 2,(IF(Table2[[#This Row],[Need_EIS]]="No", 0, (IF(AND(Table2[[#This Row],[Need_EIS]]="Yes",  Table2[[#This Row],[EIS_pub_date]]=""),1, 0)))))</f>
        <v>0</v>
      </c>
      <c r="AP315" s="34">
        <f>IF(ISBLANK(Table2[[#This Row],[Need_DON]]), 2,(IF(Table2[[#This Row],[Need_DON]]="No", 0, (IF(AND(Table2[[#This Row],[Need_DON]]="Yes",  Table2[[#This Row],[DON_pub_date]]=""),1, 0)))))</f>
        <v>0</v>
      </c>
      <c r="AQ315" s="34">
        <f>IF(ISBLANK(Table2[[#This Row],[Pending_question]]), 2,(IF(Table2[[#This Row],[Pending_question]]="Yes", 1, 0)))</f>
        <v>0</v>
      </c>
      <c r="AR315" s="43"/>
    </row>
    <row r="316" spans="1:44" ht="15" customHeight="1">
      <c r="A316" s="63">
        <v>45093</v>
      </c>
      <c r="B316" s="29" t="s">
        <v>15</v>
      </c>
      <c r="C316" s="34" t="str" cm="1">
        <f t="array" ref="C31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16" s="27" t="s">
        <v>1415</v>
      </c>
      <c r="E316" s="67" t="s">
        <v>142</v>
      </c>
      <c r="F316" s="29" t="s">
        <v>39</v>
      </c>
      <c r="G316" s="29" t="s">
        <v>746</v>
      </c>
      <c r="H316" s="29"/>
      <c r="I316" s="59"/>
      <c r="J316" s="59" t="s">
        <v>709</v>
      </c>
      <c r="K316" s="59"/>
      <c r="L316" s="104"/>
      <c r="M316" s="70" t="s">
        <v>19</v>
      </c>
      <c r="N316" s="59"/>
      <c r="O316" s="85"/>
      <c r="P316" s="59" t="s">
        <v>19</v>
      </c>
      <c r="Q316" s="84"/>
      <c r="R316" s="29"/>
      <c r="S316" s="29"/>
      <c r="T316" s="59"/>
      <c r="U316" s="29"/>
      <c r="V316" s="29"/>
      <c r="W316" s="29"/>
      <c r="X316" s="27"/>
      <c r="Y316" s="29" t="s">
        <v>30</v>
      </c>
      <c r="Z316" s="29" t="s">
        <v>33</v>
      </c>
      <c r="AA316" s="29" t="s">
        <v>43</v>
      </c>
      <c r="AB316" s="29" t="s">
        <v>1416</v>
      </c>
      <c r="AC316" s="150">
        <v>45093</v>
      </c>
      <c r="AD316" s="59">
        <v>45098</v>
      </c>
      <c r="AE316" s="150">
        <v>45098</v>
      </c>
      <c r="AF316" s="150" t="s">
        <v>1417</v>
      </c>
      <c r="AG316" s="29" t="s">
        <v>1417</v>
      </c>
      <c r="AH316" s="190">
        <v>45105</v>
      </c>
      <c r="AI316" s="29" t="s">
        <v>30</v>
      </c>
      <c r="AJ316" s="139">
        <v>45105</v>
      </c>
      <c r="AK316" s="85">
        <v>45114</v>
      </c>
      <c r="AL316" s="102"/>
      <c r="AM316" s="41" t="str">
        <f>VLOOKUP(Table2[[#This Row],[country]],Countrycode!A:B,2,FALSE)</f>
        <v>MLX</v>
      </c>
      <c r="AN316" s="34">
        <f>IF(ISBLANK(Table2[[#This Row],[Need_RRA]]), 2,(IF(Table2[[#This Row],[Need_RRA]]="No", 0, (IF(AND(Table2[[#This Row],[Need_RRA]]="Yes",  Table2[[#This Row],[RRA_pub_date]]=""),1, 0)))))</f>
        <v>0</v>
      </c>
      <c r="AO316" s="34">
        <f>IF(ISBLANK(Table2[[#This Row],[Need_EIS]]), 2,(IF(Table2[[#This Row],[Need_EIS]]="No", 0, (IF(AND(Table2[[#This Row],[Need_EIS]]="Yes",  Table2[[#This Row],[EIS_pub_date]]=""),1, 0)))))</f>
        <v>0</v>
      </c>
      <c r="AP316" s="34">
        <f>IF(ISBLANK(Table2[[#This Row],[Need_DON]]), 2,(IF(Table2[[#This Row],[Need_DON]]="No", 0, (IF(AND(Table2[[#This Row],[Need_DON]]="Yes",  Table2[[#This Row],[DON_pub_date]]=""),1, 0)))))</f>
        <v>0</v>
      </c>
      <c r="AQ316" s="34">
        <f>IF(ISBLANK(Table2[[#This Row],[Pending_question]]), 2,(IF(Table2[[#This Row],[Pending_question]]="Yes", 1, 0)))</f>
        <v>0</v>
      </c>
      <c r="AR316" s="43"/>
    </row>
    <row r="317" spans="1:44" ht="15" customHeight="1">
      <c r="A317" s="63">
        <v>45110</v>
      </c>
      <c r="B317" s="29" t="s">
        <v>15</v>
      </c>
      <c r="C317" s="34" t="str" cm="1">
        <f t="array" ref="C31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17" s="27" t="s">
        <v>1352</v>
      </c>
      <c r="E317" s="67" t="s">
        <v>1145</v>
      </c>
      <c r="F317" s="29" t="s">
        <v>400</v>
      </c>
      <c r="G317" s="29" t="s">
        <v>34</v>
      </c>
      <c r="H317" s="59">
        <v>45110</v>
      </c>
      <c r="I317" s="59">
        <v>45105</v>
      </c>
      <c r="J317" s="59">
        <v>45106</v>
      </c>
      <c r="K317" s="59" t="s">
        <v>1418</v>
      </c>
      <c r="L317" s="104" t="s">
        <v>1419</v>
      </c>
      <c r="M317" s="70" t="s">
        <v>19</v>
      </c>
      <c r="N317" s="59"/>
      <c r="O317" s="85"/>
      <c r="P317" s="59" t="s">
        <v>19</v>
      </c>
      <c r="Q317" s="84"/>
      <c r="R317" s="29"/>
      <c r="S317" s="29"/>
      <c r="T317" s="59"/>
      <c r="U317" s="29"/>
      <c r="V317" s="29"/>
      <c r="W317" s="29"/>
      <c r="X317" s="27"/>
      <c r="Y317" s="29" t="s">
        <v>30</v>
      </c>
      <c r="Z317" s="29" t="s">
        <v>42</v>
      </c>
      <c r="AA317" s="29" t="s">
        <v>22</v>
      </c>
      <c r="AB317" s="29" t="s">
        <v>1420</v>
      </c>
      <c r="AC317" s="59">
        <v>45100</v>
      </c>
      <c r="AD317" s="59">
        <v>45105</v>
      </c>
      <c r="AE317" s="59">
        <v>45106</v>
      </c>
      <c r="AF317" s="59">
        <v>45108</v>
      </c>
      <c r="AG317" s="150">
        <v>45111</v>
      </c>
      <c r="AH317" s="85">
        <v>45112</v>
      </c>
      <c r="AI317" s="29" t="s">
        <v>19</v>
      </c>
      <c r="AJ317" s="139"/>
      <c r="AK317" s="27"/>
      <c r="AL317" s="102"/>
      <c r="AM317" s="41" t="str">
        <f>VLOOKUP(Table2[[#This Row],[country]],Countrycode!A:B,2,FALSE)</f>
        <v>GBR</v>
      </c>
      <c r="AN317" s="34">
        <f>IF(ISBLANK(Table2[[#This Row],[Need_RRA]]), 2,(IF(Table2[[#This Row],[Need_RRA]]="No", 0, (IF(AND(Table2[[#This Row],[Need_RRA]]="Yes",  Table2[[#This Row],[RRA_pub_date]]=""),1, 0)))))</f>
        <v>0</v>
      </c>
      <c r="AO317" s="34">
        <f>IF(ISBLANK(Table2[[#This Row],[Need_EIS]]), 2,(IF(Table2[[#This Row],[Need_EIS]]="No", 0, (IF(AND(Table2[[#This Row],[Need_EIS]]="Yes",  Table2[[#This Row],[EIS_pub_date]]=""),1, 0)))))</f>
        <v>0</v>
      </c>
      <c r="AP317" s="34">
        <f>IF(ISBLANK(Table2[[#This Row],[Need_DON]]), 2,(IF(Table2[[#This Row],[Need_DON]]="No", 0, (IF(AND(Table2[[#This Row],[Need_DON]]="Yes",  Table2[[#This Row],[DON_pub_date]]=""),1, 0)))))</f>
        <v>0</v>
      </c>
      <c r="AQ317" s="34">
        <f>IF(ISBLANK(Table2[[#This Row],[Pending_question]]), 2,(IF(Table2[[#This Row],[Pending_question]]="Yes", 1, 0)))</f>
        <v>0</v>
      </c>
      <c r="AR317" s="43"/>
    </row>
    <row r="318" spans="1:44" ht="15" customHeight="1">
      <c r="A318" s="63">
        <v>45115</v>
      </c>
      <c r="B318" s="29" t="s">
        <v>15</v>
      </c>
      <c r="C318" s="34" t="str" cm="1">
        <f t="array" ref="C31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18" s="27" t="s">
        <v>1421</v>
      </c>
      <c r="E318" s="67" t="s">
        <v>667</v>
      </c>
      <c r="F318" s="29" t="s">
        <v>208</v>
      </c>
      <c r="G318" s="29" t="s">
        <v>34</v>
      </c>
      <c r="H318" s="29"/>
      <c r="I318" s="59"/>
      <c r="J318" s="59">
        <v>45115</v>
      </c>
      <c r="K318" s="59" t="s">
        <v>1422</v>
      </c>
      <c r="L318" s="104" t="s">
        <v>1423</v>
      </c>
      <c r="M318" s="70" t="s">
        <v>19</v>
      </c>
      <c r="N318" s="59"/>
      <c r="O318" s="85"/>
      <c r="P318" s="59" t="s">
        <v>19</v>
      </c>
      <c r="Q318" s="84"/>
      <c r="R318" s="29"/>
      <c r="S318" s="29"/>
      <c r="T318" s="59"/>
      <c r="U318" s="29"/>
      <c r="V318" s="29"/>
      <c r="W318" s="29"/>
      <c r="X318" s="27"/>
      <c r="Y318" s="29" t="s">
        <v>30</v>
      </c>
      <c r="Z318" s="29" t="s">
        <v>42</v>
      </c>
      <c r="AA318" s="29" t="s">
        <v>43</v>
      </c>
      <c r="AB318" s="29" t="s">
        <v>1424</v>
      </c>
      <c r="AC318" s="59">
        <v>45219</v>
      </c>
      <c r="AD318" s="59">
        <v>45223</v>
      </c>
      <c r="AE318" s="59">
        <v>45227</v>
      </c>
      <c r="AF318" s="59">
        <v>45229</v>
      </c>
      <c r="AG318" s="59">
        <v>45231</v>
      </c>
      <c r="AH318" s="85">
        <v>45240</v>
      </c>
      <c r="AI318" s="29" t="s">
        <v>30</v>
      </c>
      <c r="AJ318" s="139">
        <v>45240</v>
      </c>
      <c r="AK318" s="85">
        <v>45253</v>
      </c>
      <c r="AL318" s="102"/>
      <c r="AM318" s="41" t="str">
        <f>VLOOKUP(Table2[[#This Row],[country]],Countrycode!A:B,2,FALSE)</f>
        <v>COD</v>
      </c>
      <c r="AN318" s="34">
        <f>IF(ISBLANK(Table2[[#This Row],[Need_RRA]]), 2,(IF(Table2[[#This Row],[Need_RRA]]="No", 0, (IF(AND(Table2[[#This Row],[Need_RRA]]="Yes",  Table2[[#This Row],[RRA_pub_date]]=""),1, 0)))))</f>
        <v>0</v>
      </c>
      <c r="AO318" s="34">
        <f>IF(ISBLANK(Table2[[#This Row],[Need_EIS]]), 2,(IF(Table2[[#This Row],[Need_EIS]]="No", 0, (IF(AND(Table2[[#This Row],[Need_EIS]]="Yes",  Table2[[#This Row],[EIS_pub_date]]=""),1, 0)))))</f>
        <v>0</v>
      </c>
      <c r="AP318" s="34">
        <f>IF(ISBLANK(Table2[[#This Row],[Need_DON]]), 2,(IF(Table2[[#This Row],[Need_DON]]="No", 0, (IF(AND(Table2[[#This Row],[Need_DON]]="Yes",  Table2[[#This Row],[DON_pub_date]]=""),1, 0)))))</f>
        <v>0</v>
      </c>
      <c r="AQ318" s="34">
        <f>IF(ISBLANK(Table2[[#This Row],[Pending_question]]), 2,(IF(Table2[[#This Row],[Pending_question]]="Yes", 1, 0)))</f>
        <v>0</v>
      </c>
      <c r="AR318" s="43"/>
    </row>
    <row r="319" spans="1:44" ht="15" customHeight="1">
      <c r="A319" s="63">
        <v>45117</v>
      </c>
      <c r="B319" s="29" t="s">
        <v>15</v>
      </c>
      <c r="C319" s="34" t="str" cm="1">
        <f t="array" ref="C31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19" s="27" t="s">
        <v>1425</v>
      </c>
      <c r="E319" s="67" t="s">
        <v>136</v>
      </c>
      <c r="F319" s="29" t="s">
        <v>39</v>
      </c>
      <c r="G319" s="29" t="s">
        <v>1082</v>
      </c>
      <c r="H319" s="59">
        <v>45117</v>
      </c>
      <c r="I319" s="59"/>
      <c r="J319" s="59"/>
      <c r="K319" s="63"/>
      <c r="L319" s="104"/>
      <c r="M319" s="70" t="s">
        <v>19</v>
      </c>
      <c r="N319" s="59"/>
      <c r="O319" s="85"/>
      <c r="P319" s="59" t="s">
        <v>19</v>
      </c>
      <c r="Q319" s="84"/>
      <c r="R319" s="29"/>
      <c r="S319" s="29"/>
      <c r="T319" s="59"/>
      <c r="U319" s="29"/>
      <c r="V319" s="29"/>
      <c r="W319" s="29"/>
      <c r="X319" s="27"/>
      <c r="Y319" s="29" t="s">
        <v>30</v>
      </c>
      <c r="Z319" s="29" t="s">
        <v>33</v>
      </c>
      <c r="AA319" s="29" t="s">
        <v>22</v>
      </c>
      <c r="AB319" s="29" t="s">
        <v>1426</v>
      </c>
      <c r="AC319" s="59">
        <v>45107</v>
      </c>
      <c r="AD319" s="59">
        <v>45115</v>
      </c>
      <c r="AE319" s="59">
        <v>45117</v>
      </c>
      <c r="AF319" s="59">
        <v>45118</v>
      </c>
      <c r="AG319" s="59">
        <v>45119</v>
      </c>
      <c r="AH319" s="85">
        <v>45120</v>
      </c>
      <c r="AI319" s="29" t="s">
        <v>30</v>
      </c>
      <c r="AJ319" s="139">
        <v>45121</v>
      </c>
      <c r="AK319" s="85">
        <v>45126</v>
      </c>
      <c r="AL319" s="102"/>
      <c r="AM319" s="41" t="str">
        <f>VLOOKUP(Table2[[#This Row],[country]],Countrycode!A:B,2,FALSE)</f>
        <v>MLX</v>
      </c>
      <c r="AN319" s="34">
        <f>IF(ISBLANK(Table2[[#This Row],[Need_RRA]]), 2,(IF(Table2[[#This Row],[Need_RRA]]="No", 0, (IF(AND(Table2[[#This Row],[Need_RRA]]="Yes",  Table2[[#This Row],[RRA_pub_date]]=""),1, 0)))))</f>
        <v>0</v>
      </c>
      <c r="AO319" s="34">
        <f>IF(ISBLANK(Table2[[#This Row],[Need_EIS]]), 2,(IF(Table2[[#This Row],[Need_EIS]]="No", 0, (IF(AND(Table2[[#This Row],[Need_EIS]]="Yes",  Table2[[#This Row],[EIS_pub_date]]=""),1, 0)))))</f>
        <v>0</v>
      </c>
      <c r="AP319" s="34">
        <f>IF(ISBLANK(Table2[[#This Row],[Need_DON]]), 2,(IF(Table2[[#This Row],[Need_DON]]="No", 0, (IF(AND(Table2[[#This Row],[Need_DON]]="Yes",  Table2[[#This Row],[DON_pub_date]]=""),1, 0)))))</f>
        <v>0</v>
      </c>
      <c r="AQ319" s="34">
        <f>IF(ISBLANK(Table2[[#This Row],[Pending_question]]), 2,(IF(Table2[[#This Row],[Pending_question]]="Yes", 1, 0)))</f>
        <v>0</v>
      </c>
      <c r="AR319" s="43"/>
    </row>
    <row r="320" spans="1:44" ht="15" customHeight="1">
      <c r="A320" s="63">
        <v>45117</v>
      </c>
      <c r="B320" s="29" t="s">
        <v>15</v>
      </c>
      <c r="C320" s="34" t="str" cm="1">
        <f t="array" ref="C32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20" s="27" t="s">
        <v>1427</v>
      </c>
      <c r="E320" s="67" t="s">
        <v>180</v>
      </c>
      <c r="F320" s="29" t="s">
        <v>399</v>
      </c>
      <c r="G320" s="29" t="s">
        <v>34</v>
      </c>
      <c r="H320" s="29"/>
      <c r="I320" s="59"/>
      <c r="J320" s="59">
        <v>45117</v>
      </c>
      <c r="K320" s="59" t="s">
        <v>1428</v>
      </c>
      <c r="L320" s="104" t="s">
        <v>1429</v>
      </c>
      <c r="M320" s="70" t="s">
        <v>19</v>
      </c>
      <c r="N320" s="59"/>
      <c r="O320" s="85"/>
      <c r="P320" s="59" t="s">
        <v>19</v>
      </c>
      <c r="Q320" s="84"/>
      <c r="R320" s="29"/>
      <c r="S320" s="29"/>
      <c r="T320" s="59"/>
      <c r="U320" s="29"/>
      <c r="V320" s="29"/>
      <c r="W320" s="29"/>
      <c r="X320" s="27"/>
      <c r="Y320" s="29" t="s">
        <v>30</v>
      </c>
      <c r="Z320" s="29" t="s">
        <v>42</v>
      </c>
      <c r="AA320" s="29" t="s">
        <v>22</v>
      </c>
      <c r="AB320" s="29" t="s">
        <v>1430</v>
      </c>
      <c r="AC320" s="59">
        <v>45117</v>
      </c>
      <c r="AD320" s="59">
        <v>45118</v>
      </c>
      <c r="AE320" s="59">
        <v>45119</v>
      </c>
      <c r="AF320" s="59">
        <v>45120</v>
      </c>
      <c r="AG320" s="59">
        <v>45123</v>
      </c>
      <c r="AH320" s="85">
        <v>45124</v>
      </c>
      <c r="AI320" s="29" t="s">
        <v>30</v>
      </c>
      <c r="AJ320" s="139">
        <v>45125</v>
      </c>
      <c r="AK320" s="85">
        <v>45131</v>
      </c>
      <c r="AL320" s="102"/>
      <c r="AM320" s="41" t="str">
        <f>VLOOKUP(Table2[[#This Row],[country]],Countrycode!A:B,2,FALSE)</f>
        <v>ARE</v>
      </c>
      <c r="AN320" s="34">
        <f>IF(ISBLANK(Table2[[#This Row],[Need_RRA]]), 2,(IF(Table2[[#This Row],[Need_RRA]]="No", 0, (IF(AND(Table2[[#This Row],[Need_RRA]]="Yes",  Table2[[#This Row],[RRA_pub_date]]=""),1, 0)))))</f>
        <v>0</v>
      </c>
      <c r="AO320" s="41">
        <f>IF(ISBLANK(Table2[[#This Row],[Need_EIS]]), 2,(IF(Table2[[#This Row],[Need_EIS]]="No", 0, (IF(AND(Table2[[#This Row],[Need_EIS]]="Yes",  Table2[[#This Row],[EIS_pub_date]]=""),1, 0)))))</f>
        <v>0</v>
      </c>
      <c r="AP320" s="41">
        <f>IF(ISBLANK(Table2[[#This Row],[Need_DON]]), 2,(IF(Table2[[#This Row],[Need_DON]]="No", 0, (IF(AND(Table2[[#This Row],[Need_DON]]="Yes",  Table2[[#This Row],[DON_pub_date]]=""),1, 0)))))</f>
        <v>0</v>
      </c>
      <c r="AQ320" s="34">
        <f>IF(ISBLANK(Table2[[#This Row],[Pending_question]]), 2,(IF(Table2[[#This Row],[Pending_question]]="Yes", 1, 0)))</f>
        <v>0</v>
      </c>
      <c r="AR320" s="43"/>
    </row>
    <row r="321" spans="1:44" ht="15" customHeight="1">
      <c r="A321" s="63">
        <v>45118</v>
      </c>
      <c r="B321" s="29" t="s">
        <v>15</v>
      </c>
      <c r="C321" s="34" t="str" cm="1">
        <f t="array" ref="C32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21" s="27" t="s">
        <v>1311</v>
      </c>
      <c r="E321" s="67" t="s">
        <v>99</v>
      </c>
      <c r="F321" s="29" t="s">
        <v>343</v>
      </c>
      <c r="G321" s="29" t="s">
        <v>34</v>
      </c>
      <c r="H321" s="59">
        <v>45118</v>
      </c>
      <c r="I321" s="59">
        <v>45120</v>
      </c>
      <c r="J321" s="59">
        <v>45107</v>
      </c>
      <c r="K321" s="59" t="s">
        <v>1431</v>
      </c>
      <c r="L321" s="104" t="s">
        <v>1432</v>
      </c>
      <c r="M321" s="70" t="s">
        <v>19</v>
      </c>
      <c r="N321" s="59"/>
      <c r="O321" s="85"/>
      <c r="P321" s="59" t="s">
        <v>30</v>
      </c>
      <c r="Q321" s="84">
        <v>1</v>
      </c>
      <c r="R321" s="29" t="s">
        <v>1433</v>
      </c>
      <c r="S321" s="150">
        <v>45103</v>
      </c>
      <c r="T321" s="59">
        <v>45104</v>
      </c>
      <c r="U321" s="59">
        <v>45116</v>
      </c>
      <c r="V321" s="29" t="s">
        <v>51</v>
      </c>
      <c r="W321" s="29" t="s">
        <v>51</v>
      </c>
      <c r="X321" s="27" t="s">
        <v>51</v>
      </c>
      <c r="Y321" s="29" t="s">
        <v>30</v>
      </c>
      <c r="Z321" s="29" t="s">
        <v>33</v>
      </c>
      <c r="AA321" s="29" t="s">
        <v>43</v>
      </c>
      <c r="AB321" s="29" t="s">
        <v>1434</v>
      </c>
      <c r="AC321" s="59">
        <v>45116</v>
      </c>
      <c r="AD321" s="59">
        <v>45116</v>
      </c>
      <c r="AE321" s="59">
        <v>45117</v>
      </c>
      <c r="AF321" s="59">
        <v>45118</v>
      </c>
      <c r="AG321" s="59">
        <v>45121</v>
      </c>
      <c r="AH321" s="85">
        <v>45121</v>
      </c>
      <c r="AI321" s="29" t="s">
        <v>30</v>
      </c>
      <c r="AJ321" s="139">
        <v>45121</v>
      </c>
      <c r="AK321" s="139">
        <v>45123</v>
      </c>
      <c r="AL321" s="102"/>
      <c r="AM321" s="41" t="str">
        <f>VLOOKUP(Table2[[#This Row],[country]],Countrycode!A:B,2,FALSE)</f>
        <v>POL</v>
      </c>
      <c r="AN321" s="34">
        <f>IF(ISBLANK(Table2[[#This Row],[Need_RRA]]), 2,(IF(Table2[[#This Row],[Need_RRA]]="No", 0, (IF(AND(Table2[[#This Row],[Need_RRA]]="Yes",  Table2[[#This Row],[RRA_pub_date]]=""),1, 0)))))</f>
        <v>0</v>
      </c>
      <c r="AO321" s="34">
        <f>IF(ISBLANK(Table2[[#This Row],[Need_EIS]]), 2,(IF(Table2[[#This Row],[Need_EIS]]="No", 0, (IF(AND(Table2[[#This Row],[Need_EIS]]="Yes",  Table2[[#This Row],[EIS_pub_date]]=""),1, 0)))))</f>
        <v>0</v>
      </c>
      <c r="AP321" s="34">
        <f>IF(ISBLANK(Table2[[#This Row],[Need_DON]]), 2,(IF(Table2[[#This Row],[Need_DON]]="No", 0, (IF(AND(Table2[[#This Row],[Need_DON]]="Yes",  Table2[[#This Row],[DON_pub_date]]=""),1, 0)))))</f>
        <v>0</v>
      </c>
      <c r="AQ321" s="34">
        <f>IF(ISBLANK(Table2[[#This Row],[Pending_question]]), 2,(IF(Table2[[#This Row],[Pending_question]]="Yes", 1, 0)))</f>
        <v>0</v>
      </c>
      <c r="AR321" s="43"/>
    </row>
    <row r="322" spans="1:44" ht="15" customHeight="1">
      <c r="A322" s="63">
        <v>45119</v>
      </c>
      <c r="B322" s="29" t="s">
        <v>15</v>
      </c>
      <c r="C322" s="34" t="str" cm="1">
        <f t="array" ref="C32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22" s="27" t="s">
        <v>1191</v>
      </c>
      <c r="E322" s="67" t="s">
        <v>194</v>
      </c>
      <c r="F322" s="29" t="s">
        <v>287</v>
      </c>
      <c r="G322" s="29" t="s">
        <v>34</v>
      </c>
      <c r="H322" s="59">
        <v>45119</v>
      </c>
      <c r="I322" s="59">
        <v>45119</v>
      </c>
      <c r="J322" s="59">
        <v>45127</v>
      </c>
      <c r="K322" s="59" t="s">
        <v>1435</v>
      </c>
      <c r="L322" s="104" t="s">
        <v>1436</v>
      </c>
      <c r="M322" s="70" t="s">
        <v>19</v>
      </c>
      <c r="N322" s="59"/>
      <c r="O322" s="85"/>
      <c r="P322" s="59" t="s">
        <v>19</v>
      </c>
      <c r="Q322" s="84"/>
      <c r="R322" s="29"/>
      <c r="S322" s="29"/>
      <c r="T322" s="59"/>
      <c r="U322" s="29"/>
      <c r="V322" s="29"/>
      <c r="W322" s="29"/>
      <c r="X322" s="27"/>
      <c r="Y322" s="29" t="s">
        <v>30</v>
      </c>
      <c r="Z322" s="29" t="s">
        <v>42</v>
      </c>
      <c r="AA322" s="29" t="s">
        <v>43</v>
      </c>
      <c r="AB322" s="29" t="s">
        <v>1437</v>
      </c>
      <c r="AC322" s="59">
        <v>45119</v>
      </c>
      <c r="AD322" s="59">
        <v>45119</v>
      </c>
      <c r="AE322" s="59">
        <v>45121</v>
      </c>
      <c r="AF322" s="59">
        <v>45121</v>
      </c>
      <c r="AG322" s="29"/>
      <c r="AH322" s="85">
        <v>45128</v>
      </c>
      <c r="AI322" s="29" t="s">
        <v>30</v>
      </c>
      <c r="AJ322" s="139">
        <v>45131</v>
      </c>
      <c r="AK322" s="85">
        <v>45135</v>
      </c>
      <c r="AL322" s="102"/>
      <c r="AM322" s="41" t="str">
        <f>VLOOKUP(Table2[[#This Row],[country]],Countrycode!A:B,2,FALSE)</f>
        <v>KEN</v>
      </c>
      <c r="AN322" s="34">
        <f>IF(ISBLANK(Table2[[#This Row],[Need_RRA]]), 2,(IF(Table2[[#This Row],[Need_RRA]]="No", 0, (IF(AND(Table2[[#This Row],[Need_RRA]]="Yes",  Table2[[#This Row],[RRA_pub_date]]=""),1, 0)))))</f>
        <v>0</v>
      </c>
      <c r="AO322" s="34">
        <f>IF(ISBLANK(Table2[[#This Row],[Need_EIS]]), 2,(IF(Table2[[#This Row],[Need_EIS]]="No", 0, (IF(AND(Table2[[#This Row],[Need_EIS]]="Yes",  Table2[[#This Row],[EIS_pub_date]]=""),1, 0)))))</f>
        <v>0</v>
      </c>
      <c r="AP322" s="34">
        <f>IF(ISBLANK(Table2[[#This Row],[Need_DON]]), 2,(IF(Table2[[#This Row],[Need_DON]]="No", 0, (IF(AND(Table2[[#This Row],[Need_DON]]="Yes",  Table2[[#This Row],[DON_pub_date]]=""),1, 0)))))</f>
        <v>0</v>
      </c>
      <c r="AQ322" s="34">
        <f>IF(ISBLANK(Table2[[#This Row],[Pending_question]]), 2,(IF(Table2[[#This Row],[Pending_question]]="Yes", 1, 0)))</f>
        <v>0</v>
      </c>
      <c r="AR322" s="43"/>
    </row>
    <row r="323" spans="1:44" ht="15" customHeight="1">
      <c r="A323" s="63">
        <v>45119</v>
      </c>
      <c r="B323" s="29" t="s">
        <v>15</v>
      </c>
      <c r="C323" s="34" t="str" cm="1">
        <f t="array" ref="C32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23" s="27" t="s">
        <v>635</v>
      </c>
      <c r="E323" s="67" t="s">
        <v>146</v>
      </c>
      <c r="F323" s="29" t="s">
        <v>340</v>
      </c>
      <c r="G323" s="29" t="s">
        <v>34</v>
      </c>
      <c r="H323" s="59">
        <v>45119</v>
      </c>
      <c r="I323" s="59"/>
      <c r="J323" s="59">
        <v>45104</v>
      </c>
      <c r="K323" s="167" t="s">
        <v>1438</v>
      </c>
      <c r="L323" s="104"/>
      <c r="M323" s="70" t="s">
        <v>19</v>
      </c>
      <c r="N323" s="59"/>
      <c r="O323" s="85"/>
      <c r="P323" s="59" t="s">
        <v>19</v>
      </c>
      <c r="Q323" s="84"/>
      <c r="R323" s="29"/>
      <c r="S323" s="29"/>
      <c r="T323" s="59"/>
      <c r="U323" s="29"/>
      <c r="V323" s="29"/>
      <c r="W323" s="29"/>
      <c r="X323" s="27"/>
      <c r="Y323" s="29" t="s">
        <v>30</v>
      </c>
      <c r="Z323" s="29" t="s">
        <v>42</v>
      </c>
      <c r="AA323" s="29" t="s">
        <v>22</v>
      </c>
      <c r="AB323" s="29" t="s">
        <v>1439</v>
      </c>
      <c r="AC323" s="59">
        <v>45121</v>
      </c>
      <c r="AD323" s="59">
        <v>45121</v>
      </c>
      <c r="AE323" s="59">
        <v>45121</v>
      </c>
      <c r="AF323" s="59">
        <v>45121</v>
      </c>
      <c r="AG323" s="59">
        <v>45122</v>
      </c>
      <c r="AH323" s="85">
        <v>45123</v>
      </c>
      <c r="AI323" s="29" t="s">
        <v>30</v>
      </c>
      <c r="AJ323" s="139">
        <v>45124</v>
      </c>
      <c r="AK323" s="85">
        <v>45132</v>
      </c>
      <c r="AL323" s="102"/>
      <c r="AM323" s="41" t="str">
        <f>VLOOKUP(Table2[[#This Row],[country]],Countrycode!A:B,2,FALSE)</f>
        <v>PER</v>
      </c>
      <c r="AN323" s="34">
        <f>IF(ISBLANK(Table2[[#This Row],[Need_RRA]]), 2,(IF(Table2[[#This Row],[Need_RRA]]="No", 0, (IF(AND(Table2[[#This Row],[Need_RRA]]="Yes",  Table2[[#This Row],[RRA_pub_date]]=""),1, 0)))))</f>
        <v>0</v>
      </c>
      <c r="AO323" s="34">
        <f>IF(ISBLANK(Table2[[#This Row],[Need_EIS]]), 2,(IF(Table2[[#This Row],[Need_EIS]]="No", 0, (IF(AND(Table2[[#This Row],[Need_EIS]]="Yes",  Table2[[#This Row],[EIS_pub_date]]=""),1, 0)))))</f>
        <v>0</v>
      </c>
      <c r="AP323" s="34">
        <f>IF(ISBLANK(Table2[[#This Row],[Need_DON]]), 2,(IF(Table2[[#This Row],[Need_DON]]="No", 0, (IF(AND(Table2[[#This Row],[Need_DON]]="Yes",  Table2[[#This Row],[DON_pub_date]]=""),1, 0)))))</f>
        <v>0</v>
      </c>
      <c r="AQ323" s="34">
        <f>IF(ISBLANK(Table2[[#This Row],[Pending_question]]), 2,(IF(Table2[[#This Row],[Pending_question]]="Yes", 1, 0)))</f>
        <v>0</v>
      </c>
      <c r="AR323" s="43"/>
    </row>
    <row r="324" spans="1:44" ht="15" customHeight="1">
      <c r="A324" s="63">
        <v>45120</v>
      </c>
      <c r="B324" s="29" t="s">
        <v>15</v>
      </c>
      <c r="C324" s="34" t="str" cm="1">
        <f t="array" ref="C32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24" s="27" t="s">
        <v>1440</v>
      </c>
      <c r="E324" s="67" t="s">
        <v>104</v>
      </c>
      <c r="F324" s="29" t="s">
        <v>173</v>
      </c>
      <c r="G324" s="29" t="s">
        <v>34</v>
      </c>
      <c r="H324" s="59">
        <v>45120</v>
      </c>
      <c r="I324" s="59">
        <v>45127</v>
      </c>
      <c r="J324" s="59">
        <v>45120</v>
      </c>
      <c r="K324" s="59" t="s">
        <v>636</v>
      </c>
      <c r="L324" s="104" t="s">
        <v>712</v>
      </c>
      <c r="M324" s="70" t="s">
        <v>19</v>
      </c>
      <c r="N324" s="59"/>
      <c r="O324" s="85"/>
      <c r="P324" s="59" t="s">
        <v>19</v>
      </c>
      <c r="Q324" s="84"/>
      <c r="R324" s="29"/>
      <c r="S324" s="29"/>
      <c r="T324" s="59"/>
      <c r="U324" s="29"/>
      <c r="V324" s="29"/>
      <c r="W324" s="29"/>
      <c r="X324" s="27"/>
      <c r="Y324" s="29" t="s">
        <v>30</v>
      </c>
      <c r="Z324" s="29" t="s">
        <v>21</v>
      </c>
      <c r="AA324" s="29" t="s">
        <v>22</v>
      </c>
      <c r="AB324" s="29" t="s">
        <v>1441</v>
      </c>
      <c r="AC324" s="59">
        <v>45121</v>
      </c>
      <c r="AD324" s="59">
        <v>45121</v>
      </c>
      <c r="AE324" s="59">
        <v>45121</v>
      </c>
      <c r="AF324" s="59">
        <v>45121</v>
      </c>
      <c r="AG324" s="29"/>
      <c r="AH324" s="85">
        <v>45127</v>
      </c>
      <c r="AI324" s="29" t="s">
        <v>19</v>
      </c>
      <c r="AJ324" s="139"/>
      <c r="AK324" s="27"/>
      <c r="AL324" s="102"/>
      <c r="AM324" s="41" t="str">
        <f>VLOOKUP(Table2[[#This Row],[country]],Countrycode!A:B,2,FALSE)</f>
        <v>CHN</v>
      </c>
      <c r="AN324" s="34">
        <f>IF(ISBLANK(Table2[[#This Row],[Need_RRA]]), 2,(IF(Table2[[#This Row],[Need_RRA]]="No", 0, (IF(AND(Table2[[#This Row],[Need_RRA]]="Yes",  Table2[[#This Row],[RRA_pub_date]]=""),1, 0)))))</f>
        <v>0</v>
      </c>
      <c r="AO324" s="34">
        <f>IF(ISBLANK(Table2[[#This Row],[Need_EIS]]), 2,(IF(Table2[[#This Row],[Need_EIS]]="No", 0, (IF(AND(Table2[[#This Row],[Need_EIS]]="Yes",  Table2[[#This Row],[EIS_pub_date]]=""),1, 0)))))</f>
        <v>0</v>
      </c>
      <c r="AP324" s="34">
        <f>IF(ISBLANK(Table2[[#This Row],[Need_DON]]), 2,(IF(Table2[[#This Row],[Need_DON]]="No", 0, (IF(AND(Table2[[#This Row],[Need_DON]]="Yes",  Table2[[#This Row],[DON_pub_date]]=""),1, 0)))))</f>
        <v>0</v>
      </c>
      <c r="AQ324" s="34">
        <f>IF(ISBLANK(Table2[[#This Row],[Pending_question]]), 2,(IF(Table2[[#This Row],[Pending_question]]="Yes", 1, 0)))</f>
        <v>0</v>
      </c>
      <c r="AR324" s="43"/>
    </row>
    <row r="325" spans="1:44" ht="15" customHeight="1">
      <c r="A325" s="63">
        <v>45124</v>
      </c>
      <c r="B325" s="29" t="s">
        <v>15</v>
      </c>
      <c r="C325" s="34" t="str" cm="1">
        <f t="array" ref="C32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25" s="27" t="s">
        <v>1440</v>
      </c>
      <c r="E325" s="67" t="s">
        <v>110</v>
      </c>
      <c r="F325" s="29" t="s">
        <v>173</v>
      </c>
      <c r="G325" s="29" t="s">
        <v>34</v>
      </c>
      <c r="H325" s="59">
        <v>45124</v>
      </c>
      <c r="I325" s="59">
        <v>45128</v>
      </c>
      <c r="J325" s="59">
        <v>44960</v>
      </c>
      <c r="K325" s="63" t="s">
        <v>1442</v>
      </c>
      <c r="L325" s="104" t="s">
        <v>1287</v>
      </c>
      <c r="M325" s="70" t="s">
        <v>19</v>
      </c>
      <c r="N325" s="59"/>
      <c r="O325" s="85"/>
      <c r="P325" s="59" t="s">
        <v>19</v>
      </c>
      <c r="Q325" s="84"/>
      <c r="R325" s="29"/>
      <c r="S325" s="29"/>
      <c r="T325" s="59"/>
      <c r="U325" s="29"/>
      <c r="V325" s="29"/>
      <c r="W325" s="29"/>
      <c r="X325" s="27"/>
      <c r="Y325" s="29" t="s">
        <v>30</v>
      </c>
      <c r="Z325" s="29" t="s">
        <v>21</v>
      </c>
      <c r="AA325" s="29" t="s">
        <v>22</v>
      </c>
      <c r="AB325" s="29" t="s">
        <v>1443</v>
      </c>
      <c r="AC325" s="59">
        <v>45124</v>
      </c>
      <c r="AD325" s="59">
        <v>45124</v>
      </c>
      <c r="AE325" s="59">
        <v>45125</v>
      </c>
      <c r="AF325" s="59">
        <v>45125</v>
      </c>
      <c r="AG325" s="59">
        <v>45132</v>
      </c>
      <c r="AH325" s="59">
        <v>45133</v>
      </c>
      <c r="AI325" s="29" t="s">
        <v>19</v>
      </c>
      <c r="AJ325" s="139"/>
      <c r="AK325" s="198"/>
      <c r="AL325" s="102"/>
      <c r="AM325" s="41" t="str">
        <f>VLOOKUP(Table2[[#This Row],[country]],Countrycode!A:B,2,FALSE)</f>
        <v>CHN</v>
      </c>
      <c r="AN325" s="34">
        <f>IF(ISBLANK(Table2[[#This Row],[Need_RRA]]), 2,(IF(Table2[[#This Row],[Need_RRA]]="No", 0, (IF(AND(Table2[[#This Row],[Need_RRA]]="Yes",  Table2[[#This Row],[RRA_pub_date]]=""),1, 0)))))</f>
        <v>0</v>
      </c>
      <c r="AO325" s="34">
        <f>IF(ISBLANK(Table2[[#This Row],[Need_EIS]]), 2,(IF(Table2[[#This Row],[Need_EIS]]="No", 0, (IF(AND(Table2[[#This Row],[Need_EIS]]="Yes",  Table2[[#This Row],[EIS_pub_date]]=""),1, 0)))))</f>
        <v>0</v>
      </c>
      <c r="AP325" s="34">
        <f>IF(ISBLANK(Table2[[#This Row],[Need_DON]]), 2,(IF(Table2[[#This Row],[Need_DON]]="No", 0, (IF(AND(Table2[[#This Row],[Need_DON]]="Yes",  Table2[[#This Row],[DON_pub_date]]=""),1, 0)))))</f>
        <v>0</v>
      </c>
      <c r="AQ325" s="34">
        <f>IF(ISBLANK(Table2[[#This Row],[Pending_question]]), 2,(IF(Table2[[#This Row],[Pending_question]]="Yes", 1, 0)))</f>
        <v>0</v>
      </c>
      <c r="AR325" s="43"/>
    </row>
    <row r="326" spans="1:44" ht="15" customHeight="1">
      <c r="A326" s="63">
        <v>45126</v>
      </c>
      <c r="B326" s="29" t="s">
        <v>15</v>
      </c>
      <c r="C326" s="34" t="str" cm="1">
        <f t="array" ref="C32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26" s="27" t="s">
        <v>1020</v>
      </c>
      <c r="E326" s="67" t="s">
        <v>667</v>
      </c>
      <c r="F326" s="29" t="s">
        <v>208</v>
      </c>
      <c r="G326" s="29" t="s">
        <v>34</v>
      </c>
      <c r="H326" s="59">
        <v>45126</v>
      </c>
      <c r="I326" s="59">
        <v>45134</v>
      </c>
      <c r="J326" s="59"/>
      <c r="K326" s="59" t="s">
        <v>1444</v>
      </c>
      <c r="L326" s="104"/>
      <c r="M326" s="70" t="s">
        <v>19</v>
      </c>
      <c r="N326" s="59"/>
      <c r="O326" s="85"/>
      <c r="P326" s="59" t="s">
        <v>19</v>
      </c>
      <c r="Q326" s="84"/>
      <c r="R326" s="29"/>
      <c r="S326" s="29"/>
      <c r="T326" s="59"/>
      <c r="U326" s="29"/>
      <c r="V326" s="29"/>
      <c r="W326" s="29"/>
      <c r="X326" s="27"/>
      <c r="Y326" s="29" t="s">
        <v>30</v>
      </c>
      <c r="Z326" s="29" t="s">
        <v>42</v>
      </c>
      <c r="AA326" s="29" t="s">
        <v>22</v>
      </c>
      <c r="AB326" s="29" t="s">
        <v>1445</v>
      </c>
      <c r="AC326" s="59">
        <v>45126</v>
      </c>
      <c r="AD326" s="59">
        <v>45127</v>
      </c>
      <c r="AE326" s="59">
        <v>45132</v>
      </c>
      <c r="AF326" s="59">
        <v>45132</v>
      </c>
      <c r="AG326" s="59">
        <v>45135</v>
      </c>
      <c r="AH326" s="85">
        <v>45135</v>
      </c>
      <c r="AI326" s="29" t="s">
        <v>19</v>
      </c>
      <c r="AJ326" s="139"/>
      <c r="AK326" s="27"/>
      <c r="AL326" s="102"/>
      <c r="AM326" s="41" t="str">
        <f>VLOOKUP(Table2[[#This Row],[country]],Countrycode!A:B,2,FALSE)</f>
        <v>COD</v>
      </c>
      <c r="AN326" s="34">
        <f>IF(ISBLANK(Table2[[#This Row],[Need_RRA]]), 2,(IF(Table2[[#This Row],[Need_RRA]]="No", 0, (IF(AND(Table2[[#This Row],[Need_RRA]]="Yes",  Table2[[#This Row],[RRA_pub_date]]=""),1, 0)))))</f>
        <v>0</v>
      </c>
      <c r="AO326" s="34">
        <f>IF(ISBLANK(Table2[[#This Row],[Need_EIS]]), 2,(IF(Table2[[#This Row],[Need_EIS]]="No", 0, (IF(AND(Table2[[#This Row],[Need_EIS]]="Yes",  Table2[[#This Row],[EIS_pub_date]]=""),1, 0)))))</f>
        <v>0</v>
      </c>
      <c r="AP326" s="34">
        <f>IF(ISBLANK(Table2[[#This Row],[Need_DON]]), 2,(IF(Table2[[#This Row],[Need_DON]]="No", 0, (IF(AND(Table2[[#This Row],[Need_DON]]="Yes",  Table2[[#This Row],[DON_pub_date]]=""),1, 0)))))</f>
        <v>0</v>
      </c>
      <c r="AQ326" s="34">
        <f>IF(ISBLANK(Table2[[#This Row],[Pending_question]]), 2,(IF(Table2[[#This Row],[Pending_question]]="Yes", 1, 0)))</f>
        <v>0</v>
      </c>
      <c r="AR326" s="43"/>
    </row>
    <row r="327" spans="1:44" ht="15" customHeight="1">
      <c r="A327" s="63">
        <v>45126</v>
      </c>
      <c r="B327" s="29" t="s">
        <v>15</v>
      </c>
      <c r="C327" s="34" t="str" cm="1">
        <f t="array" ref="C32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27" s="27" t="s">
        <v>1191</v>
      </c>
      <c r="E327" s="67" t="s">
        <v>194</v>
      </c>
      <c r="F327" s="29" t="s">
        <v>401</v>
      </c>
      <c r="G327" s="29" t="s">
        <v>34</v>
      </c>
      <c r="H327" s="59">
        <v>45126</v>
      </c>
      <c r="I327" s="59">
        <v>45126</v>
      </c>
      <c r="J327" s="59"/>
      <c r="K327" s="59"/>
      <c r="L327" s="104"/>
      <c r="M327" s="70" t="s">
        <v>19</v>
      </c>
      <c r="N327" s="59"/>
      <c r="O327" s="85"/>
      <c r="P327" s="59" t="s">
        <v>19</v>
      </c>
      <c r="Q327" s="84"/>
      <c r="R327" s="29"/>
      <c r="S327" s="29"/>
      <c r="T327" s="59"/>
      <c r="U327" s="29"/>
      <c r="V327" s="29"/>
      <c r="W327" s="29"/>
      <c r="X327" s="27"/>
      <c r="Y327" s="29" t="s">
        <v>30</v>
      </c>
      <c r="Z327" s="29" t="s">
        <v>42</v>
      </c>
      <c r="AA327" s="29" t="s">
        <v>43</v>
      </c>
      <c r="AB327" s="29" t="s">
        <v>1446</v>
      </c>
      <c r="AC327" s="59">
        <v>45126</v>
      </c>
      <c r="AD327" s="59">
        <v>45126</v>
      </c>
      <c r="AE327" s="59">
        <v>45128</v>
      </c>
      <c r="AF327" s="59">
        <v>45128</v>
      </c>
      <c r="AG327" s="29"/>
      <c r="AH327" s="85">
        <v>45132</v>
      </c>
      <c r="AI327" s="29" t="s">
        <v>30</v>
      </c>
      <c r="AJ327" s="139">
        <v>45132</v>
      </c>
      <c r="AK327" s="139">
        <v>45135</v>
      </c>
      <c r="AL327" s="102"/>
      <c r="AM327" s="41" t="str">
        <f>VLOOKUP(Table2[[#This Row],[country]],Countrycode!A:B,2,FALSE)</f>
        <v>TZA</v>
      </c>
      <c r="AN327" s="34">
        <f>IF(ISBLANK(Table2[[#This Row],[Need_RRA]]), 2,(IF(Table2[[#This Row],[Need_RRA]]="No", 0, (IF(AND(Table2[[#This Row],[Need_RRA]]="Yes",  Table2[[#This Row],[RRA_pub_date]]=""),1, 0)))))</f>
        <v>0</v>
      </c>
      <c r="AO327" s="34">
        <f>IF(ISBLANK(Table2[[#This Row],[Need_EIS]]), 2,(IF(Table2[[#This Row],[Need_EIS]]="No", 0, (IF(AND(Table2[[#This Row],[Need_EIS]]="Yes",  Table2[[#This Row],[EIS_pub_date]]=""),1, 0)))))</f>
        <v>0</v>
      </c>
      <c r="AP327" s="34">
        <f>IF(ISBLANK(Table2[[#This Row],[Need_DON]]), 2,(IF(Table2[[#This Row],[Need_DON]]="No", 0, (IF(AND(Table2[[#This Row],[Need_DON]]="Yes",  Table2[[#This Row],[DON_pub_date]]=""),1, 0)))))</f>
        <v>0</v>
      </c>
      <c r="AQ327" s="34">
        <f>IF(ISBLANK(Table2[[#This Row],[Pending_question]]), 2,(IF(Table2[[#This Row],[Pending_question]]="Yes", 1, 0)))</f>
        <v>0</v>
      </c>
      <c r="AR327" s="43"/>
    </row>
    <row r="328" spans="1:44" ht="15" customHeight="1">
      <c r="A328" s="63">
        <v>45128</v>
      </c>
      <c r="B328" s="29" t="s">
        <v>15</v>
      </c>
      <c r="C328" s="34" t="str" cm="1">
        <f t="array" ref="C32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28" s="27" t="s">
        <v>1447</v>
      </c>
      <c r="E328" s="67" t="s">
        <v>176</v>
      </c>
      <c r="F328" s="29" t="s">
        <v>378</v>
      </c>
      <c r="G328" s="29" t="s">
        <v>34</v>
      </c>
      <c r="H328" s="29"/>
      <c r="I328" s="223"/>
      <c r="J328" s="59">
        <v>45128</v>
      </c>
      <c r="K328" s="59" t="s">
        <v>1448</v>
      </c>
      <c r="L328" s="104" t="s">
        <v>1449</v>
      </c>
      <c r="M328" s="70" t="s">
        <v>19</v>
      </c>
      <c r="N328" s="223"/>
      <c r="O328" s="226"/>
      <c r="P328" s="59" t="s">
        <v>19</v>
      </c>
      <c r="Q328" s="84"/>
      <c r="R328" s="29"/>
      <c r="S328" s="29"/>
      <c r="T328" s="223"/>
      <c r="U328" s="29"/>
      <c r="V328" s="29"/>
      <c r="W328" s="29"/>
      <c r="X328" s="27"/>
      <c r="Y328" s="29" t="s">
        <v>30</v>
      </c>
      <c r="Z328" s="29" t="s">
        <v>42</v>
      </c>
      <c r="AA328" s="29" t="s">
        <v>22</v>
      </c>
      <c r="AB328" s="29" t="s">
        <v>1450</v>
      </c>
      <c r="AC328" s="59"/>
      <c r="AD328" s="223">
        <v>45355</v>
      </c>
      <c r="AE328" s="59">
        <v>45356</v>
      </c>
      <c r="AF328" s="29"/>
      <c r="AG328" s="29"/>
      <c r="AH328" s="85">
        <v>45380</v>
      </c>
      <c r="AI328" s="29" t="s">
        <v>31</v>
      </c>
      <c r="AJ328" s="224"/>
      <c r="AK328" s="198"/>
      <c r="AL328" s="102"/>
      <c r="AM328" s="41" t="str">
        <f>VLOOKUP(Table2[[#This Row],[country]],Countrycode!A:B,2,FALSE)</f>
        <v>LKA</v>
      </c>
      <c r="AN328" s="34">
        <f>IF(ISBLANK(Table2[[#This Row],[Need_RRA]]), 2,(IF(Table2[[#This Row],[Need_RRA]]="No", 0, (IF(AND(Table2[[#This Row],[Need_RRA]]="Yes",  Table2[[#This Row],[RRA_pub_date]]=""),1, 0)))))</f>
        <v>0</v>
      </c>
      <c r="AO328" s="34">
        <f>IF(ISBLANK(Table2[[#This Row],[Need_EIS]]), 2,(IF(Table2[[#This Row],[Need_EIS]]="No", 0, (IF(AND(Table2[[#This Row],[Need_EIS]]="Yes",  Table2[[#This Row],[EIS_pub_date]]=""),1, 0)))))</f>
        <v>0</v>
      </c>
      <c r="AP328" s="34">
        <f>IF(ISBLANK(Table2[[#This Row],[Need_DON]]), 2,(IF(Table2[[#This Row],[Need_DON]]="No", 0, (IF(AND(Table2[[#This Row],[Need_DON]]="Yes",  Table2[[#This Row],[DON_pub_date]]=""),1, 0)))))</f>
        <v>0</v>
      </c>
      <c r="AQ328" s="34">
        <f>IF(ISBLANK(Table2[[#This Row],[Pending_question]]), 2,(IF(Table2[[#This Row],[Pending_question]]="Yes", 1, 0)))</f>
        <v>0</v>
      </c>
      <c r="AR328" s="225"/>
    </row>
    <row r="329" spans="1:44" ht="15" customHeight="1">
      <c r="A329" s="63">
        <v>45134</v>
      </c>
      <c r="B329" s="29" t="s">
        <v>15</v>
      </c>
      <c r="C329" s="34" t="str" cm="1">
        <f t="array" ref="C32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29" s="27" t="s">
        <v>1451</v>
      </c>
      <c r="E329" s="67" t="s">
        <v>136</v>
      </c>
      <c r="F329" s="29" t="s">
        <v>220</v>
      </c>
      <c r="G329" s="29" t="s">
        <v>34</v>
      </c>
      <c r="H329" s="29"/>
      <c r="I329" s="59"/>
      <c r="J329" s="63"/>
      <c r="K329" s="63"/>
      <c r="L329" s="104"/>
      <c r="M329" s="70" t="s">
        <v>19</v>
      </c>
      <c r="N329" s="59"/>
      <c r="O329" s="85"/>
      <c r="P329" s="59" t="s">
        <v>19</v>
      </c>
      <c r="Q329" s="84"/>
      <c r="R329" s="29"/>
      <c r="S329" s="29"/>
      <c r="T329" s="59"/>
      <c r="U329" s="29"/>
      <c r="V329" s="29"/>
      <c r="W329" s="29"/>
      <c r="X329" s="27"/>
      <c r="Y329" s="29" t="s">
        <v>30</v>
      </c>
      <c r="Z329" s="29" t="s">
        <v>42</v>
      </c>
      <c r="AA329" s="29" t="s">
        <v>22</v>
      </c>
      <c r="AB329" s="29" t="s">
        <v>1452</v>
      </c>
      <c r="AC329" s="59">
        <v>45134</v>
      </c>
      <c r="AD329" s="59">
        <v>45141</v>
      </c>
      <c r="AE329" s="59">
        <v>45142</v>
      </c>
      <c r="AF329" s="59">
        <v>45144</v>
      </c>
      <c r="AG329" s="59">
        <v>45146</v>
      </c>
      <c r="AH329" s="85">
        <v>45146</v>
      </c>
      <c r="AI329" s="29" t="s">
        <v>19</v>
      </c>
      <c r="AJ329" s="139"/>
      <c r="AK329" s="85"/>
      <c r="AL329" s="102"/>
      <c r="AM329" s="41" t="str">
        <f>VLOOKUP(Table2[[#This Row],[country]],Countrycode!A:B,2,FALSE)</f>
        <v>EGY</v>
      </c>
      <c r="AN329" s="34">
        <f>IF(ISBLANK(Table2[[#This Row],[Need_RRA]]), 2,(IF(Table2[[#This Row],[Need_RRA]]="No", 0, (IF(AND(Table2[[#This Row],[Need_RRA]]="Yes",  Table2[[#This Row],[RRA_pub_date]]=""),1, 0)))))</f>
        <v>0</v>
      </c>
      <c r="AO329" s="41">
        <f>IF(ISBLANK(Table2[[#This Row],[Need_EIS]]), 2,(IF(Table2[[#This Row],[Need_EIS]]="No", 0, (IF(AND(Table2[[#This Row],[Need_EIS]]="Yes",  Table2[[#This Row],[EIS_pub_date]]=""),1, 0)))))</f>
        <v>0</v>
      </c>
      <c r="AP329" s="41">
        <f>IF(ISBLANK(Table2[[#This Row],[Need_DON]]), 2,(IF(Table2[[#This Row],[Need_DON]]="No", 0, (IF(AND(Table2[[#This Row],[Need_DON]]="Yes",  Table2[[#This Row],[DON_pub_date]]=""),1, 0)))))</f>
        <v>0</v>
      </c>
      <c r="AQ329" s="34">
        <f>IF(ISBLANK(Table2[[#This Row],[Pending_question]]), 2,(IF(Table2[[#This Row],[Pending_question]]="Yes", 1, 0)))</f>
        <v>0</v>
      </c>
      <c r="AR329" s="43"/>
    </row>
    <row r="330" spans="1:44" ht="15" customHeight="1">
      <c r="A330" s="63">
        <v>45140</v>
      </c>
      <c r="B330" s="29" t="s">
        <v>15</v>
      </c>
      <c r="C330" s="34" t="str" cm="1">
        <f t="array" ref="C33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30" s="27" t="s">
        <v>1020</v>
      </c>
      <c r="E330" s="67" t="s">
        <v>160</v>
      </c>
      <c r="F330" s="29" t="s">
        <v>403</v>
      </c>
      <c r="G330" s="29" t="s">
        <v>34</v>
      </c>
      <c r="H330" s="59">
        <v>45140</v>
      </c>
      <c r="I330" s="59"/>
      <c r="J330" s="59"/>
      <c r="K330" s="63" t="s">
        <v>1453</v>
      </c>
      <c r="L330" s="104" t="s">
        <v>1454</v>
      </c>
      <c r="M330" s="70" t="s">
        <v>19</v>
      </c>
      <c r="N330" s="59"/>
      <c r="O330" s="85"/>
      <c r="P330" s="59" t="s">
        <v>19</v>
      </c>
      <c r="Q330" s="84"/>
      <c r="R330" s="29"/>
      <c r="S330" s="29"/>
      <c r="T330" s="59"/>
      <c r="U330" s="29"/>
      <c r="V330" s="29"/>
      <c r="W330" s="29"/>
      <c r="X330" s="27"/>
      <c r="Y330" s="29" t="s">
        <v>30</v>
      </c>
      <c r="Z330" s="29" t="s">
        <v>42</v>
      </c>
      <c r="AA330" s="29" t="s">
        <v>22</v>
      </c>
      <c r="AB330" s="29" t="s">
        <v>1455</v>
      </c>
      <c r="AC330" s="59">
        <v>45140</v>
      </c>
      <c r="AD330" s="59">
        <v>45140</v>
      </c>
      <c r="AE330" s="59">
        <v>45141</v>
      </c>
      <c r="AF330" s="59">
        <v>45142</v>
      </c>
      <c r="AG330" s="59">
        <v>45143</v>
      </c>
      <c r="AH330" s="85">
        <v>45144</v>
      </c>
      <c r="AI330" s="29" t="s">
        <v>19</v>
      </c>
      <c r="AJ330" s="139"/>
      <c r="AK330" s="27"/>
      <c r="AL330" s="102"/>
      <c r="AM330" s="41" t="str">
        <f>VLOOKUP(Table2[[#This Row],[country]],Countrycode!A:B,2,FALSE)</f>
        <v>USA</v>
      </c>
      <c r="AN330" s="34">
        <f>IF(ISBLANK(Table2[[#This Row],[Need_RRA]]), 2,(IF(Table2[[#This Row],[Need_RRA]]="No", 0, (IF(AND(Table2[[#This Row],[Need_RRA]]="Yes",  Table2[[#This Row],[RRA_pub_date]]=""),1, 0)))))</f>
        <v>0</v>
      </c>
      <c r="AO330" s="34">
        <f>IF(ISBLANK(Table2[[#This Row],[Need_EIS]]), 2,(IF(Table2[[#This Row],[Need_EIS]]="No", 0, (IF(AND(Table2[[#This Row],[Need_EIS]]="Yes",  Table2[[#This Row],[EIS_pub_date]]=""),1, 0)))))</f>
        <v>0</v>
      </c>
      <c r="AP330" s="34">
        <f>IF(ISBLANK(Table2[[#This Row],[Need_DON]]), 2,(IF(Table2[[#This Row],[Need_DON]]="No", 0, (IF(AND(Table2[[#This Row],[Need_DON]]="Yes",  Table2[[#This Row],[DON_pub_date]]=""),1, 0)))))</f>
        <v>0</v>
      </c>
      <c r="AQ330" s="34">
        <f>IF(ISBLANK(Table2[[#This Row],[Pending_question]]), 2,(IF(Table2[[#This Row],[Pending_question]]="Yes", 1, 0)))</f>
        <v>0</v>
      </c>
      <c r="AR330" s="43"/>
    </row>
    <row r="331" spans="1:44" ht="15" customHeight="1">
      <c r="A331" s="63">
        <v>45145</v>
      </c>
      <c r="B331" s="29" t="s">
        <v>15</v>
      </c>
      <c r="C331" s="110" t="str" cm="1">
        <f t="array" ref="C33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31" s="27" t="s">
        <v>1456</v>
      </c>
      <c r="E331" s="67" t="s">
        <v>136</v>
      </c>
      <c r="F331" s="29" t="s">
        <v>117</v>
      </c>
      <c r="G331" s="29" t="s">
        <v>34</v>
      </c>
      <c r="H331" s="59">
        <v>45145</v>
      </c>
      <c r="I331" s="59"/>
      <c r="J331" s="59">
        <v>45079</v>
      </c>
      <c r="K331" s="321" t="s">
        <v>1457</v>
      </c>
      <c r="L331" s="104" t="str">
        <f>"https://ems.who.int/Event/eventSummary.aspx?eid=2023-E000" &amp; RIGHT(Table2[[#This Row],[EMS event ID]], 3)</f>
        <v>https://ems.who.int/Event/eventSummary.aspx?eid=2023-E000186</v>
      </c>
      <c r="M331" s="121" t="s">
        <v>30</v>
      </c>
      <c r="N331" s="59" t="s">
        <v>1458</v>
      </c>
      <c r="O331" s="85">
        <v>45142</v>
      </c>
      <c r="P331" s="59" t="s">
        <v>30</v>
      </c>
      <c r="Q331" s="84">
        <v>1</v>
      </c>
      <c r="R331" s="29" t="s">
        <v>1459</v>
      </c>
      <c r="S331" s="59">
        <v>45138</v>
      </c>
      <c r="T331" s="59">
        <v>45138</v>
      </c>
      <c r="U331" s="59">
        <v>45145</v>
      </c>
      <c r="V331" s="29" t="s">
        <v>20</v>
      </c>
      <c r="W331" s="29" t="s">
        <v>32</v>
      </c>
      <c r="X331" s="27" t="s">
        <v>51</v>
      </c>
      <c r="Y331" s="29" t="s">
        <v>30</v>
      </c>
      <c r="Z331" s="29" t="s">
        <v>42</v>
      </c>
      <c r="AA331" s="29" t="s">
        <v>22</v>
      </c>
      <c r="AB331" s="29" t="s">
        <v>1460</v>
      </c>
      <c r="AC331" s="59">
        <v>45138</v>
      </c>
      <c r="AD331" s="59">
        <v>45139</v>
      </c>
      <c r="AE331" s="59">
        <v>45140</v>
      </c>
      <c r="AF331" s="59">
        <v>45141</v>
      </c>
      <c r="AG331" s="59">
        <v>45142</v>
      </c>
      <c r="AH331" s="85">
        <v>45142</v>
      </c>
      <c r="AI331" s="29" t="s">
        <v>30</v>
      </c>
      <c r="AJ331" s="139">
        <v>45145</v>
      </c>
      <c r="AK331" s="85">
        <v>45149</v>
      </c>
      <c r="AL331" s="102"/>
      <c r="AM331" s="41" t="str">
        <f>VLOOKUP(Table2[[#This Row],[country]],Countrycode!A:B,2,FALSE)</f>
        <v>BGD</v>
      </c>
      <c r="AN331" s="34">
        <f>IF(ISBLANK(Table2[[#This Row],[Need_RRA]]), 2,(IF(Table2[[#This Row],[Need_RRA]]="No", 0, (IF(AND(Table2[[#This Row],[Need_RRA]]="Yes",  Table2[[#This Row],[RRA_pub_date]]=""),1, 0)))))</f>
        <v>0</v>
      </c>
      <c r="AO331" s="34">
        <f>IF(ISBLANK(Table2[[#This Row],[Need_EIS]]), 2,(IF(Table2[[#This Row],[Need_EIS]]="No", 0, (IF(AND(Table2[[#This Row],[Need_EIS]]="Yes",  Table2[[#This Row],[EIS_pub_date]]=""),1, 0)))))</f>
        <v>0</v>
      </c>
      <c r="AP331" s="34">
        <f>IF(ISBLANK(Table2[[#This Row],[Need_DON]]), 2,(IF(Table2[[#This Row],[Need_DON]]="No", 0, (IF(AND(Table2[[#This Row],[Need_DON]]="Yes",  Table2[[#This Row],[DON_pub_date]]=""),1, 0)))))</f>
        <v>0</v>
      </c>
      <c r="AQ331" s="34">
        <f>IF(ISBLANK(Table2[[#This Row],[Pending_question]]), 2,(IF(Table2[[#This Row],[Pending_question]]="Yes", 1, 0)))</f>
        <v>1</v>
      </c>
      <c r="AR331" s="43"/>
    </row>
    <row r="332" spans="1:44" ht="15" customHeight="1">
      <c r="A332" s="63">
        <v>45145</v>
      </c>
      <c r="B332" s="29" t="s">
        <v>15</v>
      </c>
      <c r="C332" s="34" t="str" cm="1">
        <f t="array" ref="C33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32" s="27" t="s">
        <v>1020</v>
      </c>
      <c r="E332" s="67" t="s">
        <v>156</v>
      </c>
      <c r="F332" s="29" t="s">
        <v>403</v>
      </c>
      <c r="G332" s="29" t="s">
        <v>34</v>
      </c>
      <c r="H332" s="59">
        <v>45145</v>
      </c>
      <c r="I332" s="59"/>
      <c r="J332" s="59" t="s">
        <v>1461</v>
      </c>
      <c r="K332" s="59" t="s">
        <v>1461</v>
      </c>
      <c r="L332" s="104" t="s">
        <v>1462</v>
      </c>
      <c r="M332" s="70" t="s">
        <v>19</v>
      </c>
      <c r="N332" s="59"/>
      <c r="O332" s="85"/>
      <c r="P332" s="59" t="s">
        <v>19</v>
      </c>
      <c r="Q332" s="84"/>
      <c r="R332" s="29"/>
      <c r="S332" s="29"/>
      <c r="T332" s="59"/>
      <c r="U332" s="29"/>
      <c r="V332" s="29"/>
      <c r="W332" s="29"/>
      <c r="X332" s="27"/>
      <c r="Y332" s="29" t="s">
        <v>30</v>
      </c>
      <c r="Z332" s="29" t="s">
        <v>42</v>
      </c>
      <c r="AA332" s="29" t="s">
        <v>22</v>
      </c>
      <c r="AB332" s="29" t="s">
        <v>1463</v>
      </c>
      <c r="AC332" s="59">
        <v>45142</v>
      </c>
      <c r="AD332" s="59">
        <v>45143</v>
      </c>
      <c r="AE332" s="59">
        <v>45145</v>
      </c>
      <c r="AF332" s="59">
        <v>45146</v>
      </c>
      <c r="AG332" s="59">
        <v>45148</v>
      </c>
      <c r="AH332" s="85">
        <v>45148</v>
      </c>
      <c r="AI332" s="29" t="s">
        <v>30</v>
      </c>
      <c r="AJ332" s="85">
        <v>45148</v>
      </c>
      <c r="AK332" s="85">
        <v>45149</v>
      </c>
      <c r="AL332" s="102"/>
      <c r="AM332" s="41" t="str">
        <f>VLOOKUP(Table2[[#This Row],[country]],Countrycode!A:B,2,FALSE)</f>
        <v>USA</v>
      </c>
      <c r="AN332" s="34">
        <f>IF(ISBLANK(Table2[[#This Row],[Need_RRA]]), 2,(IF(Table2[[#This Row],[Need_RRA]]="No", 0, (IF(AND(Table2[[#This Row],[Need_RRA]]="Yes",  Table2[[#This Row],[RRA_pub_date]]=""),1, 0)))))</f>
        <v>0</v>
      </c>
      <c r="AO332" s="34">
        <f>IF(ISBLANK(Table2[[#This Row],[Need_EIS]]), 2,(IF(Table2[[#This Row],[Need_EIS]]="No", 0, (IF(AND(Table2[[#This Row],[Need_EIS]]="Yes",  Table2[[#This Row],[EIS_pub_date]]=""),1, 0)))))</f>
        <v>0</v>
      </c>
      <c r="AP332" s="41">
        <f>IF(ISBLANK(Table2[[#This Row],[Need_DON]]), 2,(IF(Table2[[#This Row],[Need_DON]]="No", 0, (IF(AND(Table2[[#This Row],[Need_DON]]="Yes",  Table2[[#This Row],[DON_pub_date]]=""),1, 0)))))</f>
        <v>0</v>
      </c>
      <c r="AQ332" s="34">
        <f>IF(ISBLANK(Table2[[#This Row],[Pending_question]]), 2,(IF(Table2[[#This Row],[Pending_question]]="Yes", 1, 0)))</f>
        <v>0</v>
      </c>
      <c r="AR332" s="43"/>
    </row>
    <row r="333" spans="1:44" ht="15" customHeight="1">
      <c r="A333" s="63">
        <v>45147</v>
      </c>
      <c r="B333" s="29" t="s">
        <v>15</v>
      </c>
      <c r="C333" s="34" t="str" cm="1">
        <f t="array" ref="C33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33" s="27" t="s">
        <v>1352</v>
      </c>
      <c r="E333" s="67" t="s">
        <v>219</v>
      </c>
      <c r="F333" s="29" t="s">
        <v>379</v>
      </c>
      <c r="G333" s="29" t="s">
        <v>34</v>
      </c>
      <c r="H333" s="59">
        <v>45147</v>
      </c>
      <c r="I333" s="59"/>
      <c r="J333" s="272">
        <v>45042</v>
      </c>
      <c r="K333" s="274" t="s">
        <v>1464</v>
      </c>
      <c r="L333" s="112" t="s">
        <v>1383</v>
      </c>
      <c r="M333" s="70" t="s">
        <v>19</v>
      </c>
      <c r="N333" s="59"/>
      <c r="O333" s="85"/>
      <c r="P333" s="59" t="s">
        <v>30</v>
      </c>
      <c r="Q333" s="84">
        <v>1</v>
      </c>
      <c r="R333" s="29" t="s">
        <v>1465</v>
      </c>
      <c r="S333" s="59">
        <v>45145</v>
      </c>
      <c r="T333" s="59">
        <v>45146</v>
      </c>
      <c r="U333" s="59">
        <v>45149</v>
      </c>
      <c r="V333" s="29" t="s">
        <v>32</v>
      </c>
      <c r="W333" s="29" t="s">
        <v>51</v>
      </c>
      <c r="X333" s="27" t="s">
        <v>51</v>
      </c>
      <c r="Y333" s="29" t="s">
        <v>19</v>
      </c>
      <c r="Z333" s="29"/>
      <c r="AA333" s="29"/>
      <c r="AB333" s="29" t="s">
        <v>1466</v>
      </c>
      <c r="AC333" s="29"/>
      <c r="AD333" s="59"/>
      <c r="AE333" s="29"/>
      <c r="AF333" s="29"/>
      <c r="AG333" s="29"/>
      <c r="AH333" s="27"/>
      <c r="AI333" s="29" t="s">
        <v>19</v>
      </c>
      <c r="AJ333" s="139"/>
      <c r="AK333" s="27"/>
      <c r="AL333" s="102"/>
      <c r="AM333" s="41" t="str">
        <f>VLOOKUP(Table2[[#This Row],[country]],Countrycode!A:B,2,FALSE)</f>
        <v>SDN</v>
      </c>
      <c r="AN333" s="34">
        <f>IF(ISBLANK(Table2[[#This Row],[Need_RRA]]), 2,(IF(Table2[[#This Row],[Need_RRA]]="No", 0, (IF(AND(Table2[[#This Row],[Need_RRA]]="Yes",  Table2[[#This Row],[RRA_pub_date]]=""),1, 0)))))</f>
        <v>0</v>
      </c>
      <c r="AO333" s="34">
        <f>IF(ISBLANK(Table2[[#This Row],[Need_EIS]]), 2,(IF(Table2[[#This Row],[Need_EIS]]="No", 0, (IF(AND(Table2[[#This Row],[Need_EIS]]="Yes",  Table2[[#This Row],[EIS_pub_date]]=""),1, 0)))))</f>
        <v>0</v>
      </c>
      <c r="AP333" s="41">
        <f>IF(ISBLANK(Table2[[#This Row],[Need_DON]]), 2,(IF(Table2[[#This Row],[Need_DON]]="No", 0, (IF(AND(Table2[[#This Row],[Need_DON]]="Yes",  Table2[[#This Row],[DON_pub_date]]=""),1, 0)))))</f>
        <v>0</v>
      </c>
      <c r="AQ333" s="34">
        <f>IF(ISBLANK(Table2[[#This Row],[Pending_question]]), 2,(IF(Table2[[#This Row],[Pending_question]]="Yes", 1, 0)))</f>
        <v>0</v>
      </c>
      <c r="AR333" s="43"/>
    </row>
    <row r="334" spans="1:44" ht="15" customHeight="1">
      <c r="A334" s="63">
        <v>45149</v>
      </c>
      <c r="B334" s="29" t="s">
        <v>15</v>
      </c>
      <c r="C334" s="34" t="str" cm="1">
        <f t="array" ref="C33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34" s="27" t="s">
        <v>1020</v>
      </c>
      <c r="E334" s="67" t="s">
        <v>110</v>
      </c>
      <c r="F334" s="29" t="s">
        <v>173</v>
      </c>
      <c r="G334" s="29" t="s">
        <v>34</v>
      </c>
      <c r="H334" s="133">
        <v>45149</v>
      </c>
      <c r="I334" s="59"/>
      <c r="J334" s="59">
        <v>45237</v>
      </c>
      <c r="K334" s="59" t="s">
        <v>1326</v>
      </c>
      <c r="L334" s="104" t="s">
        <v>1287</v>
      </c>
      <c r="M334" s="70" t="s">
        <v>19</v>
      </c>
      <c r="N334" s="59"/>
      <c r="O334" s="85"/>
      <c r="P334" s="59" t="s">
        <v>19</v>
      </c>
      <c r="Q334" s="84"/>
      <c r="R334" s="54"/>
      <c r="S334" s="29"/>
      <c r="T334" s="59"/>
      <c r="U334" s="29"/>
      <c r="V334" s="29"/>
      <c r="W334" s="29"/>
      <c r="X334" s="27"/>
      <c r="Y334" s="29" t="s">
        <v>30</v>
      </c>
      <c r="Z334" s="29" t="s">
        <v>42</v>
      </c>
      <c r="AA334" s="29" t="s">
        <v>22</v>
      </c>
      <c r="AB334" s="29" t="s">
        <v>1467</v>
      </c>
      <c r="AC334" s="59">
        <v>45238</v>
      </c>
      <c r="AD334" s="59">
        <v>45237</v>
      </c>
      <c r="AE334" s="59">
        <v>45238</v>
      </c>
      <c r="AF334" s="59">
        <v>45239</v>
      </c>
      <c r="AG334" s="29"/>
      <c r="AH334" s="59">
        <v>45244</v>
      </c>
      <c r="AI334" s="29" t="s">
        <v>19</v>
      </c>
      <c r="AJ334" s="85"/>
      <c r="AK334" s="27"/>
      <c r="AL334" s="102"/>
      <c r="AM334" s="41" t="str">
        <f>VLOOKUP(Table2[[#This Row],[country]],Countrycode!A:B,2,FALSE)</f>
        <v>CHN</v>
      </c>
      <c r="AN334" s="34">
        <f>IF(ISBLANK(Table2[[#This Row],[Need_RRA]]), 2,(IF(Table2[[#This Row],[Need_RRA]]="No", 0, (IF(AND(Table2[[#This Row],[Need_RRA]]="Yes",  Table2[[#This Row],[RRA_pub_date]]=""),1, 0)))))</f>
        <v>0</v>
      </c>
      <c r="AO334" s="34">
        <f>IF(ISBLANK(Table2[[#This Row],[Need_EIS]]), 2,(IF(Table2[[#This Row],[Need_EIS]]="No", 0, (IF(AND(Table2[[#This Row],[Need_EIS]]="Yes",  Table2[[#This Row],[EIS_pub_date]]=""),1, 0)))))</f>
        <v>0</v>
      </c>
      <c r="AP334" s="41">
        <f>IF(ISBLANK(Table2[[#This Row],[Need_DON]]), 2,(IF(Table2[[#This Row],[Need_DON]]="No", 0, (IF(AND(Table2[[#This Row],[Need_DON]]="Yes",  Table2[[#This Row],[DON_pub_date]]=""),1, 0)))))</f>
        <v>0</v>
      </c>
      <c r="AQ334" s="34">
        <f>IF(ISBLANK(Table2[[#This Row],[Pending_question]]), 2,(IF(Table2[[#This Row],[Pending_question]]="Yes", 1, 0)))</f>
        <v>0</v>
      </c>
      <c r="AR334" s="43"/>
    </row>
    <row r="335" spans="1:44" ht="15" customHeight="1">
      <c r="A335" s="63">
        <v>45151</v>
      </c>
      <c r="B335" s="29" t="s">
        <v>15</v>
      </c>
      <c r="C335" s="34" t="str" cm="1">
        <f t="array" ref="C33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35" s="27" t="s">
        <v>1468</v>
      </c>
      <c r="E335" s="67" t="s">
        <v>229</v>
      </c>
      <c r="F335" s="29" t="s">
        <v>39</v>
      </c>
      <c r="G335" s="29" t="s">
        <v>106</v>
      </c>
      <c r="H335" s="59">
        <v>45151</v>
      </c>
      <c r="I335" s="59"/>
      <c r="J335" s="59">
        <v>45149</v>
      </c>
      <c r="K335" s="59" t="s">
        <v>1469</v>
      </c>
      <c r="L335" s="104" t="s">
        <v>1470</v>
      </c>
      <c r="M335" s="70" t="s">
        <v>19</v>
      </c>
      <c r="N335" s="59"/>
      <c r="O335" s="85">
        <v>45169</v>
      </c>
      <c r="P335" s="59" t="s">
        <v>19</v>
      </c>
      <c r="Q335" s="84"/>
      <c r="R335" s="29"/>
      <c r="S335" s="29"/>
      <c r="T335" s="59"/>
      <c r="U335" s="269"/>
      <c r="V335" s="29"/>
      <c r="W335" s="29"/>
      <c r="X335" s="27"/>
      <c r="Y335" s="29" t="s">
        <v>19</v>
      </c>
      <c r="Z335" s="29" t="s">
        <v>34</v>
      </c>
      <c r="AA335" s="29" t="s">
        <v>22</v>
      </c>
      <c r="AB335" s="29" t="s">
        <v>1471</v>
      </c>
      <c r="AC335" s="59">
        <v>45148</v>
      </c>
      <c r="AD335" s="59">
        <v>45148</v>
      </c>
      <c r="AE335" s="59">
        <v>45149</v>
      </c>
      <c r="AF335" s="59">
        <v>45152</v>
      </c>
      <c r="AG335" s="59">
        <v>45165</v>
      </c>
      <c r="AH335" s="27"/>
      <c r="AI335" s="29" t="s">
        <v>19</v>
      </c>
      <c r="AJ335" s="139"/>
      <c r="AK335" s="27"/>
      <c r="AL335" s="199" t="s">
        <v>1472</v>
      </c>
      <c r="AM335" s="41" t="str">
        <f>VLOOKUP(Table2[[#This Row],[country]],Countrycode!A:B,2,FALSE)</f>
        <v>MLX</v>
      </c>
      <c r="AN335" s="34">
        <f>IF(ISBLANK(Table2[[#This Row],[Need_RRA]]), 2,(IF(Table2[[#This Row],[Need_RRA]]="No", 0, (IF(AND(Table2[[#This Row],[Need_RRA]]="Yes",  Table2[[#This Row],[RRA_pub_date]]=""),1, 0)))))</f>
        <v>0</v>
      </c>
      <c r="AO335" s="34">
        <f>IF(ISBLANK(Table2[[#This Row],[Need_EIS]]), 2,(IF(Table2[[#This Row],[Need_EIS]]="No", 0, (IF(AND(Table2[[#This Row],[Need_EIS]]="Yes",  Table2[[#This Row],[EIS_pub_date]]=""),1, 0)))))</f>
        <v>0</v>
      </c>
      <c r="AP335" s="34">
        <f>IF(ISBLANK(Table2[[#This Row],[Need_DON]]), 2,(IF(Table2[[#This Row],[Need_DON]]="No", 0, (IF(AND(Table2[[#This Row],[Need_DON]]="Yes",  Table2[[#This Row],[DON_pub_date]]=""),1, 0)))))</f>
        <v>0</v>
      </c>
      <c r="AQ335" s="34">
        <f>IF(ISBLANK(Table2[[#This Row],[Pending_question]]), 2,(IF(Table2[[#This Row],[Pending_question]]="Yes", 1, 0)))</f>
        <v>0</v>
      </c>
      <c r="AR335" s="43"/>
    </row>
    <row r="336" spans="1:44" ht="15" customHeight="1">
      <c r="A336" s="63">
        <v>45152</v>
      </c>
      <c r="B336" s="29" t="s">
        <v>15</v>
      </c>
      <c r="C336" s="34" t="str" cm="1">
        <f t="array" ref="C33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36" s="27" t="s">
        <v>1119</v>
      </c>
      <c r="E336" s="67" t="s">
        <v>176</v>
      </c>
      <c r="F336" s="29" t="s">
        <v>171</v>
      </c>
      <c r="G336" s="29" t="s">
        <v>109</v>
      </c>
      <c r="H336" s="59"/>
      <c r="I336" s="59"/>
      <c r="J336" s="59">
        <v>45152</v>
      </c>
      <c r="K336" s="63" t="s">
        <v>1473</v>
      </c>
      <c r="L336" s="104" t="s">
        <v>1474</v>
      </c>
      <c r="M336" s="70" t="s">
        <v>19</v>
      </c>
      <c r="N336" s="59"/>
      <c r="O336" s="85"/>
      <c r="P336" s="59" t="s">
        <v>19</v>
      </c>
      <c r="Q336" s="84"/>
      <c r="R336" s="29"/>
      <c r="S336" s="29"/>
      <c r="T336" s="59"/>
      <c r="U336" s="29"/>
      <c r="V336" s="29"/>
      <c r="W336" s="29"/>
      <c r="X336" s="27"/>
      <c r="Y336" s="29" t="s">
        <v>30</v>
      </c>
      <c r="Z336" s="29" t="s">
        <v>42</v>
      </c>
      <c r="AA336" s="29" t="s">
        <v>22</v>
      </c>
      <c r="AB336" s="29" t="s">
        <v>1475</v>
      </c>
      <c r="AC336" s="59">
        <v>45151</v>
      </c>
      <c r="AD336" s="59">
        <v>45151</v>
      </c>
      <c r="AE336" s="63">
        <v>45152</v>
      </c>
      <c r="AF336" s="29"/>
      <c r="AG336" s="29"/>
      <c r="AH336" s="85">
        <v>45154</v>
      </c>
      <c r="AI336" s="29" t="s">
        <v>30</v>
      </c>
      <c r="AJ336" s="139">
        <v>45155</v>
      </c>
      <c r="AK336" s="85">
        <v>45161</v>
      </c>
      <c r="AL336" s="102"/>
      <c r="AM336" s="41" t="str">
        <f>VLOOKUP(Table2[[#This Row],[country]],Countrycode!A:B,2,FALSE)</f>
        <v>CHL</v>
      </c>
      <c r="AN336" s="34">
        <f>IF(ISBLANK(Table2[[#This Row],[Need_RRA]]), 2,(IF(Table2[[#This Row],[Need_RRA]]="No", 0, (IF(AND(Table2[[#This Row],[Need_RRA]]="Yes",  Table2[[#This Row],[RRA_pub_date]]=""),1, 0)))))</f>
        <v>0</v>
      </c>
      <c r="AO336" s="34">
        <f>IF(ISBLANK(Table2[[#This Row],[Need_EIS]]), 2,(IF(Table2[[#This Row],[Need_EIS]]="No", 0, (IF(AND(Table2[[#This Row],[Need_EIS]]="Yes",  Table2[[#This Row],[EIS_pub_date]]=""),1, 0)))))</f>
        <v>0</v>
      </c>
      <c r="AP336" s="34">
        <f>IF(ISBLANK(Table2[[#This Row],[Need_DON]]), 2,(IF(Table2[[#This Row],[Need_DON]]="No", 0, (IF(AND(Table2[[#This Row],[Need_DON]]="Yes",  Table2[[#This Row],[DON_pub_date]]=""),1, 0)))))</f>
        <v>0</v>
      </c>
      <c r="AQ336" s="34">
        <f>IF(ISBLANK(Table2[[#This Row],[Pending_question]]), 2,(IF(Table2[[#This Row],[Pending_question]]="Yes", 1, 0)))</f>
        <v>0</v>
      </c>
      <c r="AR336" s="43"/>
    </row>
    <row r="337" spans="1:44" ht="15" customHeight="1">
      <c r="A337" s="63">
        <v>45152</v>
      </c>
      <c r="B337" s="29" t="s">
        <v>15</v>
      </c>
      <c r="C337" s="34" t="str" cm="1">
        <f t="array" ref="C33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37" s="27" t="s">
        <v>1451</v>
      </c>
      <c r="E337" s="67" t="s">
        <v>180</v>
      </c>
      <c r="F337" s="29" t="s">
        <v>39</v>
      </c>
      <c r="G337" s="29"/>
      <c r="H337" s="29"/>
      <c r="I337" s="59"/>
      <c r="J337" s="59"/>
      <c r="K337" s="59"/>
      <c r="L337" s="104"/>
      <c r="M337" s="70" t="s">
        <v>19</v>
      </c>
      <c r="N337" s="59"/>
      <c r="O337" s="85"/>
      <c r="P337" s="59" t="s">
        <v>30</v>
      </c>
      <c r="Q337" s="84">
        <v>1</v>
      </c>
      <c r="R337" s="29" t="s">
        <v>1476</v>
      </c>
      <c r="S337" s="29"/>
      <c r="T337" s="59">
        <v>45152</v>
      </c>
      <c r="U337" s="59">
        <v>45182</v>
      </c>
      <c r="V337" s="268" t="s">
        <v>34</v>
      </c>
      <c r="W337" s="29" t="s">
        <v>32</v>
      </c>
      <c r="X337" s="27" t="s">
        <v>32</v>
      </c>
      <c r="Y337" s="29" t="s">
        <v>19</v>
      </c>
      <c r="Z337" s="29"/>
      <c r="AA337" s="29"/>
      <c r="AB337" s="29"/>
      <c r="AC337" s="29"/>
      <c r="AD337" s="59"/>
      <c r="AE337" s="29"/>
      <c r="AF337" s="29"/>
      <c r="AG337" s="29"/>
      <c r="AH337" s="27"/>
      <c r="AI337" s="29" t="s">
        <v>19</v>
      </c>
      <c r="AJ337" s="139"/>
      <c r="AK337" s="27"/>
      <c r="AL337" s="102"/>
      <c r="AM337" s="41" t="str">
        <f>VLOOKUP(Table2[[#This Row],[country]],Countrycode!A:B,2,FALSE)</f>
        <v>MLX</v>
      </c>
      <c r="AN337" s="34">
        <f>IF(ISBLANK(Table2[[#This Row],[Need_RRA]]), 2,(IF(Table2[[#This Row],[Need_RRA]]="No", 0, (IF(AND(Table2[[#This Row],[Need_RRA]]="Yes",  Table2[[#This Row],[RRA_pub_date]]=""),1, 0)))))</f>
        <v>0</v>
      </c>
      <c r="AO337" s="34">
        <f>IF(ISBLANK(Table2[[#This Row],[Need_EIS]]), 2,(IF(Table2[[#This Row],[Need_EIS]]="No", 0, (IF(AND(Table2[[#This Row],[Need_EIS]]="Yes",  Table2[[#This Row],[EIS_pub_date]]=""),1, 0)))))</f>
        <v>0</v>
      </c>
      <c r="AP337" s="34">
        <f>IF(ISBLANK(Table2[[#This Row],[Need_DON]]), 2,(IF(Table2[[#This Row],[Need_DON]]="No", 0, (IF(AND(Table2[[#This Row],[Need_DON]]="Yes",  Table2[[#This Row],[DON_pub_date]]=""),1, 0)))))</f>
        <v>0</v>
      </c>
      <c r="AQ337" s="34">
        <f>IF(ISBLANK(Table2[[#This Row],[Pending_question]]), 2,(IF(Table2[[#This Row],[Pending_question]]="Yes", 1, 0)))</f>
        <v>0</v>
      </c>
      <c r="AR337" s="43"/>
    </row>
    <row r="338" spans="1:44" ht="15" customHeight="1">
      <c r="A338" s="63">
        <v>45152</v>
      </c>
      <c r="B338" s="29" t="s">
        <v>15</v>
      </c>
      <c r="C338" s="34" t="str" cm="1">
        <f t="array" ref="C33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38" s="27" t="s">
        <v>1451</v>
      </c>
      <c r="E338" s="67" t="s">
        <v>180</v>
      </c>
      <c r="F338" s="29" t="s">
        <v>363</v>
      </c>
      <c r="G338" s="29" t="s">
        <v>34</v>
      </c>
      <c r="H338" s="29"/>
      <c r="I338" s="59"/>
      <c r="J338" s="59"/>
      <c r="K338" s="59"/>
      <c r="L338" s="104"/>
      <c r="M338" s="70" t="s">
        <v>19</v>
      </c>
      <c r="N338" s="59"/>
      <c r="O338" s="85"/>
      <c r="P338" s="59" t="s">
        <v>19</v>
      </c>
      <c r="Q338" s="84"/>
      <c r="R338" s="29"/>
      <c r="S338" s="29"/>
      <c r="T338" s="59"/>
      <c r="U338" s="29"/>
      <c r="V338" s="269"/>
      <c r="W338" s="29"/>
      <c r="X338" s="27"/>
      <c r="Y338" s="29" t="s">
        <v>30</v>
      </c>
      <c r="Z338" s="29" t="s">
        <v>42</v>
      </c>
      <c r="AA338" s="29" t="s">
        <v>22</v>
      </c>
      <c r="AB338" s="29" t="s">
        <v>1477</v>
      </c>
      <c r="AC338" s="317">
        <v>45152</v>
      </c>
      <c r="AD338" s="59">
        <v>45152</v>
      </c>
      <c r="AE338" s="59">
        <v>45153</v>
      </c>
      <c r="AF338" s="59">
        <v>45154</v>
      </c>
      <c r="AG338" s="59">
        <v>45159</v>
      </c>
      <c r="AH338" s="85">
        <v>45161</v>
      </c>
      <c r="AI338" s="29" t="s">
        <v>30</v>
      </c>
      <c r="AJ338" s="139">
        <v>45162</v>
      </c>
      <c r="AK338" s="85">
        <v>45167</v>
      </c>
      <c r="AL338" s="102"/>
      <c r="AM338" s="41" t="str">
        <f>VLOOKUP(Table2[[#This Row],[country]],Countrycode!A:B,2,FALSE)</f>
        <v>SAU</v>
      </c>
      <c r="AN338" s="34">
        <f>IF(ISBLANK(Table2[[#This Row],[Need_RRA]]), 2,(IF(Table2[[#This Row],[Need_RRA]]="No", 0, (IF(AND(Table2[[#This Row],[Need_RRA]]="Yes",  Table2[[#This Row],[RRA_pub_date]]=""),1, 0)))))</f>
        <v>0</v>
      </c>
      <c r="AO338" s="41">
        <f>IF(ISBLANK(Table2[[#This Row],[Need_EIS]]), 2,(IF(Table2[[#This Row],[Need_EIS]]="No", 0, (IF(AND(Table2[[#This Row],[Need_EIS]]="Yes",  Table2[[#This Row],[EIS_pub_date]]=""),1, 0)))))</f>
        <v>0</v>
      </c>
      <c r="AP338" s="41">
        <f>IF(ISBLANK(Table2[[#This Row],[Need_DON]]), 2,(IF(Table2[[#This Row],[Need_DON]]="No", 0, (IF(AND(Table2[[#This Row],[Need_DON]]="Yes",  Table2[[#This Row],[DON_pub_date]]=""),1, 0)))))</f>
        <v>0</v>
      </c>
      <c r="AQ338" s="34">
        <f>IF(ISBLANK(Table2[[#This Row],[Pending_question]]), 2,(IF(Table2[[#This Row],[Pending_question]]="Yes", 1, 0)))</f>
        <v>0</v>
      </c>
      <c r="AR338" s="43"/>
    </row>
    <row r="339" spans="1:44" ht="15" customHeight="1">
      <c r="A339" s="63">
        <v>45159</v>
      </c>
      <c r="B339" s="29" t="s">
        <v>15</v>
      </c>
      <c r="C339" s="34" t="str" cm="1">
        <f t="array" ref="C33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39" s="27" t="s">
        <v>1478</v>
      </c>
      <c r="E339" s="67" t="s">
        <v>134</v>
      </c>
      <c r="F339" s="29" t="s">
        <v>331</v>
      </c>
      <c r="G339" s="29" t="s">
        <v>34</v>
      </c>
      <c r="H339" s="59">
        <v>45159</v>
      </c>
      <c r="I339" s="59"/>
      <c r="J339" s="59">
        <v>45155</v>
      </c>
      <c r="K339" s="169" t="s">
        <v>1479</v>
      </c>
      <c r="L339" s="104" t="s">
        <v>1480</v>
      </c>
      <c r="M339" s="67" t="s">
        <v>19</v>
      </c>
      <c r="N339" s="59"/>
      <c r="O339" s="85"/>
      <c r="P339" s="59" t="s">
        <v>30</v>
      </c>
      <c r="Q339" s="84">
        <v>1</v>
      </c>
      <c r="R339" s="29" t="s">
        <v>1481</v>
      </c>
      <c r="S339" s="59">
        <v>45152</v>
      </c>
      <c r="T339" s="59">
        <v>45152</v>
      </c>
      <c r="U339" s="59">
        <v>45163</v>
      </c>
      <c r="V339" s="29" t="s">
        <v>32</v>
      </c>
      <c r="W339" s="29" t="s">
        <v>51</v>
      </c>
      <c r="X339" s="27" t="s">
        <v>51</v>
      </c>
      <c r="Y339" s="29" t="s">
        <v>19</v>
      </c>
      <c r="Z339" s="29"/>
      <c r="AA339" s="29"/>
      <c r="AB339" s="29"/>
      <c r="AC339" s="29"/>
      <c r="AD339" s="59"/>
      <c r="AE339" s="29"/>
      <c r="AF339" s="29"/>
      <c r="AG339" s="29"/>
      <c r="AH339" s="27"/>
      <c r="AI339" s="29" t="s">
        <v>19</v>
      </c>
      <c r="AJ339" s="139"/>
      <c r="AK339" s="198"/>
      <c r="AL339" s="102"/>
      <c r="AM339" s="41" t="str">
        <f>VLOOKUP(Table2[[#This Row],[country]],Countrycode!A:B,2,FALSE)</f>
        <v>MKD</v>
      </c>
      <c r="AN339" s="34">
        <f>IF(ISBLANK(Table2[[#This Row],[Need_RRA]]), 2,(IF(Table2[[#This Row],[Need_RRA]]="No", 0, (IF(AND(Table2[[#This Row],[Need_RRA]]="Yes",  Table2[[#This Row],[RRA_pub_date]]=""),1, 0)))))</f>
        <v>0</v>
      </c>
      <c r="AO339" s="34">
        <f>IF(ISBLANK(Table2[[#This Row],[Need_EIS]]), 2,(IF(Table2[[#This Row],[Need_EIS]]="No", 0, (IF(AND(Table2[[#This Row],[Need_EIS]]="Yes",  Table2[[#This Row],[EIS_pub_date]]=""),1, 0)))))</f>
        <v>0</v>
      </c>
      <c r="AP339" s="34">
        <f>IF(ISBLANK(Table2[[#This Row],[Need_DON]]), 2,(IF(Table2[[#This Row],[Need_DON]]="No", 0, (IF(AND(Table2[[#This Row],[Need_DON]]="Yes",  Table2[[#This Row],[DON_pub_date]]=""),1, 0)))))</f>
        <v>0</v>
      </c>
      <c r="AQ339" s="34">
        <f>IF(ISBLANK(Table2[[#This Row],[Pending_question]]), 2,(IF(Table2[[#This Row],[Pending_question]]="Yes", 1, 0)))</f>
        <v>0</v>
      </c>
      <c r="AR339" s="43"/>
    </row>
    <row r="340" spans="1:44" ht="15" customHeight="1">
      <c r="A340" s="63">
        <v>45161</v>
      </c>
      <c r="B340" s="29" t="s">
        <v>15</v>
      </c>
      <c r="C340" s="34" t="str" cm="1">
        <f t="array" ref="C34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40" s="27" t="s">
        <v>1451</v>
      </c>
      <c r="E340" s="67" t="s">
        <v>136</v>
      </c>
      <c r="F340" s="29" t="s">
        <v>169</v>
      </c>
      <c r="G340" s="29" t="s">
        <v>34</v>
      </c>
      <c r="H340" s="59">
        <v>45161</v>
      </c>
      <c r="I340" s="59"/>
      <c r="J340" s="59">
        <v>45155</v>
      </c>
      <c r="K340" s="63" t="s">
        <v>1482</v>
      </c>
      <c r="L340" s="104" t="s">
        <v>1483</v>
      </c>
      <c r="M340" s="70" t="s">
        <v>19</v>
      </c>
      <c r="N340" s="59"/>
      <c r="O340" s="85"/>
      <c r="P340" s="59" t="s">
        <v>30</v>
      </c>
      <c r="Q340" s="84">
        <v>1</v>
      </c>
      <c r="R340" s="29" t="s">
        <v>1484</v>
      </c>
      <c r="S340" s="59">
        <v>45159</v>
      </c>
      <c r="T340" s="59">
        <v>45167</v>
      </c>
      <c r="U340" s="59">
        <v>45188</v>
      </c>
      <c r="V340" s="29" t="s">
        <v>20</v>
      </c>
      <c r="W340" s="29" t="s">
        <v>32</v>
      </c>
      <c r="X340" s="27" t="s">
        <v>51</v>
      </c>
      <c r="Y340" s="29" t="s">
        <v>30</v>
      </c>
      <c r="Z340" s="29" t="s">
        <v>42</v>
      </c>
      <c r="AA340" s="29" t="s">
        <v>43</v>
      </c>
      <c r="AB340" s="29" t="s">
        <v>1485</v>
      </c>
      <c r="AC340" s="59">
        <v>45190</v>
      </c>
      <c r="AD340" s="59">
        <v>45191</v>
      </c>
      <c r="AE340" s="270">
        <v>45195</v>
      </c>
      <c r="AF340" s="59">
        <v>45197</v>
      </c>
      <c r="AG340" s="85">
        <v>45209</v>
      </c>
      <c r="AH340" s="85">
        <v>45210</v>
      </c>
      <c r="AI340" s="29" t="s">
        <v>30</v>
      </c>
      <c r="AJ340" s="139">
        <v>45211</v>
      </c>
      <c r="AK340" s="139">
        <v>45215</v>
      </c>
      <c r="AL340" s="102"/>
      <c r="AM340" s="41" t="str">
        <f>VLOOKUP(Table2[[#This Row],[country]],Countrycode!A:B,2,FALSE)</f>
        <v>TCD</v>
      </c>
      <c r="AN340" s="34">
        <f>IF(ISBLANK(Table2[[#This Row],[Need_RRA]]), 2,(IF(Table2[[#This Row],[Need_RRA]]="No", 0, (IF(AND(Table2[[#This Row],[Need_RRA]]="Yes",  Table2[[#This Row],[RRA_pub_date]]=""),1, 0)))))</f>
        <v>0</v>
      </c>
      <c r="AO340" s="34">
        <f>IF(ISBLANK(Table2[[#This Row],[Need_EIS]]), 2,(IF(Table2[[#This Row],[Need_EIS]]="No", 0, (IF(AND(Table2[[#This Row],[Need_EIS]]="Yes",  Table2[[#This Row],[EIS_pub_date]]=""),1, 0)))))</f>
        <v>0</v>
      </c>
      <c r="AP340" s="34">
        <f>IF(ISBLANK(Table2[[#This Row],[Need_DON]]), 2,(IF(Table2[[#This Row],[Need_DON]]="No", 0, (IF(AND(Table2[[#This Row],[Need_DON]]="Yes",  Table2[[#This Row],[DON_pub_date]]=""),1, 0)))))</f>
        <v>0</v>
      </c>
      <c r="AQ340" s="34">
        <f>IF(ISBLANK(Table2[[#This Row],[Pending_question]]), 2,(IF(Table2[[#This Row],[Pending_question]]="Yes", 1, 0)))</f>
        <v>0</v>
      </c>
      <c r="AR340" s="43"/>
    </row>
    <row r="341" spans="1:44" ht="15" customHeight="1">
      <c r="A341" s="63">
        <v>45161</v>
      </c>
      <c r="B341" s="29" t="s">
        <v>15</v>
      </c>
      <c r="C341" s="34" t="str" cm="1">
        <f t="array" ref="C34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41" s="27" t="s">
        <v>1020</v>
      </c>
      <c r="E341" s="67" t="s">
        <v>104</v>
      </c>
      <c r="F341" s="29" t="s">
        <v>173</v>
      </c>
      <c r="G341" s="29" t="s">
        <v>34</v>
      </c>
      <c r="H341" s="59">
        <v>45161</v>
      </c>
      <c r="I341" s="59"/>
      <c r="J341" s="59">
        <v>43332</v>
      </c>
      <c r="K341" s="63" t="s">
        <v>636</v>
      </c>
      <c r="L341" s="104" t="s">
        <v>712</v>
      </c>
      <c r="M341" s="70" t="s">
        <v>19</v>
      </c>
      <c r="N341" s="59"/>
      <c r="O341" s="85"/>
      <c r="P341" s="59" t="s">
        <v>19</v>
      </c>
      <c r="Q341" s="84"/>
      <c r="R341" s="29"/>
      <c r="S341" s="29"/>
      <c r="T341" s="59"/>
      <c r="U341" s="29"/>
      <c r="V341" s="29"/>
      <c r="W341" s="29"/>
      <c r="X341" s="27"/>
      <c r="Y341" s="29" t="s">
        <v>30</v>
      </c>
      <c r="Z341" s="29" t="s">
        <v>42</v>
      </c>
      <c r="AA341" s="29" t="s">
        <v>22</v>
      </c>
      <c r="AB341" s="29" t="s">
        <v>1486</v>
      </c>
      <c r="AC341" s="59">
        <v>45160</v>
      </c>
      <c r="AD341" s="59">
        <v>45161</v>
      </c>
      <c r="AE341" s="59">
        <v>45162</v>
      </c>
      <c r="AF341" s="59">
        <v>45162</v>
      </c>
      <c r="AG341" s="59">
        <v>45167</v>
      </c>
      <c r="AH341" s="85">
        <v>45167</v>
      </c>
      <c r="AI341" s="29" t="s">
        <v>19</v>
      </c>
      <c r="AJ341" s="139"/>
      <c r="AK341" s="198"/>
      <c r="AL341" s="102"/>
      <c r="AM341" s="41" t="str">
        <f>VLOOKUP(Table2[[#This Row],[country]],Countrycode!A:B,2,FALSE)</f>
        <v>CHN</v>
      </c>
      <c r="AN341" s="34">
        <f>IF(ISBLANK(Table2[[#This Row],[Need_RRA]]), 2,(IF(Table2[[#This Row],[Need_RRA]]="No", 0, (IF(AND(Table2[[#This Row],[Need_RRA]]="Yes",  Table2[[#This Row],[RRA_pub_date]]=""),1, 0)))))</f>
        <v>0</v>
      </c>
      <c r="AO341" s="34">
        <f>IF(ISBLANK(Table2[[#This Row],[Need_EIS]]), 2,(IF(Table2[[#This Row],[Need_EIS]]="No", 0, (IF(AND(Table2[[#This Row],[Need_EIS]]="Yes",  Table2[[#This Row],[EIS_pub_date]]=""),1, 0)))))</f>
        <v>0</v>
      </c>
      <c r="AP341" s="34">
        <f>IF(ISBLANK(Table2[[#This Row],[Need_DON]]), 2,(IF(Table2[[#This Row],[Need_DON]]="No", 0, (IF(AND(Table2[[#This Row],[Need_DON]]="Yes",  Table2[[#This Row],[DON_pub_date]]=""),1, 0)))))</f>
        <v>0</v>
      </c>
      <c r="AQ341" s="34">
        <f>IF(ISBLANK(Table2[[#This Row],[Pending_question]]), 2,(IF(Table2[[#This Row],[Pending_question]]="Yes", 1, 0)))</f>
        <v>0</v>
      </c>
      <c r="AR341" s="43"/>
    </row>
    <row r="342" spans="1:44" ht="15" customHeight="1">
      <c r="A342" s="63">
        <v>45161</v>
      </c>
      <c r="B342" s="29" t="s">
        <v>15</v>
      </c>
      <c r="C342" s="34" t="str" cm="1">
        <f t="array" ref="C34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42" s="27" t="s">
        <v>1415</v>
      </c>
      <c r="E342" s="67" t="s">
        <v>138</v>
      </c>
      <c r="F342" s="29" t="s">
        <v>265</v>
      </c>
      <c r="G342" s="29" t="s">
        <v>34</v>
      </c>
      <c r="H342" s="150">
        <v>45161</v>
      </c>
      <c r="I342" s="59"/>
      <c r="J342" s="59">
        <v>45165</v>
      </c>
      <c r="K342" s="59" t="s">
        <v>1487</v>
      </c>
      <c r="L342" s="104" t="s">
        <v>1488</v>
      </c>
      <c r="M342" s="70" t="s">
        <v>19</v>
      </c>
      <c r="N342" s="59"/>
      <c r="O342" s="85"/>
      <c r="P342" s="59" t="s">
        <v>30</v>
      </c>
      <c r="Q342" s="84">
        <v>1</v>
      </c>
      <c r="R342" s="29" t="s">
        <v>1489</v>
      </c>
      <c r="S342" s="150">
        <v>45161</v>
      </c>
      <c r="T342" s="59">
        <v>45161</v>
      </c>
      <c r="U342" s="59">
        <v>45175</v>
      </c>
      <c r="V342" s="269" t="s">
        <v>20</v>
      </c>
      <c r="W342" s="269" t="s">
        <v>32</v>
      </c>
      <c r="X342" s="27" t="s">
        <v>51</v>
      </c>
      <c r="Y342" s="29" t="s">
        <v>30</v>
      </c>
      <c r="Z342" s="29" t="s">
        <v>42</v>
      </c>
      <c r="AA342" s="29" t="s">
        <v>43</v>
      </c>
      <c r="AB342" s="29" t="s">
        <v>1490</v>
      </c>
      <c r="AC342" s="59">
        <v>45175</v>
      </c>
      <c r="AD342" s="59">
        <v>45181</v>
      </c>
      <c r="AE342" s="59">
        <v>45183</v>
      </c>
      <c r="AF342" s="29"/>
      <c r="AG342" s="29"/>
      <c r="AH342" s="85">
        <v>45211</v>
      </c>
      <c r="AI342" s="29" t="s">
        <v>30</v>
      </c>
      <c r="AJ342" s="139">
        <v>45211</v>
      </c>
      <c r="AK342" s="85">
        <v>45217</v>
      </c>
      <c r="AL342" s="102"/>
      <c r="AM342" s="41" t="str">
        <f>VLOOKUP(Table2[[#This Row],[country]],Countrycode!A:B,2,FALSE)</f>
        <v>GIN</v>
      </c>
      <c r="AN342" s="34">
        <f>IF(ISBLANK(Table2[[#This Row],[Need_RRA]]), 2,(IF(Table2[[#This Row],[Need_RRA]]="No", 0, (IF(AND(Table2[[#This Row],[Need_RRA]]="Yes",  Table2[[#This Row],[RRA_pub_date]]=""),1, 0)))))</f>
        <v>0</v>
      </c>
      <c r="AO342" s="34">
        <f>IF(ISBLANK(Table2[[#This Row],[Need_EIS]]), 2,(IF(Table2[[#This Row],[Need_EIS]]="No", 0, (IF(AND(Table2[[#This Row],[Need_EIS]]="Yes",  Table2[[#This Row],[EIS_pub_date]]=""),1, 0)))))</f>
        <v>0</v>
      </c>
      <c r="AP342" s="34">
        <f>IF(ISBLANK(Table2[[#This Row],[Need_DON]]), 2,(IF(Table2[[#This Row],[Need_DON]]="No", 0, (IF(AND(Table2[[#This Row],[Need_DON]]="Yes",  Table2[[#This Row],[DON_pub_date]]=""),1, 0)))))</f>
        <v>0</v>
      </c>
      <c r="AQ342" s="34">
        <f>IF(ISBLANK(Table2[[#This Row],[Pending_question]]), 2,(IF(Table2[[#This Row],[Pending_question]]="Yes", 1, 0)))</f>
        <v>0</v>
      </c>
      <c r="AR342" s="43"/>
    </row>
    <row r="343" spans="1:44" ht="15" customHeight="1">
      <c r="A343" s="63">
        <v>45163</v>
      </c>
      <c r="B343" s="29" t="s">
        <v>15</v>
      </c>
      <c r="C343" s="34" t="str" cm="1">
        <f t="array" ref="C34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43" s="27" t="s">
        <v>1491</v>
      </c>
      <c r="E343" s="67" t="s">
        <v>168</v>
      </c>
      <c r="F343" s="29" t="s">
        <v>343</v>
      </c>
      <c r="G343" s="29" t="s">
        <v>34</v>
      </c>
      <c r="H343" s="150">
        <v>45163</v>
      </c>
      <c r="I343" s="59"/>
      <c r="J343" s="59">
        <v>45163</v>
      </c>
      <c r="K343" s="167" t="s">
        <v>1492</v>
      </c>
      <c r="L343" s="104" t="s">
        <v>1493</v>
      </c>
      <c r="M343" s="70" t="s">
        <v>19</v>
      </c>
      <c r="N343" s="59"/>
      <c r="O343" s="85"/>
      <c r="P343" s="59" t="s">
        <v>19</v>
      </c>
      <c r="Q343" s="84"/>
      <c r="R343" s="29"/>
      <c r="S343" s="29"/>
      <c r="T343" s="59"/>
      <c r="U343" s="29"/>
      <c r="V343" s="29"/>
      <c r="W343" s="29"/>
      <c r="X343" s="27"/>
      <c r="Y343" s="29" t="s">
        <v>30</v>
      </c>
      <c r="Z343" s="29" t="s">
        <v>42</v>
      </c>
      <c r="AA343" s="29" t="s">
        <v>43</v>
      </c>
      <c r="AB343" s="29" t="s">
        <v>1494</v>
      </c>
      <c r="AC343" s="59">
        <v>45173</v>
      </c>
      <c r="AD343" s="59">
        <v>45173</v>
      </c>
      <c r="AE343" s="150">
        <v>45174</v>
      </c>
      <c r="AF343" s="59">
        <v>45176</v>
      </c>
      <c r="AG343" s="59">
        <v>45177</v>
      </c>
      <c r="AH343" s="85">
        <v>45177</v>
      </c>
      <c r="AI343" s="29" t="s">
        <v>30</v>
      </c>
      <c r="AJ343" s="139">
        <v>45178</v>
      </c>
      <c r="AK343" s="85">
        <v>45183</v>
      </c>
      <c r="AL343" s="102"/>
      <c r="AM343" s="41" t="str">
        <f>VLOOKUP(Table2[[#This Row],[country]],Countrycode!A:B,2,FALSE)</f>
        <v>POL</v>
      </c>
      <c r="AN343" s="34">
        <f>IF(ISBLANK(Table2[[#This Row],[Need_RRA]]), 2,(IF(Table2[[#This Row],[Need_RRA]]="No", 0, (IF(AND(Table2[[#This Row],[Need_RRA]]="Yes",  Table2[[#This Row],[RRA_pub_date]]=""),1, 0)))))</f>
        <v>0</v>
      </c>
      <c r="AO343" s="41">
        <f>IF(ISBLANK(Table2[[#This Row],[Need_EIS]]), 2,(IF(Table2[[#This Row],[Need_EIS]]="No", 0, (IF(AND(Table2[[#This Row],[Need_EIS]]="Yes",  Table2[[#This Row],[EIS_pub_date]]=""),1, 0)))))</f>
        <v>0</v>
      </c>
      <c r="AP343" s="41">
        <f>IF(ISBLANK(Table2[[#This Row],[Need_DON]]), 2,(IF(Table2[[#This Row],[Need_DON]]="No", 0, (IF(AND(Table2[[#This Row],[Need_DON]]="Yes",  Table2[[#This Row],[DON_pub_date]]=""),1, 0)))))</f>
        <v>0</v>
      </c>
      <c r="AQ343" s="34">
        <f>IF(ISBLANK(Table2[[#This Row],[Pending_question]]), 2,(IF(Table2[[#This Row],[Pending_question]]="Yes", 1, 0)))</f>
        <v>0</v>
      </c>
      <c r="AR343" s="43"/>
    </row>
    <row r="344" spans="1:44" ht="15" customHeight="1">
      <c r="A344" s="63">
        <v>45166</v>
      </c>
      <c r="B344" s="29" t="s">
        <v>15</v>
      </c>
      <c r="C344" s="34" t="str" cm="1">
        <f t="array" ref="C34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44" s="27" t="s">
        <v>1495</v>
      </c>
      <c r="E344" s="67" t="s">
        <v>162</v>
      </c>
      <c r="F344" s="29" t="s">
        <v>189</v>
      </c>
      <c r="G344" s="29" t="s">
        <v>34</v>
      </c>
      <c r="H344" s="59">
        <v>45166</v>
      </c>
      <c r="I344" s="59"/>
      <c r="J344" s="59">
        <v>45153</v>
      </c>
      <c r="K344" s="296" t="s">
        <v>1496</v>
      </c>
      <c r="L344" s="104" t="s">
        <v>1497</v>
      </c>
      <c r="M344" s="70" t="s">
        <v>19</v>
      </c>
      <c r="N344" s="59"/>
      <c r="O344" s="85"/>
      <c r="P344" s="59" t="s">
        <v>30</v>
      </c>
      <c r="Q344" s="84">
        <v>1</v>
      </c>
      <c r="R344" s="29" t="s">
        <v>1498</v>
      </c>
      <c r="S344" s="59">
        <v>45146</v>
      </c>
      <c r="T344" s="59">
        <v>45146</v>
      </c>
      <c r="U344" s="59">
        <v>45168</v>
      </c>
      <c r="V344" s="29" t="s">
        <v>20</v>
      </c>
      <c r="W344" s="29" t="s">
        <v>32</v>
      </c>
      <c r="X344" s="27" t="s">
        <v>51</v>
      </c>
      <c r="Y344" s="29" t="s">
        <v>30</v>
      </c>
      <c r="Z344" s="29" t="s">
        <v>42</v>
      </c>
      <c r="AA344" s="29" t="s">
        <v>43</v>
      </c>
      <c r="AB344" s="29" t="s">
        <v>1499</v>
      </c>
      <c r="AC344" s="150">
        <v>45150</v>
      </c>
      <c r="AD344" s="59">
        <v>45168</v>
      </c>
      <c r="AE344" s="59">
        <v>45170</v>
      </c>
      <c r="AF344" s="29"/>
      <c r="AG344" s="59">
        <v>45176</v>
      </c>
      <c r="AH344" s="85">
        <v>45177</v>
      </c>
      <c r="AI344" s="29" t="s">
        <v>30</v>
      </c>
      <c r="AJ344" s="139">
        <v>45180</v>
      </c>
      <c r="AK344" s="85">
        <v>45190</v>
      </c>
      <c r="AL344" s="102"/>
      <c r="AM344" s="41" t="str">
        <f>VLOOKUP(Table2[[#This Row],[country]],Countrycode!A:B,2,FALSE)</f>
        <v>COG</v>
      </c>
      <c r="AN344" s="34">
        <f>IF(ISBLANK(Table2[[#This Row],[Need_RRA]]), 2,(IF(Table2[[#This Row],[Need_RRA]]="No", 0, (IF(AND(Table2[[#This Row],[Need_RRA]]="Yes",  Table2[[#This Row],[RRA_pub_date]]=""),1, 0)))))</f>
        <v>0</v>
      </c>
      <c r="AO344" s="41">
        <f>IF(ISBLANK(Table2[[#This Row],[Need_EIS]]), 2,(IF(Table2[[#This Row],[Need_EIS]]="No", 0, (IF(AND(Table2[[#This Row],[Need_EIS]]="Yes",  Table2[[#This Row],[EIS_pub_date]]=""),1, 0)))))</f>
        <v>0</v>
      </c>
      <c r="AP344" s="41">
        <f>IF(ISBLANK(Table2[[#This Row],[Need_DON]]), 2,(IF(Table2[[#This Row],[Need_DON]]="No", 0, (IF(AND(Table2[[#This Row],[Need_DON]]="Yes",  Table2[[#This Row],[DON_pub_date]]=""),1, 0)))))</f>
        <v>0</v>
      </c>
      <c r="AQ344" s="34">
        <f>IF(ISBLANK(Table2[[#This Row],[Pending_question]]), 2,(IF(Table2[[#This Row],[Pending_question]]="Yes", 1, 0)))</f>
        <v>0</v>
      </c>
      <c r="AR344" s="43"/>
    </row>
    <row r="345" spans="1:44" ht="15" customHeight="1">
      <c r="A345" s="63">
        <v>45175</v>
      </c>
      <c r="B345" s="29" t="s">
        <v>15</v>
      </c>
      <c r="C345" s="34" t="str" cm="1">
        <f t="array" ref="C34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45" s="27" t="s">
        <v>927</v>
      </c>
      <c r="E345" s="67" t="s">
        <v>233</v>
      </c>
      <c r="F345" s="29" t="s">
        <v>323</v>
      </c>
      <c r="G345" s="29" t="s">
        <v>34</v>
      </c>
      <c r="H345" s="59">
        <v>45175</v>
      </c>
      <c r="I345" s="59"/>
      <c r="J345" s="59">
        <v>45173</v>
      </c>
      <c r="K345" s="167" t="s">
        <v>1500</v>
      </c>
      <c r="L345" s="104" t="s">
        <v>1501</v>
      </c>
      <c r="M345" s="70" t="s">
        <v>19</v>
      </c>
      <c r="N345" s="59"/>
      <c r="O345" s="85"/>
      <c r="P345" s="59" t="s">
        <v>19</v>
      </c>
      <c r="Q345" s="84"/>
      <c r="R345" s="29"/>
      <c r="S345" s="29"/>
      <c r="T345" s="59"/>
      <c r="U345" s="29"/>
      <c r="V345" s="29"/>
      <c r="W345" s="29"/>
      <c r="X345" s="27"/>
      <c r="Y345" s="29" t="s">
        <v>30</v>
      </c>
      <c r="Z345" s="29" t="s">
        <v>42</v>
      </c>
      <c r="AA345" s="29" t="s">
        <v>22</v>
      </c>
      <c r="AB345" s="16" t="s">
        <v>1502</v>
      </c>
      <c r="AC345" s="59">
        <v>45173</v>
      </c>
      <c r="AD345" s="59">
        <v>45175</v>
      </c>
      <c r="AE345" s="59">
        <v>45175</v>
      </c>
      <c r="AF345" s="59">
        <v>45176</v>
      </c>
      <c r="AG345" s="59">
        <v>45176</v>
      </c>
      <c r="AH345" s="85">
        <v>45177</v>
      </c>
      <c r="AI345" s="29" t="s">
        <v>30</v>
      </c>
      <c r="AJ345" s="139">
        <v>45178</v>
      </c>
      <c r="AK345" s="85">
        <v>45182</v>
      </c>
      <c r="AL345" s="102"/>
      <c r="AM345" s="41" t="str">
        <f>VLOOKUP(Table2[[#This Row],[country]],Countrycode!A:B,2,FALSE)</f>
        <v>NLD</v>
      </c>
      <c r="AN345" s="34">
        <f>IF(ISBLANK(Table2[[#This Row],[Need_RRA]]), 2,(IF(Table2[[#This Row],[Need_RRA]]="No", 0, (IF(AND(Table2[[#This Row],[Need_RRA]]="Yes",  Table2[[#This Row],[RRA_pub_date]]=""),1, 0)))))</f>
        <v>0</v>
      </c>
      <c r="AO345" s="41">
        <f>IF(ISBLANK(Table2[[#This Row],[Need_EIS]]), 2,(IF(Table2[[#This Row],[Need_EIS]]="No", 0, (IF(AND(Table2[[#This Row],[Need_EIS]]="Yes",  Table2[[#This Row],[EIS_pub_date]]=""),1, 0)))))</f>
        <v>0</v>
      </c>
      <c r="AP345" s="41">
        <f>IF(ISBLANK(Table2[[#This Row],[Need_DON]]), 2,(IF(Table2[[#This Row],[Need_DON]]="No", 0, (IF(AND(Table2[[#This Row],[Need_DON]]="Yes",  Table2[[#This Row],[DON_pub_date]]=""),1, 0)))))</f>
        <v>0</v>
      </c>
      <c r="AQ345" s="34">
        <f>IF(ISBLANK(Table2[[#This Row],[Pending_question]]), 2,(IF(Table2[[#This Row],[Pending_question]]="Yes", 1, 0)))</f>
        <v>0</v>
      </c>
      <c r="AR345" s="43"/>
    </row>
    <row r="346" spans="1:44" ht="15" customHeight="1">
      <c r="A346" s="63">
        <v>45180</v>
      </c>
      <c r="B346" s="29" t="s">
        <v>15</v>
      </c>
      <c r="C346" s="34" t="str" cm="1">
        <f t="array" ref="C34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46" s="27" t="s">
        <v>1239</v>
      </c>
      <c r="E346" s="67" t="s">
        <v>128</v>
      </c>
      <c r="F346" s="29" t="s">
        <v>93</v>
      </c>
      <c r="G346" s="29" t="s">
        <v>93</v>
      </c>
      <c r="H346" s="29"/>
      <c r="I346" s="59"/>
      <c r="J346" s="59"/>
      <c r="K346" s="59"/>
      <c r="L346" s="104"/>
      <c r="M346" s="70" t="s">
        <v>19</v>
      </c>
      <c r="N346" s="59"/>
      <c r="O346" s="85"/>
      <c r="P346" s="59" t="s">
        <v>30</v>
      </c>
      <c r="Q346" s="84">
        <v>4</v>
      </c>
      <c r="R346" s="29" t="s">
        <v>1503</v>
      </c>
      <c r="S346" s="150">
        <v>45180</v>
      </c>
      <c r="T346" s="59">
        <v>45182</v>
      </c>
      <c r="U346" s="59">
        <v>45190</v>
      </c>
      <c r="V346" s="268" t="s">
        <v>34</v>
      </c>
      <c r="W346" s="268" t="s">
        <v>34</v>
      </c>
      <c r="X346" s="27" t="s">
        <v>41</v>
      </c>
      <c r="Y346" s="29" t="s">
        <v>19</v>
      </c>
      <c r="Z346" s="29"/>
      <c r="AA346" s="29"/>
      <c r="AB346" s="29"/>
      <c r="AC346" s="29"/>
      <c r="AD346" s="59"/>
      <c r="AE346" s="29"/>
      <c r="AF346" s="29"/>
      <c r="AG346" s="29"/>
      <c r="AH346" s="29"/>
      <c r="AI346" s="29" t="s">
        <v>19</v>
      </c>
      <c r="AJ346" s="139"/>
      <c r="AK346" s="27"/>
      <c r="AL346" s="102"/>
      <c r="AM346" s="41" t="e">
        <f>VLOOKUP(Table2[[#This Row],[country]],Countrycode!A:B,2,FALSE)</f>
        <v>#N/A</v>
      </c>
      <c r="AN346" s="34">
        <f>IF(ISBLANK(Table2[[#This Row],[Need_RRA]]), 2,(IF(Table2[[#This Row],[Need_RRA]]="No", 0, (IF(AND(Table2[[#This Row],[Need_RRA]]="Yes",  Table2[[#This Row],[RRA_pub_date]]=""),1, 0)))))</f>
        <v>0</v>
      </c>
      <c r="AO346" s="34">
        <f>IF(ISBLANK(Table2[[#This Row],[Need_EIS]]), 2,(IF(Table2[[#This Row],[Need_EIS]]="No", 0, (IF(AND(Table2[[#This Row],[Need_EIS]]="Yes",  Table2[[#This Row],[EIS_pub_date]]=""),1, 0)))))</f>
        <v>0</v>
      </c>
      <c r="AP346" s="34">
        <f>IF(ISBLANK(Table2[[#This Row],[Need_DON]]), 2,(IF(Table2[[#This Row],[Need_DON]]="No", 0, (IF(AND(Table2[[#This Row],[Need_DON]]="Yes",  Table2[[#This Row],[DON_pub_date]]=""),1, 0)))))</f>
        <v>0</v>
      </c>
      <c r="AQ346" s="34">
        <f>IF(ISBLANK(Table2[[#This Row],[Pending_question]]), 2,(IF(Table2[[#This Row],[Pending_question]]="Yes", 1, 0)))</f>
        <v>0</v>
      </c>
      <c r="AR346" s="43"/>
    </row>
    <row r="347" spans="1:44" ht="15" customHeight="1">
      <c r="A347" s="63">
        <v>45182</v>
      </c>
      <c r="B347" s="29" t="s">
        <v>15</v>
      </c>
      <c r="C347" s="34" t="str" cm="1">
        <f t="array" ref="C34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47" s="27" t="s">
        <v>1244</v>
      </c>
      <c r="E347" s="67" t="s">
        <v>118</v>
      </c>
      <c r="F347" s="29" t="s">
        <v>39</v>
      </c>
      <c r="G347" s="29" t="s">
        <v>746</v>
      </c>
      <c r="H347" s="59">
        <v>45182</v>
      </c>
      <c r="I347" s="59">
        <v>45182</v>
      </c>
      <c r="J347" s="59">
        <v>45182</v>
      </c>
      <c r="K347" s="59" t="s">
        <v>1504</v>
      </c>
      <c r="L347" s="104" t="s">
        <v>1505</v>
      </c>
      <c r="M347" s="70" t="s">
        <v>19</v>
      </c>
      <c r="N347" s="59"/>
      <c r="O347" s="85"/>
      <c r="P347" s="59" t="s">
        <v>19</v>
      </c>
      <c r="Q347" s="84"/>
      <c r="R347" s="29"/>
      <c r="S347" s="29"/>
      <c r="T347" s="59"/>
      <c r="U347" s="29"/>
      <c r="V347" s="29"/>
      <c r="W347" s="29"/>
      <c r="X347" s="27"/>
      <c r="Y347" s="29" t="s">
        <v>30</v>
      </c>
      <c r="Z347" s="29" t="s">
        <v>33</v>
      </c>
      <c r="AA347" s="29" t="s">
        <v>43</v>
      </c>
      <c r="AB347" s="262" t="s">
        <v>1506</v>
      </c>
      <c r="AC347" s="59">
        <v>45183</v>
      </c>
      <c r="AD347" s="59">
        <v>45183</v>
      </c>
      <c r="AE347" s="59">
        <v>45183</v>
      </c>
      <c r="AF347" s="29"/>
      <c r="AG347" s="29"/>
      <c r="AH347" s="85">
        <v>45186</v>
      </c>
      <c r="AI347" s="29" t="s">
        <v>30</v>
      </c>
      <c r="AJ347" s="85">
        <v>45188</v>
      </c>
      <c r="AK347" s="85">
        <v>45189</v>
      </c>
      <c r="AL347" s="102"/>
      <c r="AM347" s="41" t="str">
        <f>VLOOKUP(Table2[[#This Row],[country]],Countrycode!A:B,2,FALSE)</f>
        <v>MLX</v>
      </c>
      <c r="AN347" s="34">
        <f>IF(ISBLANK(Table2[[#This Row],[Need_RRA]]), 2,(IF(Table2[[#This Row],[Need_RRA]]="No", 0, (IF(AND(Table2[[#This Row],[Need_RRA]]="Yes",  Table2[[#This Row],[RRA_pub_date]]=""),1, 0)))))</f>
        <v>0</v>
      </c>
      <c r="AO347" s="34">
        <f>IF(ISBLANK(Table2[[#This Row],[Need_EIS]]), 2,(IF(Table2[[#This Row],[Need_EIS]]="No", 0, (IF(AND(Table2[[#This Row],[Need_EIS]]="Yes",  Table2[[#This Row],[EIS_pub_date]]=""),1, 0)))))</f>
        <v>0</v>
      </c>
      <c r="AP347" s="34">
        <f>IF(ISBLANK(Table2[[#This Row],[Need_DON]]), 2,(IF(Table2[[#This Row],[Need_DON]]="No", 0, (IF(AND(Table2[[#This Row],[Need_DON]]="Yes",  Table2[[#This Row],[DON_pub_date]]=""),1, 0)))))</f>
        <v>0</v>
      </c>
      <c r="AQ347" s="34">
        <f>IF(ISBLANK(Table2[[#This Row],[Pending_question]]), 2,(IF(Table2[[#This Row],[Pending_question]]="Yes", 1, 0)))</f>
        <v>0</v>
      </c>
      <c r="AR347" s="43"/>
    </row>
    <row r="348" spans="1:44" ht="15" customHeight="1">
      <c r="A348" s="63">
        <v>45184</v>
      </c>
      <c r="B348" s="29" t="s">
        <v>15</v>
      </c>
      <c r="C348" s="34" t="str" cm="1">
        <f t="array" ref="C34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48" s="27" t="s">
        <v>1338</v>
      </c>
      <c r="E348" s="67" t="s">
        <v>188</v>
      </c>
      <c r="F348" s="29" t="s">
        <v>274</v>
      </c>
      <c r="G348" s="29" t="s">
        <v>34</v>
      </c>
      <c r="H348" s="59">
        <v>45184</v>
      </c>
      <c r="I348" s="59"/>
      <c r="J348" s="59">
        <v>45184</v>
      </c>
      <c r="K348" s="59" t="s">
        <v>1507</v>
      </c>
      <c r="L348" s="104" t="s">
        <v>1508</v>
      </c>
      <c r="M348" s="70" t="s">
        <v>19</v>
      </c>
      <c r="N348" s="59"/>
      <c r="O348" s="85"/>
      <c r="P348" s="59" t="s">
        <v>30</v>
      </c>
      <c r="Q348" s="84">
        <v>1</v>
      </c>
      <c r="R348" s="29" t="s">
        <v>1509</v>
      </c>
      <c r="S348" s="59">
        <v>45184</v>
      </c>
      <c r="T348" s="59">
        <v>45187</v>
      </c>
      <c r="U348" s="59">
        <v>45192</v>
      </c>
      <c r="V348" s="29" t="s">
        <v>51</v>
      </c>
      <c r="W348" s="29" t="s">
        <v>51</v>
      </c>
      <c r="X348" s="27" t="s">
        <v>51</v>
      </c>
      <c r="Y348" s="29" t="s">
        <v>30</v>
      </c>
      <c r="Z348" s="29" t="s">
        <v>42</v>
      </c>
      <c r="AA348" s="29" t="s">
        <v>22</v>
      </c>
      <c r="AB348" s="29" t="s">
        <v>1510</v>
      </c>
      <c r="AC348" s="59">
        <v>45183</v>
      </c>
      <c r="AD348" s="59">
        <v>45187</v>
      </c>
      <c r="AE348" s="59">
        <v>45188</v>
      </c>
      <c r="AF348" s="59">
        <v>45189</v>
      </c>
      <c r="AG348" s="59">
        <v>45196</v>
      </c>
      <c r="AH348" s="85">
        <v>45197</v>
      </c>
      <c r="AI348" s="29" t="s">
        <v>30</v>
      </c>
      <c r="AJ348" s="139">
        <v>45197</v>
      </c>
      <c r="AK348" s="85">
        <v>45202</v>
      </c>
      <c r="AL348" s="102"/>
      <c r="AM348" s="41" t="str">
        <f>VLOOKUP(Table2[[#This Row],[country]],Countrycode!A:B,2,FALSE)</f>
        <v>IND</v>
      </c>
      <c r="AN348" s="34">
        <f>IF(ISBLANK(Table2[[#This Row],[Need_RRA]]), 2,(IF(Table2[[#This Row],[Need_RRA]]="No", 0, (IF(AND(Table2[[#This Row],[Need_RRA]]="Yes",  Table2[[#This Row],[RRA_pub_date]]=""),1, 0)))))</f>
        <v>0</v>
      </c>
      <c r="AO348" s="34">
        <f>IF(ISBLANK(Table2[[#This Row],[Need_EIS]]), 2,(IF(Table2[[#This Row],[Need_EIS]]="No", 0, (IF(AND(Table2[[#This Row],[Need_EIS]]="Yes",  Table2[[#This Row],[EIS_pub_date]]=""),1, 0)))))</f>
        <v>0</v>
      </c>
      <c r="AP348" s="34">
        <f>IF(ISBLANK(Table2[[#This Row],[Need_DON]]), 2,(IF(Table2[[#This Row],[Need_DON]]="No", 0, (IF(AND(Table2[[#This Row],[Need_DON]]="Yes",  Table2[[#This Row],[DON_pub_date]]=""),1, 0)))))</f>
        <v>0</v>
      </c>
      <c r="AQ348" s="34">
        <f>IF(ISBLANK(Table2[[#This Row],[Pending_question]]), 2,(IF(Table2[[#This Row],[Pending_question]]="Yes", 1, 0)))</f>
        <v>0</v>
      </c>
      <c r="AR348" s="43"/>
    </row>
    <row r="349" spans="1:44" ht="15" customHeight="1">
      <c r="A349" s="63">
        <v>45188</v>
      </c>
      <c r="B349" s="29" t="s">
        <v>15</v>
      </c>
      <c r="C349" s="34" t="str" cm="1">
        <f t="array" ref="C34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49" s="27" t="s">
        <v>1511</v>
      </c>
      <c r="E349" s="67" t="s">
        <v>104</v>
      </c>
      <c r="F349" s="29" t="s">
        <v>173</v>
      </c>
      <c r="G349" s="29" t="s">
        <v>34</v>
      </c>
      <c r="H349" s="59">
        <v>45188</v>
      </c>
      <c r="I349" s="59">
        <v>45188</v>
      </c>
      <c r="J349" s="59">
        <v>45183</v>
      </c>
      <c r="K349" s="59" t="s">
        <v>636</v>
      </c>
      <c r="L349" s="104" t="s">
        <v>712</v>
      </c>
      <c r="M349" s="70" t="s">
        <v>19</v>
      </c>
      <c r="N349" s="59"/>
      <c r="O349" s="85"/>
      <c r="P349" s="59" t="s">
        <v>19</v>
      </c>
      <c r="Q349" s="84"/>
      <c r="R349" s="29"/>
      <c r="S349" s="29"/>
      <c r="T349" s="59"/>
      <c r="U349" s="29"/>
      <c r="V349" s="29"/>
      <c r="W349" s="29"/>
      <c r="X349" s="27"/>
      <c r="Y349" s="29" t="s">
        <v>30</v>
      </c>
      <c r="Z349" s="29" t="s">
        <v>42</v>
      </c>
      <c r="AA349" s="29" t="s">
        <v>22</v>
      </c>
      <c r="AB349" s="29" t="s">
        <v>1512</v>
      </c>
      <c r="AC349" s="59">
        <v>45183</v>
      </c>
      <c r="AD349" s="59">
        <v>45183</v>
      </c>
      <c r="AE349" s="59">
        <v>45184</v>
      </c>
      <c r="AF349" s="85">
        <v>45188</v>
      </c>
      <c r="AG349" s="27"/>
      <c r="AH349" s="85">
        <v>45191</v>
      </c>
      <c r="AI349" s="29" t="s">
        <v>19</v>
      </c>
      <c r="AJ349" s="139"/>
      <c r="AK349" s="27"/>
      <c r="AL349" s="102"/>
      <c r="AM349" s="41" t="str">
        <f>VLOOKUP(Table2[[#This Row],[country]],Countrycode!A:B,2,FALSE)</f>
        <v>CHN</v>
      </c>
      <c r="AN349" s="34">
        <f>IF(ISBLANK(Table2[[#This Row],[Need_RRA]]), 2,(IF(Table2[[#This Row],[Need_RRA]]="No", 0, (IF(AND(Table2[[#This Row],[Need_RRA]]="Yes",  Table2[[#This Row],[RRA_pub_date]]=""),1, 0)))))</f>
        <v>0</v>
      </c>
      <c r="AO349" s="34">
        <f>IF(ISBLANK(Table2[[#This Row],[Need_EIS]]), 2,(IF(Table2[[#This Row],[Need_EIS]]="No", 0, (IF(AND(Table2[[#This Row],[Need_EIS]]="Yes",  Table2[[#This Row],[EIS_pub_date]]=""),1, 0)))))</f>
        <v>0</v>
      </c>
      <c r="AP349" s="34">
        <f>IF(ISBLANK(Table2[[#This Row],[Need_DON]]), 2,(IF(Table2[[#This Row],[Need_DON]]="No", 0, (IF(AND(Table2[[#This Row],[Need_DON]]="Yes",  Table2[[#This Row],[DON_pub_date]]=""),1, 0)))))</f>
        <v>0</v>
      </c>
      <c r="AQ349" s="34">
        <f>IF(ISBLANK(Table2[[#This Row],[Pending_question]]), 2,(IF(Table2[[#This Row],[Pending_question]]="Yes", 1, 0)))</f>
        <v>0</v>
      </c>
      <c r="AR349" s="43"/>
    </row>
    <row r="350" spans="1:44" ht="15" customHeight="1">
      <c r="A350" s="63">
        <v>45188</v>
      </c>
      <c r="B350" s="29" t="s">
        <v>15</v>
      </c>
      <c r="C350" s="34" t="str" cm="1">
        <f t="array" ref="C35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50" s="27" t="s">
        <v>1511</v>
      </c>
      <c r="E350" s="67" t="s">
        <v>110</v>
      </c>
      <c r="F350" s="29" t="s">
        <v>173</v>
      </c>
      <c r="G350" s="29" t="s">
        <v>34</v>
      </c>
      <c r="H350" s="59">
        <v>45188</v>
      </c>
      <c r="I350" s="59">
        <v>45188</v>
      </c>
      <c r="J350" s="59">
        <v>45183</v>
      </c>
      <c r="K350" s="167" t="s">
        <v>1326</v>
      </c>
      <c r="L350" s="104" t="s">
        <v>1287</v>
      </c>
      <c r="M350" s="70" t="s">
        <v>19</v>
      </c>
      <c r="N350" s="59"/>
      <c r="O350" s="85"/>
      <c r="P350" s="59" t="s">
        <v>19</v>
      </c>
      <c r="Q350" s="84"/>
      <c r="R350" s="29"/>
      <c r="S350" s="29"/>
      <c r="T350" s="59"/>
      <c r="U350" s="29"/>
      <c r="V350" s="29"/>
      <c r="W350" s="29"/>
      <c r="X350" s="27"/>
      <c r="Y350" s="29" t="s">
        <v>30</v>
      </c>
      <c r="Z350" s="29" t="s">
        <v>42</v>
      </c>
      <c r="AA350" s="29" t="s">
        <v>22</v>
      </c>
      <c r="AB350" s="29" t="s">
        <v>1512</v>
      </c>
      <c r="AC350" s="59">
        <v>45183</v>
      </c>
      <c r="AD350" s="59">
        <v>45183</v>
      </c>
      <c r="AE350" s="59">
        <v>45184</v>
      </c>
      <c r="AF350" s="59">
        <v>45188</v>
      </c>
      <c r="AG350" s="29"/>
      <c r="AH350" s="190">
        <v>45191</v>
      </c>
      <c r="AI350" s="29" t="s">
        <v>19</v>
      </c>
      <c r="AJ350" s="139"/>
      <c r="AK350" s="27"/>
      <c r="AL350" s="102"/>
      <c r="AM350" s="41" t="str">
        <f>VLOOKUP(Table2[[#This Row],[country]],Countrycode!A:B,2,FALSE)</f>
        <v>CHN</v>
      </c>
      <c r="AN350" s="34">
        <f>IF(ISBLANK(Table2[[#This Row],[Need_RRA]]), 2,(IF(Table2[[#This Row],[Need_RRA]]="No", 0, (IF(AND(Table2[[#This Row],[Need_RRA]]="Yes",  Table2[[#This Row],[RRA_pub_date]]=""),1, 0)))))</f>
        <v>0</v>
      </c>
      <c r="AO350" s="34">
        <f>IF(ISBLANK(Table2[[#This Row],[Need_EIS]]), 2,(IF(Table2[[#This Row],[Need_EIS]]="No", 0, (IF(AND(Table2[[#This Row],[Need_EIS]]="Yes",  Table2[[#This Row],[EIS_pub_date]]=""),1, 0)))))</f>
        <v>0</v>
      </c>
      <c r="AP350" s="34">
        <f>IF(ISBLANK(Table2[[#This Row],[Need_DON]]), 2,(IF(Table2[[#This Row],[Need_DON]]="No", 0, (IF(AND(Table2[[#This Row],[Need_DON]]="Yes",  Table2[[#This Row],[DON_pub_date]]=""),1, 0)))))</f>
        <v>0</v>
      </c>
      <c r="AQ350" s="34">
        <f>IF(ISBLANK(Table2[[#This Row],[Pending_question]]), 2,(IF(Table2[[#This Row],[Pending_question]]="Yes", 1, 0)))</f>
        <v>0</v>
      </c>
      <c r="AR350" s="43"/>
    </row>
    <row r="351" spans="1:44" ht="15" customHeight="1">
      <c r="A351" s="63">
        <v>45189</v>
      </c>
      <c r="B351" s="29" t="s">
        <v>15</v>
      </c>
      <c r="C351" s="34" t="str" cm="1">
        <f t="array" ref="C35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51" s="27" t="s">
        <v>1513</v>
      </c>
      <c r="E351" s="67" t="s">
        <v>138</v>
      </c>
      <c r="F351" s="29" t="s">
        <v>327</v>
      </c>
      <c r="G351" s="29" t="s">
        <v>34</v>
      </c>
      <c r="H351" s="29"/>
      <c r="I351" s="59"/>
      <c r="J351" s="59">
        <v>45189</v>
      </c>
      <c r="K351" s="59" t="s">
        <v>1514</v>
      </c>
      <c r="L351" s="104" t="s">
        <v>1515</v>
      </c>
      <c r="M351" s="70" t="s">
        <v>19</v>
      </c>
      <c r="N351" s="59" t="s">
        <v>1516</v>
      </c>
      <c r="O351" s="85"/>
      <c r="P351" s="59" t="s">
        <v>19</v>
      </c>
      <c r="Q351" s="84">
        <v>1</v>
      </c>
      <c r="R351" s="29" t="s">
        <v>1517</v>
      </c>
      <c r="S351" s="150">
        <v>45187</v>
      </c>
      <c r="T351" s="59">
        <v>45187</v>
      </c>
      <c r="U351" s="29"/>
      <c r="V351" s="29"/>
      <c r="W351" s="29"/>
      <c r="X351" s="27"/>
      <c r="Y351" s="29" t="s">
        <v>31</v>
      </c>
      <c r="Z351" s="29"/>
      <c r="AA351" s="29"/>
      <c r="AB351" s="29"/>
      <c r="AC351" s="29"/>
      <c r="AD351" s="59"/>
      <c r="AE351" s="29"/>
      <c r="AF351" s="29"/>
      <c r="AG351" s="29"/>
      <c r="AH351" s="27"/>
      <c r="AI351" s="29" t="s">
        <v>19</v>
      </c>
      <c r="AJ351" s="139"/>
      <c r="AK351" s="27"/>
      <c r="AL351" s="102" t="s">
        <v>1518</v>
      </c>
      <c r="AM351" s="41" t="str">
        <f>VLOOKUP(Table2[[#This Row],[country]],Countrycode!A:B,2,FALSE)</f>
        <v>NER</v>
      </c>
      <c r="AN351" s="34">
        <f>IF(ISBLANK(Table2[[#This Row],[Need_RRA]]), 2,(IF(Table2[[#This Row],[Need_RRA]]="No", 0, (IF(AND(Table2[[#This Row],[Need_RRA]]="Yes",  Table2[[#This Row],[RRA_pub_date]]=""),1, 0)))))</f>
        <v>0</v>
      </c>
      <c r="AO351" s="41">
        <f>IF(ISBLANK(Table2[[#This Row],[Need_EIS]]), 2,(IF(Table2[[#This Row],[Need_EIS]]="No", 0, (IF(AND(Table2[[#This Row],[Need_EIS]]="Yes",  Table2[[#This Row],[EIS_pub_date]]=""),1, 0)))))</f>
        <v>0</v>
      </c>
      <c r="AP351" s="41">
        <f>IF(ISBLANK(Table2[[#This Row],[Need_DON]]), 2,(IF(Table2[[#This Row],[Need_DON]]="No", 0, (IF(AND(Table2[[#This Row],[Need_DON]]="Yes",  Table2[[#This Row],[DON_pub_date]]=""),1, 0)))))</f>
        <v>0</v>
      </c>
      <c r="AQ351" s="34">
        <f>IF(ISBLANK(Table2[[#This Row],[Pending_question]]), 2,(IF(Table2[[#This Row],[Pending_question]]="Yes", 1, 0)))</f>
        <v>0</v>
      </c>
      <c r="AR351" s="43"/>
    </row>
    <row r="352" spans="1:44" ht="15" customHeight="1">
      <c r="A352" s="63">
        <v>45198</v>
      </c>
      <c r="B352" s="29" t="s">
        <v>15</v>
      </c>
      <c r="C352" s="131" t="str" cm="1">
        <f t="array" ref="C35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52" s="27" t="s">
        <v>1519</v>
      </c>
      <c r="E352" s="67" t="s">
        <v>99</v>
      </c>
      <c r="F352" s="29" t="s">
        <v>39</v>
      </c>
      <c r="G352" s="29" t="s">
        <v>1082</v>
      </c>
      <c r="H352" s="59">
        <v>45198</v>
      </c>
      <c r="I352" s="59">
        <v>45205</v>
      </c>
      <c r="J352" s="59">
        <v>45146</v>
      </c>
      <c r="K352" s="59" t="s">
        <v>1520</v>
      </c>
      <c r="L352" s="104" t="s">
        <v>1521</v>
      </c>
      <c r="M352" s="70" t="s">
        <v>19</v>
      </c>
      <c r="N352" s="59"/>
      <c r="O352" s="85"/>
      <c r="P352" s="59" t="s">
        <v>30</v>
      </c>
      <c r="Q352" s="84">
        <v>1</v>
      </c>
      <c r="R352" s="29" t="s">
        <v>1522</v>
      </c>
      <c r="S352" s="59">
        <v>45189</v>
      </c>
      <c r="T352" s="59">
        <v>45189</v>
      </c>
      <c r="U352" s="271">
        <v>45209</v>
      </c>
      <c r="V352" s="29" t="s">
        <v>34</v>
      </c>
      <c r="W352" s="29" t="s">
        <v>51</v>
      </c>
      <c r="X352" s="27" t="s">
        <v>34</v>
      </c>
      <c r="Y352" s="29" t="s">
        <v>19</v>
      </c>
      <c r="Z352" s="29"/>
      <c r="AA352" s="29"/>
      <c r="AB352" s="29"/>
      <c r="AC352" s="29"/>
      <c r="AD352" s="59"/>
      <c r="AE352" s="29"/>
      <c r="AF352" s="29"/>
      <c r="AG352" s="29"/>
      <c r="AH352" s="27"/>
      <c r="AI352" s="29" t="s">
        <v>19</v>
      </c>
      <c r="AJ352" s="139"/>
      <c r="AK352" s="27"/>
      <c r="AL352" s="102"/>
      <c r="AM352" s="41" t="str">
        <f>VLOOKUP(Table2[[#This Row],[country]],Countrycode!A:B,2,FALSE)</f>
        <v>MLX</v>
      </c>
      <c r="AN352" s="34">
        <f>IF(ISBLANK(Table2[[#This Row],[Need_RRA]]), 2,(IF(Table2[[#This Row],[Need_RRA]]="No", 0, (IF(AND(Table2[[#This Row],[Need_RRA]]="Yes",  Table2[[#This Row],[RRA_pub_date]]=""),1, 0)))))</f>
        <v>0</v>
      </c>
      <c r="AO352" s="41">
        <f>IF(ISBLANK(Table2[[#This Row],[Need_EIS]]), 2,(IF(Table2[[#This Row],[Need_EIS]]="No", 0, (IF(AND(Table2[[#This Row],[Need_EIS]]="Yes",  Table2[[#This Row],[EIS_pub_date]]=""),1, 0)))))</f>
        <v>0</v>
      </c>
      <c r="AP352" s="41">
        <f>IF(ISBLANK(Table2[[#This Row],[Need_DON]]), 2,(IF(Table2[[#This Row],[Need_DON]]="No", 0, (IF(AND(Table2[[#This Row],[Need_DON]]="Yes",  Table2[[#This Row],[DON_pub_date]]=""),1, 0)))))</f>
        <v>0</v>
      </c>
      <c r="AQ352" s="34">
        <f>IF(ISBLANK(Table2[[#This Row],[Pending_question]]), 2,(IF(Table2[[#This Row],[Pending_question]]="Yes", 1, 0)))</f>
        <v>0</v>
      </c>
      <c r="AR352" s="43"/>
    </row>
    <row r="353" spans="1:44" ht="15" customHeight="1">
      <c r="A353" s="63">
        <v>45202</v>
      </c>
      <c r="B353" s="206" t="s">
        <v>15</v>
      </c>
      <c r="C353" s="131" t="str" cm="1">
        <f t="array" ref="C35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53" s="208" t="s">
        <v>1158</v>
      </c>
      <c r="E353" s="70" t="s">
        <v>136</v>
      </c>
      <c r="F353" s="54" t="s">
        <v>39</v>
      </c>
      <c r="G353" s="206" t="s">
        <v>1523</v>
      </c>
      <c r="H353" s="54"/>
      <c r="I353" s="55"/>
      <c r="J353" s="210"/>
      <c r="K353" s="210"/>
      <c r="L353" s="341"/>
      <c r="M353" s="70" t="s">
        <v>19</v>
      </c>
      <c r="N353" s="55"/>
      <c r="O353" s="71"/>
      <c r="P353" s="55" t="s">
        <v>19</v>
      </c>
      <c r="Q353" s="216"/>
      <c r="R353" s="54"/>
      <c r="S353" s="206"/>
      <c r="T353" s="59"/>
      <c r="U353" s="29"/>
      <c r="V353" s="206"/>
      <c r="W353" s="206"/>
      <c r="X353" s="208"/>
      <c r="Y353" s="54" t="s">
        <v>30</v>
      </c>
      <c r="Z353" s="206" t="s">
        <v>33</v>
      </c>
      <c r="AA353" s="206" t="s">
        <v>22</v>
      </c>
      <c r="AB353" s="54" t="s">
        <v>1524</v>
      </c>
      <c r="AC353" s="210">
        <v>45202</v>
      </c>
      <c r="AD353" s="210">
        <v>45212</v>
      </c>
      <c r="AE353" s="210">
        <v>45216</v>
      </c>
      <c r="AF353" s="210">
        <v>45224</v>
      </c>
      <c r="AG353" s="210">
        <v>45225</v>
      </c>
      <c r="AH353" s="389">
        <v>45226</v>
      </c>
      <c r="AI353" s="54" t="s">
        <v>19</v>
      </c>
      <c r="AJ353" s="394"/>
      <c r="AK353" s="208"/>
      <c r="AL353" s="218" t="s">
        <v>1525</v>
      </c>
      <c r="AM353" s="220" t="str">
        <f>VLOOKUP(Table2[[#This Row],[country]],Countrycode!A:B,2,FALSE)</f>
        <v>MLX</v>
      </c>
      <c r="AN353" s="131">
        <f>IF(ISBLANK(Table2[[#This Row],[Need_RRA]]), 2,(IF(Table2[[#This Row],[Need_RRA]]="No", 0, (IF(AND(Table2[[#This Row],[Need_RRA]]="Yes",  Table2[[#This Row],[RRA_pub_date]]=""),1, 0)))))</f>
        <v>0</v>
      </c>
      <c r="AO353" s="131">
        <f>IF(ISBLANK(Table2[[#This Row],[Need_EIS]]), 2,(IF(Table2[[#This Row],[Need_EIS]]="No", 0, (IF(AND(Table2[[#This Row],[Need_EIS]]="Yes",  Table2[[#This Row],[EIS_pub_date]]=""),1, 0)))))</f>
        <v>0</v>
      </c>
      <c r="AP353" s="131">
        <f>IF(ISBLANK(Table2[[#This Row],[Need_DON]]), 2,(IF(Table2[[#This Row],[Need_DON]]="No", 0, (IF(AND(Table2[[#This Row],[Need_DON]]="Yes",  Table2[[#This Row],[DON_pub_date]]=""),1, 0)))))</f>
        <v>0</v>
      </c>
      <c r="AQ353" s="131">
        <f>IF(ISBLANK(Table2[[#This Row],[Pending_question]]), 2,(IF(Table2[[#This Row],[Pending_question]]="Yes", 1, 0)))</f>
        <v>0</v>
      </c>
      <c r="AR353" s="401"/>
    </row>
    <row r="354" spans="1:44" ht="15" customHeight="1">
      <c r="A354" s="63">
        <v>45210</v>
      </c>
      <c r="B354" s="207" t="s">
        <v>15</v>
      </c>
      <c r="C354" s="132" t="str" cm="1">
        <f t="array" ref="C35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54" s="209" t="s">
        <v>1020</v>
      </c>
      <c r="E354" s="70" t="s">
        <v>99</v>
      </c>
      <c r="F354" s="54" t="s">
        <v>159</v>
      </c>
      <c r="G354" s="207"/>
      <c r="H354" s="55">
        <v>45210</v>
      </c>
      <c r="I354" s="211"/>
      <c r="J354" s="211"/>
      <c r="K354" s="211"/>
      <c r="L354" s="212"/>
      <c r="M354" s="70" t="s">
        <v>19</v>
      </c>
      <c r="N354" s="55"/>
      <c r="O354" s="71"/>
      <c r="P354" s="55" t="s">
        <v>19</v>
      </c>
      <c r="Q354" s="217"/>
      <c r="R354" s="54"/>
      <c r="S354" s="207"/>
      <c r="T354" s="211"/>
      <c r="U354" s="207"/>
      <c r="V354" s="207"/>
      <c r="W354" s="207"/>
      <c r="X354" s="209"/>
      <c r="Y354" s="54" t="s">
        <v>30</v>
      </c>
      <c r="Z354" s="207" t="s">
        <v>42</v>
      </c>
      <c r="AA354" s="207" t="s">
        <v>22</v>
      </c>
      <c r="AB354" s="54" t="s">
        <v>1526</v>
      </c>
      <c r="AC354" s="59">
        <v>45209</v>
      </c>
      <c r="AD354" s="59">
        <v>45209</v>
      </c>
      <c r="AE354" s="211">
        <v>45211</v>
      </c>
      <c r="AF354" s="207"/>
      <c r="AG354" s="207"/>
      <c r="AH354" s="227">
        <v>45214</v>
      </c>
      <c r="AI354" s="54" t="s">
        <v>19</v>
      </c>
      <c r="AJ354" s="324"/>
      <c r="AK354" s="209"/>
      <c r="AL354" s="219"/>
      <c r="AM354" s="221" t="str">
        <f>VLOOKUP(Table2[[#This Row],[country]],Countrycode!A:B,2,FALSE)</f>
        <v>KHM</v>
      </c>
      <c r="AN354" s="132">
        <f>IF(ISBLANK(Table2[[#This Row],[Need_RRA]]), 2,(IF(Table2[[#This Row],[Need_RRA]]="No", 0, (IF(AND(Table2[[#This Row],[Need_RRA]]="Yes",  Table2[[#This Row],[RRA_pub_date]]=""),1, 0)))))</f>
        <v>0</v>
      </c>
      <c r="AO354" s="132">
        <f>IF(ISBLANK(Table2[[#This Row],[Need_EIS]]), 2,(IF(Table2[[#This Row],[Need_EIS]]="No", 0, (IF(AND(Table2[[#This Row],[Need_EIS]]="Yes",  Table2[[#This Row],[EIS_pub_date]]=""),1, 0)))))</f>
        <v>0</v>
      </c>
      <c r="AP354" s="132">
        <f>IF(ISBLANK(Table2[[#This Row],[Need_DON]]), 2,(IF(Table2[[#This Row],[Need_DON]]="No", 0, (IF(AND(Table2[[#This Row],[Need_DON]]="Yes",  Table2[[#This Row],[DON_pub_date]]=""),1, 0)))))</f>
        <v>0</v>
      </c>
      <c r="AQ354" s="132">
        <f>IF(ISBLANK(Table2[[#This Row],[Pending_question]]), 2,(IF(Table2[[#This Row],[Pending_question]]="Yes", 1, 0)))</f>
        <v>0</v>
      </c>
      <c r="AR354" s="400"/>
    </row>
    <row r="355" spans="1:44" ht="15" customHeight="1">
      <c r="A355" s="63">
        <v>45236</v>
      </c>
      <c r="B355" s="207" t="s">
        <v>15</v>
      </c>
      <c r="C355" s="131" t="str" cm="1">
        <f t="array" ref="C35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55" s="209" t="s">
        <v>1158</v>
      </c>
      <c r="E355" s="70" t="s">
        <v>136</v>
      </c>
      <c r="F355" s="54" t="s">
        <v>304</v>
      </c>
      <c r="G355" s="207" t="s">
        <v>34</v>
      </c>
      <c r="H355" s="338">
        <v>45236</v>
      </c>
      <c r="I355" s="211"/>
      <c r="J355" s="211">
        <v>45182</v>
      </c>
      <c r="K355" s="211" t="s">
        <v>1527</v>
      </c>
      <c r="L355" s="212" t="s">
        <v>1528</v>
      </c>
      <c r="M355" s="70" t="s">
        <v>19</v>
      </c>
      <c r="N355" s="55"/>
      <c r="O355" s="71"/>
      <c r="P355" s="55" t="s">
        <v>30</v>
      </c>
      <c r="Q355" s="217">
        <v>1</v>
      </c>
      <c r="R355" s="54" t="s">
        <v>1529</v>
      </c>
      <c r="S355" s="211">
        <v>45236</v>
      </c>
      <c r="T355" s="211">
        <v>45238</v>
      </c>
      <c r="U355" s="211">
        <v>45245</v>
      </c>
      <c r="V355" s="207" t="s">
        <v>20</v>
      </c>
      <c r="W355" s="207" t="s">
        <v>32</v>
      </c>
      <c r="X355" s="209" t="s">
        <v>51</v>
      </c>
      <c r="Y355" s="54" t="s">
        <v>19</v>
      </c>
      <c r="Z355" s="207"/>
      <c r="AA355" s="207"/>
      <c r="AB355" s="54"/>
      <c r="AC355" s="207"/>
      <c r="AD355" s="59"/>
      <c r="AE355" s="207"/>
      <c r="AF355" s="207"/>
      <c r="AG355" s="207"/>
      <c r="AH355" s="209"/>
      <c r="AI355" s="54" t="s">
        <v>19</v>
      </c>
      <c r="AJ355" s="324"/>
      <c r="AK355" s="399"/>
      <c r="AL355" s="219"/>
      <c r="AM355" s="221" t="str">
        <f>VLOOKUP(Table2[[#This Row],[country]],Countrycode!A:B,2,FALSE)</f>
        <v>MLI</v>
      </c>
      <c r="AN355" s="132">
        <f>IF(ISBLANK(Table2[[#This Row],[Need_RRA]]), 2,(IF(Table2[[#This Row],[Need_RRA]]="No", 0, (IF(AND(Table2[[#This Row],[Need_RRA]]="Yes",  Table2[[#This Row],[RRA_pub_date]]=""),1, 0)))))</f>
        <v>0</v>
      </c>
      <c r="AO355" s="132">
        <f>IF(ISBLANK(Table2[[#This Row],[Need_EIS]]), 2,(IF(Table2[[#This Row],[Need_EIS]]="No", 0, (IF(AND(Table2[[#This Row],[Need_EIS]]="Yes",  Table2[[#This Row],[EIS_pub_date]]=""),1, 0)))))</f>
        <v>0</v>
      </c>
      <c r="AP355" s="132">
        <f>IF(ISBLANK(Table2[[#This Row],[Need_DON]]), 2,(IF(Table2[[#This Row],[Need_DON]]="No", 0, (IF(AND(Table2[[#This Row],[Need_DON]]="Yes",  Table2[[#This Row],[DON_pub_date]]=""),1, 0)))))</f>
        <v>0</v>
      </c>
      <c r="AQ355" s="132">
        <f>IF(ISBLANK(Table2[[#This Row],[Pending_question]]), 2,(IF(Table2[[#This Row],[Pending_question]]="Yes", 1, 0)))</f>
        <v>0</v>
      </c>
      <c r="AR355" s="400"/>
    </row>
    <row r="356" spans="1:44" ht="15" customHeight="1">
      <c r="A356" s="63">
        <v>45239</v>
      </c>
      <c r="B356" s="29" t="s">
        <v>15</v>
      </c>
      <c r="C356" s="131" t="str" cm="1">
        <f t="array" ref="C35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56" s="208" t="s">
        <v>1387</v>
      </c>
      <c r="E356" s="70" t="s">
        <v>138</v>
      </c>
      <c r="F356" s="29" t="s">
        <v>39</v>
      </c>
      <c r="G356" s="29" t="s">
        <v>34</v>
      </c>
      <c r="H356" s="29"/>
      <c r="I356" s="223"/>
      <c r="J356" s="59" t="s">
        <v>709</v>
      </c>
      <c r="K356" s="59" t="s">
        <v>709</v>
      </c>
      <c r="L356" s="104" t="s">
        <v>709</v>
      </c>
      <c r="M356" s="70" t="s">
        <v>19</v>
      </c>
      <c r="N356" s="223"/>
      <c r="O356" s="226"/>
      <c r="P356" s="59" t="s">
        <v>19</v>
      </c>
      <c r="Q356" s="84"/>
      <c r="R356" s="29"/>
      <c r="S356" s="29"/>
      <c r="T356" s="223"/>
      <c r="U356" s="29"/>
      <c r="V356" s="29"/>
      <c r="W356" s="29"/>
      <c r="X356" s="27"/>
      <c r="Y356" s="29" t="s">
        <v>30</v>
      </c>
      <c r="Z356" s="29" t="s">
        <v>33</v>
      </c>
      <c r="AA356" s="29" t="s">
        <v>43</v>
      </c>
      <c r="AB356" s="29" t="s">
        <v>1530</v>
      </c>
      <c r="AC356" s="59">
        <v>45239</v>
      </c>
      <c r="AD356" s="59">
        <v>45239</v>
      </c>
      <c r="AE356" s="29"/>
      <c r="AF356" s="29"/>
      <c r="AG356" s="29"/>
      <c r="AH356" s="85">
        <v>45245</v>
      </c>
      <c r="AI356" s="29" t="s">
        <v>31</v>
      </c>
      <c r="AJ356" s="224"/>
      <c r="AK356" s="27"/>
      <c r="AL356" s="102"/>
      <c r="AM356" s="41" t="str">
        <f>VLOOKUP(Table2[[#This Row],[country]],Countrycode!A:B,2,FALSE)</f>
        <v>MLX</v>
      </c>
      <c r="AN356" s="34">
        <f>IF(ISBLANK(Table2[[#This Row],[Need_RRA]]), 2,(IF(Table2[[#This Row],[Need_RRA]]="No", 0, (IF(AND(Table2[[#This Row],[Need_RRA]]="Yes",  Table2[[#This Row],[RRA_pub_date]]=""),1, 0)))))</f>
        <v>0</v>
      </c>
      <c r="AO356" s="34">
        <f>IF(ISBLANK(Table2[[#This Row],[Need_EIS]]), 2,(IF(Table2[[#This Row],[Need_EIS]]="No", 0, (IF(AND(Table2[[#This Row],[Need_EIS]]="Yes",  Table2[[#This Row],[EIS_pub_date]]=""),1, 0)))))</f>
        <v>0</v>
      </c>
      <c r="AP356" s="34">
        <f>IF(ISBLANK(Table2[[#This Row],[Need_DON]]), 2,(IF(Table2[[#This Row],[Need_DON]]="No", 0, (IF(AND(Table2[[#This Row],[Need_DON]]="Yes",  Table2[[#This Row],[DON_pub_date]]=""),1, 0)))))</f>
        <v>0</v>
      </c>
      <c r="AQ356" s="34">
        <f>IF(ISBLANK(Table2[[#This Row],[Pending_question]]), 2,(IF(Table2[[#This Row],[Pending_question]]="Yes", 1, 0)))</f>
        <v>0</v>
      </c>
      <c r="AR356" s="225"/>
    </row>
    <row r="357" spans="1:44" ht="15.75" customHeight="1">
      <c r="A357" s="63">
        <v>45245</v>
      </c>
      <c r="B357" s="29" t="s">
        <v>15</v>
      </c>
      <c r="C357" s="34" t="str" cm="1">
        <f t="array" ref="C35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57" s="27" t="s">
        <v>1352</v>
      </c>
      <c r="E357" s="70" t="s">
        <v>136</v>
      </c>
      <c r="F357" s="54" t="s">
        <v>153</v>
      </c>
      <c r="G357" s="29" t="s">
        <v>34</v>
      </c>
      <c r="H357" s="55">
        <v>45245</v>
      </c>
      <c r="I357" s="59">
        <v>45246</v>
      </c>
      <c r="J357" s="59">
        <v>45182</v>
      </c>
      <c r="K357" s="273" t="s">
        <v>1531</v>
      </c>
      <c r="L357" s="104" t="s">
        <v>1532</v>
      </c>
      <c r="M357" s="70" t="s">
        <v>19</v>
      </c>
      <c r="N357" s="214"/>
      <c r="O357" s="215"/>
      <c r="P357" s="55" t="s">
        <v>30</v>
      </c>
      <c r="Q357" s="84">
        <v>1</v>
      </c>
      <c r="R357" s="54" t="s">
        <v>1533</v>
      </c>
      <c r="S357" s="59">
        <v>45236</v>
      </c>
      <c r="T357" s="59">
        <v>45239</v>
      </c>
      <c r="U357" s="59">
        <v>45247</v>
      </c>
      <c r="V357" s="269" t="s">
        <v>20</v>
      </c>
      <c r="W357" s="269" t="s">
        <v>32</v>
      </c>
      <c r="X357" s="27" t="s">
        <v>51</v>
      </c>
      <c r="Y357" s="54" t="s">
        <v>31</v>
      </c>
      <c r="Z357" s="29"/>
      <c r="AA357" s="29"/>
      <c r="AB357" s="54" t="s">
        <v>1534</v>
      </c>
      <c r="AC357" s="29"/>
      <c r="AD357" s="223"/>
      <c r="AE357" s="29"/>
      <c r="AF357" s="29"/>
      <c r="AG357" s="29"/>
      <c r="AH357" s="27"/>
      <c r="AI357" s="54" t="s">
        <v>31</v>
      </c>
      <c r="AJ357" s="223"/>
      <c r="AK357" s="29"/>
      <c r="AL357" s="102"/>
      <c r="AM357" s="41" t="str">
        <f>VLOOKUP(Table2[[#This Row],[country]],Countrycode!A:B,2,FALSE)</f>
        <v>BFA</v>
      </c>
      <c r="AN357" s="34">
        <f>IF(ISBLANK(Table2[[#This Row],[Need_RRA]]), 2,(IF(Table2[[#This Row],[Need_RRA]]="No", 0, (IF(AND(Table2[[#This Row],[Need_RRA]]="Yes",  Table2[[#This Row],[RRA_pub_date]]=""),1, 0)))))</f>
        <v>0</v>
      </c>
      <c r="AO357" s="34">
        <f>IF(ISBLANK(Table2[[#This Row],[Need_EIS]]), 2,(IF(Table2[[#This Row],[Need_EIS]]="No", 0, (IF(AND(Table2[[#This Row],[Need_EIS]]="Yes",  Table2[[#This Row],[EIS_pub_date]]=""),1, 0)))))</f>
        <v>0</v>
      </c>
      <c r="AP357" s="34">
        <f>IF(ISBLANK(Table2[[#This Row],[Need_DON]]), 2,(IF(Table2[[#This Row],[Need_DON]]="No", 0, (IF(AND(Table2[[#This Row],[Need_DON]]="Yes",  Table2[[#This Row],[DON_pub_date]]=""),1, 0)))))</f>
        <v>0</v>
      </c>
      <c r="AQ357" s="34">
        <f>IF(ISBLANK(Table2[[#This Row],[Pending_question]]), 2,(IF(Table2[[#This Row],[Pending_question]]="Yes", 1, 0)))</f>
        <v>0</v>
      </c>
      <c r="AR357" s="225"/>
    </row>
    <row r="358" spans="1:44" ht="15" customHeight="1">
      <c r="A358" s="63">
        <v>45247</v>
      </c>
      <c r="B358" s="159" t="s">
        <v>15</v>
      </c>
      <c r="C358" s="131" t="str" cm="1">
        <f t="array" ref="C35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58" s="161" t="s">
        <v>1352</v>
      </c>
      <c r="E358" s="70" t="s">
        <v>136</v>
      </c>
      <c r="F358" s="54" t="s">
        <v>1535</v>
      </c>
      <c r="G358" s="159" t="s">
        <v>34</v>
      </c>
      <c r="H358" s="55">
        <v>45247</v>
      </c>
      <c r="I358" s="229">
        <v>45251</v>
      </c>
      <c r="J358" s="162">
        <v>45238</v>
      </c>
      <c r="K358" s="162" t="s">
        <v>1536</v>
      </c>
      <c r="L358" s="163" t="s">
        <v>1537</v>
      </c>
      <c r="M358" s="70" t="s">
        <v>19</v>
      </c>
      <c r="N358" s="214"/>
      <c r="O358" s="215"/>
      <c r="P358" s="55" t="s">
        <v>19</v>
      </c>
      <c r="Q358" s="154">
        <v>1</v>
      </c>
      <c r="R358" s="54" t="s">
        <v>1538</v>
      </c>
      <c r="S358" s="378">
        <v>45246</v>
      </c>
      <c r="T358" s="229">
        <v>45246</v>
      </c>
      <c r="U358" s="159"/>
      <c r="V358" s="159"/>
      <c r="W358" s="159"/>
      <c r="X358" s="161"/>
      <c r="Y358" s="54" t="s">
        <v>31</v>
      </c>
      <c r="Z358" s="159"/>
      <c r="AA358" s="159"/>
      <c r="AB358" s="54"/>
      <c r="AC358" s="159"/>
      <c r="AD358" s="229"/>
      <c r="AE358" s="159"/>
      <c r="AF358" s="159"/>
      <c r="AG358" s="159"/>
      <c r="AH358" s="161"/>
      <c r="AI358" s="54" t="s">
        <v>31</v>
      </c>
      <c r="AJ358" s="307"/>
      <c r="AK358" s="161"/>
      <c r="AM358" s="16" t="e">
        <f>VLOOKUP(Table2[[#This Row],[country]],Countrycode!A:B,2,FALSE)</f>
        <v>#N/A</v>
      </c>
      <c r="AN358" s="160">
        <f>IF(ISBLANK(Table2[[#This Row],[Need_RRA]]), 2,(IF(Table2[[#This Row],[Need_RRA]]="No", 0, (IF(AND(Table2[[#This Row],[Need_RRA]]="Yes",  Table2[[#This Row],[RRA_pub_date]]=""),1, 0)))))</f>
        <v>0</v>
      </c>
      <c r="AO358" s="160">
        <f>IF(ISBLANK(Table2[[#This Row],[Need_EIS]]), 2,(IF(Table2[[#This Row],[Need_EIS]]="No", 0, (IF(AND(Table2[[#This Row],[Need_EIS]]="Yes",  Table2[[#This Row],[EIS_pub_date]]=""),1, 0)))))</f>
        <v>0</v>
      </c>
      <c r="AP358" s="160">
        <f>IF(ISBLANK(Table2[[#This Row],[Need_DON]]), 2,(IF(Table2[[#This Row],[Need_DON]]="No", 0, (IF(AND(Table2[[#This Row],[Need_DON]]="Yes",  Table2[[#This Row],[DON_pub_date]]=""),1, 0)))))</f>
        <v>0</v>
      </c>
      <c r="AQ358" s="160">
        <f>IF(ISBLANK(Table2[[#This Row],[Pending_question]]), 2,(IF(Table2[[#This Row],[Pending_question]]="Yes", 1, 0)))</f>
        <v>0</v>
      </c>
      <c r="AR358" s="230"/>
    </row>
    <row r="359" spans="1:44" ht="15" customHeight="1">
      <c r="A359" s="63">
        <v>45251</v>
      </c>
      <c r="B359" s="29" t="s">
        <v>15</v>
      </c>
      <c r="C359" s="131" t="str" cm="1">
        <f t="array" ref="C35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59" s="27" t="s">
        <v>1539</v>
      </c>
      <c r="E359" s="67" t="s">
        <v>136</v>
      </c>
      <c r="F359" s="29" t="s">
        <v>93</v>
      </c>
      <c r="G359" s="29" t="s">
        <v>93</v>
      </c>
      <c r="H359" s="59">
        <v>45251</v>
      </c>
      <c r="I359" s="223">
        <v>45254</v>
      </c>
      <c r="J359" s="59"/>
      <c r="K359" s="59"/>
      <c r="L359" s="104"/>
      <c r="M359" s="70" t="s">
        <v>19</v>
      </c>
      <c r="N359" s="223"/>
      <c r="O359" s="226"/>
      <c r="P359" s="59" t="s">
        <v>30</v>
      </c>
      <c r="Q359" s="84">
        <v>1</v>
      </c>
      <c r="R359" s="29" t="s">
        <v>1540</v>
      </c>
      <c r="S359" s="59">
        <v>45251</v>
      </c>
      <c r="T359" s="223">
        <v>45251</v>
      </c>
      <c r="U359" s="59">
        <v>45260</v>
      </c>
      <c r="V359" s="268" t="s">
        <v>34</v>
      </c>
      <c r="W359" s="268" t="s">
        <v>34</v>
      </c>
      <c r="X359" s="27" t="s">
        <v>20</v>
      </c>
      <c r="Y359" s="29" t="s">
        <v>30</v>
      </c>
      <c r="Z359" s="29" t="s">
        <v>42</v>
      </c>
      <c r="AA359" s="29" t="s">
        <v>43</v>
      </c>
      <c r="AB359" s="29" t="s">
        <v>1541</v>
      </c>
      <c r="AC359" s="59">
        <v>45262</v>
      </c>
      <c r="AD359" s="223">
        <v>45264</v>
      </c>
      <c r="AE359" s="59">
        <v>45265</v>
      </c>
      <c r="AF359" s="29"/>
      <c r="AG359" s="59">
        <v>45268</v>
      </c>
      <c r="AH359" s="85">
        <v>45268</v>
      </c>
      <c r="AI359" s="29" t="s">
        <v>30</v>
      </c>
      <c r="AJ359" s="164">
        <v>45271</v>
      </c>
      <c r="AK359" s="164">
        <v>45281</v>
      </c>
      <c r="AL359" s="102"/>
      <c r="AM359" s="41" t="e">
        <f>VLOOKUP(Table2[[#This Row],[country]],Countrycode!A:B,2,FALSE)</f>
        <v>#N/A</v>
      </c>
      <c r="AN359" s="34">
        <f>IF(ISBLANK(Table2[[#This Row],[Need_RRA]]), 2,(IF(Table2[[#This Row],[Need_RRA]]="No", 0, (IF(AND(Table2[[#This Row],[Need_RRA]]="Yes",  Table2[[#This Row],[RRA_pub_date]]=""),1, 0)))))</f>
        <v>0</v>
      </c>
      <c r="AO359" s="34">
        <f>IF(ISBLANK(Table2[[#This Row],[Need_EIS]]), 2,(IF(Table2[[#This Row],[Need_EIS]]="No", 0, (IF(AND(Table2[[#This Row],[Need_EIS]]="Yes",  Table2[[#This Row],[EIS_pub_date]]=""),1, 0)))))</f>
        <v>0</v>
      </c>
      <c r="AP359" s="34">
        <f>IF(ISBLANK(Table2[[#This Row],[Need_DON]]), 2,(IF(Table2[[#This Row],[Need_DON]]="No", 0, (IF(AND(Table2[[#This Row],[Need_DON]]="Yes",  Table2[[#This Row],[DON_pub_date]]=""),1, 0)))))</f>
        <v>0</v>
      </c>
      <c r="AQ359" s="34">
        <f>IF(ISBLANK(Table2[[#This Row],[Pending_question]]), 2,(IF(Table2[[#This Row],[Pending_question]]="Yes", 1, 0)))</f>
        <v>0</v>
      </c>
      <c r="AR359" s="225"/>
    </row>
    <row r="360" spans="1:44" ht="15" customHeight="1">
      <c r="A360" s="63">
        <v>45253</v>
      </c>
      <c r="B360" s="29" t="s">
        <v>15</v>
      </c>
      <c r="C360" s="131" t="str" cm="1">
        <f t="array" ref="C36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60" s="27"/>
      <c r="E360" s="67" t="s">
        <v>1542</v>
      </c>
      <c r="F360" s="29" t="s">
        <v>173</v>
      </c>
      <c r="G360" s="29"/>
      <c r="H360" s="29"/>
      <c r="I360" s="223"/>
      <c r="J360" s="59"/>
      <c r="K360" s="59"/>
      <c r="L360" s="104"/>
      <c r="M360" s="70" t="s">
        <v>19</v>
      </c>
      <c r="N360" s="223"/>
      <c r="O360" s="226"/>
      <c r="P360" s="59" t="s">
        <v>31</v>
      </c>
      <c r="Q360" s="84"/>
      <c r="R360" s="29"/>
      <c r="S360" s="29"/>
      <c r="T360" s="223"/>
      <c r="U360" s="29"/>
      <c r="V360" s="29"/>
      <c r="W360" s="29"/>
      <c r="X360" s="27"/>
      <c r="Y360" s="29" t="s">
        <v>31</v>
      </c>
      <c r="Z360" s="29"/>
      <c r="AA360" s="29"/>
      <c r="AB360" s="29"/>
      <c r="AC360" s="29"/>
      <c r="AD360" s="223"/>
      <c r="AE360" s="29"/>
      <c r="AF360" s="29"/>
      <c r="AG360" s="29"/>
      <c r="AH360" s="29"/>
      <c r="AI360" s="29" t="s">
        <v>30</v>
      </c>
      <c r="AJ360" s="139">
        <v>45253</v>
      </c>
      <c r="AK360" s="85">
        <v>45253</v>
      </c>
      <c r="AL360" s="102"/>
      <c r="AM360" s="41" t="str">
        <f>VLOOKUP(Table2[[#This Row],[country]],Countrycode!A:B,2,FALSE)</f>
        <v>CHN</v>
      </c>
      <c r="AN360" s="34">
        <f>IF(ISBLANK(Table2[[#This Row],[Need_RRA]]), 2,(IF(Table2[[#This Row],[Need_RRA]]="No", 0, (IF(AND(Table2[[#This Row],[Need_RRA]]="Yes",  Table2[[#This Row],[RRA_pub_date]]=""),1, 0)))))</f>
        <v>0</v>
      </c>
      <c r="AO360" s="34">
        <f>IF(ISBLANK(Table2[[#This Row],[Need_EIS]]), 2,(IF(Table2[[#This Row],[Need_EIS]]="No", 0, (IF(AND(Table2[[#This Row],[Need_EIS]]="Yes",  Table2[[#This Row],[EIS_pub_date]]=""),1, 0)))))</f>
        <v>0</v>
      </c>
      <c r="AP360" s="34">
        <f>IF(ISBLANK(Table2[[#This Row],[Need_DON]]), 2,(IF(Table2[[#This Row],[Need_DON]]="No", 0, (IF(AND(Table2[[#This Row],[Need_DON]]="Yes",  Table2[[#This Row],[DON_pub_date]]=""),1, 0)))))</f>
        <v>0</v>
      </c>
      <c r="AQ360" s="34">
        <f>IF(ISBLANK(Table2[[#This Row],[Pending_question]]), 2,(IF(Table2[[#This Row],[Pending_question]]="Yes", 1, 0)))</f>
        <v>0</v>
      </c>
      <c r="AR360" s="225"/>
    </row>
    <row r="361" spans="1:44" ht="15" customHeight="1">
      <c r="A361" s="63">
        <v>45254</v>
      </c>
      <c r="B361" s="29" t="s">
        <v>15</v>
      </c>
      <c r="C361" s="131" t="str" cm="1">
        <f t="array" ref="C36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61" s="27" t="s">
        <v>1020</v>
      </c>
      <c r="E361" s="70" t="s">
        <v>99</v>
      </c>
      <c r="F361" s="54" t="s">
        <v>159</v>
      </c>
      <c r="G361" s="29" t="s">
        <v>34</v>
      </c>
      <c r="H361" s="55">
        <v>45254</v>
      </c>
      <c r="I361" s="223">
        <v>45257</v>
      </c>
      <c r="J361" s="59">
        <v>45254</v>
      </c>
      <c r="K361" s="64" t="s">
        <v>1312</v>
      </c>
      <c r="L361" s="104" t="s">
        <v>1313</v>
      </c>
      <c r="M361" s="70" t="s">
        <v>19</v>
      </c>
      <c r="N361" s="214"/>
      <c r="O361" s="215"/>
      <c r="P361" s="55" t="s">
        <v>19</v>
      </c>
      <c r="Q361" s="84"/>
      <c r="R361" s="54"/>
      <c r="S361" s="29"/>
      <c r="T361" s="223"/>
      <c r="U361" s="29"/>
      <c r="V361" s="29"/>
      <c r="W361" s="29"/>
      <c r="X361" s="27"/>
      <c r="Y361" s="54" t="s">
        <v>30</v>
      </c>
      <c r="Z361" s="29" t="s">
        <v>42</v>
      </c>
      <c r="AA361" s="29" t="s">
        <v>22</v>
      </c>
      <c r="AB361" s="54" t="s">
        <v>1543</v>
      </c>
      <c r="AC361" s="59">
        <v>45254</v>
      </c>
      <c r="AD361" s="59">
        <v>45257</v>
      </c>
      <c r="AE361" s="59">
        <v>45257</v>
      </c>
      <c r="AF361" s="59">
        <v>45257</v>
      </c>
      <c r="AG361" s="59">
        <v>45258</v>
      </c>
      <c r="AH361" s="85">
        <v>45258</v>
      </c>
      <c r="AI361" s="54" t="s">
        <v>30</v>
      </c>
      <c r="AJ361" s="139">
        <v>45258</v>
      </c>
      <c r="AK361" s="85">
        <v>45259</v>
      </c>
      <c r="AL361" s="102"/>
      <c r="AM361" s="41" t="str">
        <f>VLOOKUP(Table2[[#This Row],[country]],Countrycode!A:B,2,FALSE)</f>
        <v>KHM</v>
      </c>
      <c r="AN361" s="34">
        <f>IF(ISBLANK(Table2[[#This Row],[Need_RRA]]), 2,(IF(Table2[[#This Row],[Need_RRA]]="No", 0, (IF(AND(Table2[[#This Row],[Need_RRA]]="Yes",  Table2[[#This Row],[RRA_pub_date]]=""),1, 0)))))</f>
        <v>0</v>
      </c>
      <c r="AO361" s="34">
        <f>IF(ISBLANK(Table2[[#This Row],[Need_EIS]]), 2,(IF(Table2[[#This Row],[Need_EIS]]="No", 0, (IF(AND(Table2[[#This Row],[Need_EIS]]="Yes",  Table2[[#This Row],[EIS_pub_date]]=""),1, 0)))))</f>
        <v>0</v>
      </c>
      <c r="AP361" s="34">
        <f>IF(ISBLANK(Table2[[#This Row],[Need_DON]]), 2,(IF(Table2[[#This Row],[Need_DON]]="No", 0, (IF(AND(Table2[[#This Row],[Need_DON]]="Yes",  Table2[[#This Row],[DON_pub_date]]=""),1, 0)))))</f>
        <v>0</v>
      </c>
      <c r="AQ361" s="34">
        <f>IF(ISBLANK(Table2[[#This Row],[Pending_question]]), 2,(IF(Table2[[#This Row],[Pending_question]]="Yes", 1, 0)))</f>
        <v>0</v>
      </c>
      <c r="AR361" s="225"/>
    </row>
    <row r="362" spans="1:44" ht="15" customHeight="1">
      <c r="A362" s="63">
        <v>45257</v>
      </c>
      <c r="B362" s="159" t="s">
        <v>15</v>
      </c>
      <c r="C362" s="131" t="str" cm="1">
        <f t="array" ref="C36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62" s="161" t="s">
        <v>1288</v>
      </c>
      <c r="E362" s="70" t="s">
        <v>213</v>
      </c>
      <c r="F362" s="54" t="s">
        <v>105</v>
      </c>
      <c r="G362" s="159" t="s">
        <v>34</v>
      </c>
      <c r="H362" s="55">
        <v>45257</v>
      </c>
      <c r="I362" s="229">
        <v>45257</v>
      </c>
      <c r="J362" s="162">
        <v>45253</v>
      </c>
      <c r="K362" s="371" t="s">
        <v>1544</v>
      </c>
      <c r="L362" s="163"/>
      <c r="M362" s="70" t="s">
        <v>19</v>
      </c>
      <c r="N362" s="214" t="s">
        <v>1545</v>
      </c>
      <c r="O362" s="215"/>
      <c r="P362" s="55" t="s">
        <v>19</v>
      </c>
      <c r="Q362" s="154"/>
      <c r="R362" s="54"/>
      <c r="S362" s="159"/>
      <c r="T362" s="229"/>
      <c r="U362" s="159"/>
      <c r="V362" s="159"/>
      <c r="W362" s="159"/>
      <c r="X362" s="161"/>
      <c r="Y362" s="54" t="s">
        <v>30</v>
      </c>
      <c r="Z362" s="159" t="s">
        <v>42</v>
      </c>
      <c r="AA362" s="159" t="s">
        <v>22</v>
      </c>
      <c r="AB362" s="54" t="s">
        <v>1546</v>
      </c>
      <c r="AC362" s="162">
        <v>45259</v>
      </c>
      <c r="AD362" s="229">
        <v>45265</v>
      </c>
      <c r="AE362" s="162">
        <v>45266</v>
      </c>
      <c r="AF362" s="159"/>
      <c r="AG362" s="159"/>
      <c r="AH362" s="164">
        <v>45272</v>
      </c>
      <c r="AI362" s="54" t="s">
        <v>19</v>
      </c>
      <c r="AJ362" s="231"/>
      <c r="AK362" s="161"/>
      <c r="AL362" s="103" t="s">
        <v>1547</v>
      </c>
      <c r="AM362" s="16" t="str">
        <f>VLOOKUP(Table2[[#This Row],[country]],Countrycode!A:B,2,FALSE)</f>
        <v>AUS</v>
      </c>
      <c r="AN362" s="160">
        <f>IF(ISBLANK(Table2[[#This Row],[Need_RRA]]), 2,(IF(Table2[[#This Row],[Need_RRA]]="No", 0, (IF(AND(Table2[[#This Row],[Need_RRA]]="Yes",  Table2[[#This Row],[RRA_pub_date]]=""),1, 0)))))</f>
        <v>0</v>
      </c>
      <c r="AO362" s="160">
        <f>IF(ISBLANK(Table2[[#This Row],[Need_EIS]]), 2,(IF(Table2[[#This Row],[Need_EIS]]="No", 0, (IF(AND(Table2[[#This Row],[Need_EIS]]="Yes",  Table2[[#This Row],[EIS_pub_date]]=""),1, 0)))))</f>
        <v>0</v>
      </c>
      <c r="AP362" s="160">
        <f>IF(ISBLANK(Table2[[#This Row],[Need_DON]]), 2,(IF(Table2[[#This Row],[Need_DON]]="No", 0, (IF(AND(Table2[[#This Row],[Need_DON]]="Yes",  Table2[[#This Row],[DON_pub_date]]=""),1, 0)))))</f>
        <v>0</v>
      </c>
      <c r="AQ362" s="160">
        <f>IF(ISBLANK(Table2[[#This Row],[Pending_question]]), 2,(IF(Table2[[#This Row],[Pending_question]]="Yes", 1, 0)))</f>
        <v>0</v>
      </c>
      <c r="AR362" s="230"/>
    </row>
    <row r="363" spans="1:44" ht="15" customHeight="1">
      <c r="A363" s="63">
        <v>45258</v>
      </c>
      <c r="B363" s="159" t="s">
        <v>15</v>
      </c>
      <c r="C363" s="131" t="str" cm="1">
        <f t="array" ref="C36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63" s="161" t="s">
        <v>1020</v>
      </c>
      <c r="E363" s="70" t="s">
        <v>156</v>
      </c>
      <c r="F363" s="54" t="s">
        <v>400</v>
      </c>
      <c r="G363" s="159" t="s">
        <v>34</v>
      </c>
      <c r="H363" s="55">
        <v>45258</v>
      </c>
      <c r="I363" s="229"/>
      <c r="J363" s="162"/>
      <c r="K363" s="162"/>
      <c r="L363" s="163"/>
      <c r="M363" s="70" t="s">
        <v>19</v>
      </c>
      <c r="N363" s="214"/>
      <c r="O363" s="215"/>
      <c r="P363" s="55" t="s">
        <v>19</v>
      </c>
      <c r="Q363" s="154"/>
      <c r="R363" s="54"/>
      <c r="S363" s="159"/>
      <c r="T363" s="229"/>
      <c r="U363" s="159"/>
      <c r="V363" s="269"/>
      <c r="W363" s="159"/>
      <c r="X363" s="161"/>
      <c r="Y363" s="54" t="s">
        <v>30</v>
      </c>
      <c r="Z363" s="159" t="s">
        <v>42</v>
      </c>
      <c r="AA363" s="159" t="s">
        <v>22</v>
      </c>
      <c r="AB363" s="54" t="s">
        <v>1548</v>
      </c>
      <c r="AC363" s="162">
        <v>45258</v>
      </c>
      <c r="AD363" s="162">
        <v>45258</v>
      </c>
      <c r="AE363" s="162">
        <v>45258</v>
      </c>
      <c r="AF363" s="162">
        <v>45259</v>
      </c>
      <c r="AG363" s="162">
        <v>45260</v>
      </c>
      <c r="AH363" s="164">
        <v>45260</v>
      </c>
      <c r="AI363" s="54" t="s">
        <v>30</v>
      </c>
      <c r="AJ363" s="231">
        <v>45260</v>
      </c>
      <c r="AK363" s="164">
        <v>45261</v>
      </c>
      <c r="AM363" s="16" t="str">
        <f>VLOOKUP(Table2[[#This Row],[country]],Countrycode!A:B,2,FALSE)</f>
        <v>GBR</v>
      </c>
      <c r="AN363" s="160">
        <f>IF(ISBLANK(Table2[[#This Row],[Need_RRA]]), 2,(IF(Table2[[#This Row],[Need_RRA]]="No", 0, (IF(AND(Table2[[#This Row],[Need_RRA]]="Yes",  Table2[[#This Row],[RRA_pub_date]]=""),1, 0)))))</f>
        <v>0</v>
      </c>
      <c r="AO363" s="160">
        <f>IF(ISBLANK(Table2[[#This Row],[Need_EIS]]), 2,(IF(Table2[[#This Row],[Need_EIS]]="No", 0, (IF(AND(Table2[[#This Row],[Need_EIS]]="Yes",  Table2[[#This Row],[EIS_pub_date]]=""),1, 0)))))</f>
        <v>0</v>
      </c>
      <c r="AP363" s="160">
        <f>IF(ISBLANK(Table2[[#This Row],[Need_DON]]), 2,(IF(Table2[[#This Row],[Need_DON]]="No", 0, (IF(AND(Table2[[#This Row],[Need_DON]]="Yes",  Table2[[#This Row],[DON_pub_date]]=""),1, 0)))))</f>
        <v>0</v>
      </c>
      <c r="AQ363" s="160">
        <f>IF(ISBLANK(Table2[[#This Row],[Pending_question]]), 2,(IF(Table2[[#This Row],[Pending_question]]="Yes", 1, 0)))</f>
        <v>0</v>
      </c>
      <c r="AR363" s="230"/>
    </row>
    <row r="364" spans="1:44" ht="15" customHeight="1">
      <c r="A364" s="63">
        <v>45260</v>
      </c>
      <c r="B364" s="159" t="s">
        <v>15</v>
      </c>
      <c r="C364" s="131" t="str" cm="1">
        <f t="array" ref="C36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64" s="161" t="s">
        <v>1318</v>
      </c>
      <c r="E364" s="70" t="s">
        <v>57</v>
      </c>
      <c r="F364" s="54" t="s">
        <v>414</v>
      </c>
      <c r="G364" s="159" t="s">
        <v>34</v>
      </c>
      <c r="H364" s="55">
        <v>45260</v>
      </c>
      <c r="I364" s="229"/>
      <c r="J364" s="162">
        <v>45236</v>
      </c>
      <c r="K364" s="162" t="s">
        <v>1549</v>
      </c>
      <c r="L364" s="163" t="s">
        <v>1550</v>
      </c>
      <c r="M364" s="70" t="s">
        <v>19</v>
      </c>
      <c r="N364" s="214"/>
      <c r="O364" s="215"/>
      <c r="P364" s="55" t="s">
        <v>30</v>
      </c>
      <c r="Q364" s="154">
        <v>1</v>
      </c>
      <c r="R364" s="54" t="s">
        <v>1551</v>
      </c>
      <c r="S364" s="162">
        <v>45239</v>
      </c>
      <c r="T364" s="229">
        <v>45243</v>
      </c>
      <c r="U364" s="162">
        <v>45257</v>
      </c>
      <c r="V364" s="269" t="s">
        <v>20</v>
      </c>
      <c r="W364" s="159" t="s">
        <v>20</v>
      </c>
      <c r="X364" s="27" t="s">
        <v>51</v>
      </c>
      <c r="Y364" s="54" t="s">
        <v>30</v>
      </c>
      <c r="Z364" s="159" t="s">
        <v>42</v>
      </c>
      <c r="AA364" s="159" t="s">
        <v>43</v>
      </c>
      <c r="AB364" s="54" t="s">
        <v>1552</v>
      </c>
      <c r="AC364" s="162">
        <v>45259</v>
      </c>
      <c r="AD364" s="162">
        <v>45258</v>
      </c>
      <c r="AE364" s="162">
        <v>45259</v>
      </c>
      <c r="AF364" s="159" t="s">
        <v>1553</v>
      </c>
      <c r="AG364" s="159" t="s">
        <v>1553</v>
      </c>
      <c r="AH364" s="164">
        <v>45261</v>
      </c>
      <c r="AI364" s="54" t="s">
        <v>30</v>
      </c>
      <c r="AJ364" s="231">
        <v>45261</v>
      </c>
      <c r="AK364" s="307">
        <v>45268</v>
      </c>
      <c r="AM364" s="16" t="str">
        <f>VLOOKUP(Table2[[#This Row],[country]],Countrycode!A:B,2,FALSE)</f>
        <v>ZMB</v>
      </c>
      <c r="AN364" s="160">
        <f>IF(ISBLANK(Table2[[#This Row],[Need_RRA]]), 2,(IF(Table2[[#This Row],[Need_RRA]]="No", 0, (IF(AND(Table2[[#This Row],[Need_RRA]]="Yes",  Table2[[#This Row],[RRA_pub_date]]=""),1, 0)))))</f>
        <v>0</v>
      </c>
      <c r="AO364" s="160">
        <f>IF(ISBLANK(Table2[[#This Row],[Need_EIS]]), 2,(IF(Table2[[#This Row],[Need_EIS]]="No", 0, (IF(AND(Table2[[#This Row],[Need_EIS]]="Yes",  Table2[[#This Row],[EIS_pub_date]]=""),1, 0)))))</f>
        <v>0</v>
      </c>
      <c r="AP364" s="160">
        <f>IF(ISBLANK(Table2[[#This Row],[Need_DON]]), 2,(IF(Table2[[#This Row],[Need_DON]]="No", 0, (IF(AND(Table2[[#This Row],[Need_DON]]="Yes",  Table2[[#This Row],[DON_pub_date]]=""),1, 0)))))</f>
        <v>0</v>
      </c>
      <c r="AQ364" s="160">
        <f>IF(ISBLANK(Table2[[#This Row],[Pending_question]]), 2,(IF(Table2[[#This Row],[Pending_question]]="Yes", 1, 0)))</f>
        <v>0</v>
      </c>
      <c r="AR364" s="230"/>
    </row>
    <row r="365" spans="1:44" ht="15" customHeight="1">
      <c r="A365" s="63">
        <v>45265</v>
      </c>
      <c r="B365" s="29" t="s">
        <v>15</v>
      </c>
      <c r="C365" s="131" t="str" cm="1">
        <f t="array" ref="C36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65" s="27" t="s">
        <v>1554</v>
      </c>
      <c r="E365" s="67" t="s">
        <v>136</v>
      </c>
      <c r="F365" s="29" t="s">
        <v>39</v>
      </c>
      <c r="G365" s="29" t="s">
        <v>1082</v>
      </c>
      <c r="H365" s="59">
        <v>45265</v>
      </c>
      <c r="I365" s="223"/>
      <c r="J365" s="59"/>
      <c r="K365" s="59"/>
      <c r="L365" s="104"/>
      <c r="M365" s="70" t="s">
        <v>19</v>
      </c>
      <c r="N365" s="223"/>
      <c r="O365" s="226"/>
      <c r="P365" s="59" t="s">
        <v>30</v>
      </c>
      <c r="Q365" s="84">
        <v>2</v>
      </c>
      <c r="R365" s="29" t="s">
        <v>1555</v>
      </c>
      <c r="S365" s="59">
        <v>45265</v>
      </c>
      <c r="T365" s="223">
        <v>45265</v>
      </c>
      <c r="U365" s="59">
        <v>45272</v>
      </c>
      <c r="V365" s="268" t="s">
        <v>34</v>
      </c>
      <c r="W365" s="29" t="s">
        <v>20</v>
      </c>
      <c r="X365" s="27" t="s">
        <v>34</v>
      </c>
      <c r="Y365" s="29" t="s">
        <v>19</v>
      </c>
      <c r="Z365" s="29"/>
      <c r="AA365" s="29"/>
      <c r="AB365" s="29"/>
      <c r="AC365" s="29"/>
      <c r="AD365" s="223"/>
      <c r="AE365" s="29"/>
      <c r="AF365" s="29"/>
      <c r="AG365" s="29"/>
      <c r="AH365" s="27"/>
      <c r="AI365" s="29" t="s">
        <v>19</v>
      </c>
      <c r="AJ365" s="224"/>
      <c r="AK365" s="27"/>
      <c r="AL365" s="102"/>
      <c r="AM365" s="41" t="str">
        <f>VLOOKUP(Table2[[#This Row],[country]],Countrycode!A:B,2,FALSE)</f>
        <v>MLX</v>
      </c>
      <c r="AN365" s="34">
        <f>IF(ISBLANK(Table2[[#This Row],[Need_RRA]]), 2,(IF(Table2[[#This Row],[Need_RRA]]="No", 0, (IF(AND(Table2[[#This Row],[Need_RRA]]="Yes",  Table2[[#This Row],[RRA_pub_date]]=""),1, 0)))))</f>
        <v>0</v>
      </c>
      <c r="AO365" s="34">
        <f>IF(ISBLANK(Table2[[#This Row],[Need_EIS]]), 2,(IF(Table2[[#This Row],[Need_EIS]]="No", 0, (IF(AND(Table2[[#This Row],[Need_EIS]]="Yes",  Table2[[#This Row],[EIS_pub_date]]=""),1, 0)))))</f>
        <v>0</v>
      </c>
      <c r="AP365" s="34">
        <f>IF(ISBLANK(Table2[[#This Row],[Need_DON]]), 2,(IF(Table2[[#This Row],[Need_DON]]="No", 0, (IF(AND(Table2[[#This Row],[Need_DON]]="Yes",  Table2[[#This Row],[DON_pub_date]]=""),1, 0)))))</f>
        <v>0</v>
      </c>
      <c r="AQ365" s="34">
        <f>IF(ISBLANK(Table2[[#This Row],[Pending_question]]), 2,(IF(Table2[[#This Row],[Pending_question]]="Yes", 1, 0)))</f>
        <v>0</v>
      </c>
      <c r="AR365" s="225"/>
    </row>
    <row r="366" spans="1:44" ht="15" customHeight="1">
      <c r="A366" s="63">
        <v>45265</v>
      </c>
      <c r="B366" s="29" t="s">
        <v>15</v>
      </c>
      <c r="C366" s="34" t="str" cm="1">
        <f t="array" ref="C36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66" s="27" t="s">
        <v>635</v>
      </c>
      <c r="E366" s="70" t="s">
        <v>182</v>
      </c>
      <c r="F366" s="54" t="s">
        <v>39</v>
      </c>
      <c r="G366" s="29"/>
      <c r="H366" s="55">
        <v>45265</v>
      </c>
      <c r="I366" s="223"/>
      <c r="J366" s="59"/>
      <c r="K366" s="59" t="s">
        <v>1556</v>
      </c>
      <c r="L366" s="104" t="s">
        <v>1557</v>
      </c>
      <c r="M366" s="70" t="s">
        <v>19</v>
      </c>
      <c r="N366" s="214"/>
      <c r="O366" s="215"/>
      <c r="P366" s="55" t="s">
        <v>19</v>
      </c>
      <c r="Q366" s="84"/>
      <c r="R366" s="54"/>
      <c r="S366" s="29"/>
      <c r="T366" s="223"/>
      <c r="U366" s="29"/>
      <c r="V366" s="29"/>
      <c r="W366" s="29"/>
      <c r="X366" s="27"/>
      <c r="Y366" s="54" t="s">
        <v>30</v>
      </c>
      <c r="Z366" s="29" t="s">
        <v>33</v>
      </c>
      <c r="AA366" s="29" t="s">
        <v>43</v>
      </c>
      <c r="AB366" s="54"/>
      <c r="AC366" s="59">
        <v>45265</v>
      </c>
      <c r="AD366" s="223">
        <v>45265</v>
      </c>
      <c r="AE366" s="59">
        <v>45266</v>
      </c>
      <c r="AF366" s="59">
        <v>45267</v>
      </c>
      <c r="AG366" s="59">
        <v>45267</v>
      </c>
      <c r="AH366" s="85">
        <v>45267</v>
      </c>
      <c r="AI366" s="54" t="s">
        <v>19</v>
      </c>
      <c r="AJ366" s="224"/>
      <c r="AK366" s="27"/>
      <c r="AL366" s="102"/>
      <c r="AM366" s="41" t="str">
        <f>VLOOKUP(Table2[[#This Row],[country]],Countrycode!A:B,2,FALSE)</f>
        <v>MLX</v>
      </c>
      <c r="AN366" s="34">
        <f>IF(ISBLANK(Table2[[#This Row],[Need_RRA]]), 2,(IF(Table2[[#This Row],[Need_RRA]]="No", 0, (IF(AND(Table2[[#This Row],[Need_RRA]]="Yes",  Table2[[#This Row],[RRA_pub_date]]=""),1, 0)))))</f>
        <v>0</v>
      </c>
      <c r="AO366" s="34">
        <f>IF(ISBLANK(Table2[[#This Row],[Need_EIS]]), 2,(IF(Table2[[#This Row],[Need_EIS]]="No", 0, (IF(AND(Table2[[#This Row],[Need_EIS]]="Yes",  Table2[[#This Row],[EIS_pub_date]]=""),1, 0)))))</f>
        <v>0</v>
      </c>
      <c r="AP366" s="34">
        <f>IF(ISBLANK(Table2[[#This Row],[Need_DON]]), 2,(IF(Table2[[#This Row],[Need_DON]]="No", 0, (IF(AND(Table2[[#This Row],[Need_DON]]="Yes",  Table2[[#This Row],[DON_pub_date]]=""),1, 0)))))</f>
        <v>0</v>
      </c>
      <c r="AQ366" s="34">
        <f>IF(ISBLANK(Table2[[#This Row],[Pending_question]]), 2,(IF(Table2[[#This Row],[Pending_question]]="Yes", 1, 0)))</f>
        <v>0</v>
      </c>
      <c r="AR366" s="225"/>
    </row>
    <row r="367" spans="1:44" ht="15" customHeight="1">
      <c r="A367" s="63">
        <v>45266</v>
      </c>
      <c r="B367" s="159" t="s">
        <v>15</v>
      </c>
      <c r="C367" s="160" t="str" cm="1">
        <f t="array" ref="C36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67" s="161" t="s">
        <v>1558</v>
      </c>
      <c r="E367" s="70" t="s">
        <v>194</v>
      </c>
      <c r="F367" s="54" t="s">
        <v>308</v>
      </c>
      <c r="G367" s="159" t="s">
        <v>34</v>
      </c>
      <c r="H367" s="55">
        <v>45266</v>
      </c>
      <c r="I367" s="229">
        <v>45266</v>
      </c>
      <c r="J367" s="162">
        <v>45276</v>
      </c>
      <c r="K367" s="162" t="s">
        <v>1559</v>
      </c>
      <c r="L367" s="163" t="s">
        <v>1560</v>
      </c>
      <c r="M367" s="70" t="s">
        <v>19</v>
      </c>
      <c r="N367" s="214"/>
      <c r="O367" s="215"/>
      <c r="P367" s="55" t="s">
        <v>19</v>
      </c>
      <c r="Q367" s="154"/>
      <c r="R367" s="54"/>
      <c r="S367" s="159"/>
      <c r="T367" s="229"/>
      <c r="U367" s="159"/>
      <c r="V367" s="159"/>
      <c r="W367" s="159"/>
      <c r="X367" s="161"/>
      <c r="Y367" s="54" t="s">
        <v>30</v>
      </c>
      <c r="Z367" s="159" t="s">
        <v>42</v>
      </c>
      <c r="AA367" s="159" t="s">
        <v>43</v>
      </c>
      <c r="AB367" s="54" t="s">
        <v>1561</v>
      </c>
      <c r="AC367" s="162">
        <v>45266</v>
      </c>
      <c r="AD367" s="229">
        <v>45266</v>
      </c>
      <c r="AE367" s="162">
        <v>45267</v>
      </c>
      <c r="AF367" s="159"/>
      <c r="AG367" s="159"/>
      <c r="AH367" s="164">
        <v>45276</v>
      </c>
      <c r="AI367" s="54" t="s">
        <v>19</v>
      </c>
      <c r="AJ367" s="231"/>
      <c r="AK367" s="161"/>
      <c r="AM367" s="16" t="str">
        <f>VLOOKUP(Table2[[#This Row],[country]],Countrycode!A:B,2,FALSE)</f>
        <v>MRT</v>
      </c>
      <c r="AN367" s="160">
        <f>IF(ISBLANK(Table2[[#This Row],[Need_RRA]]), 2,(IF(Table2[[#This Row],[Need_RRA]]="No", 0, (IF(AND(Table2[[#This Row],[Need_RRA]]="Yes",  Table2[[#This Row],[RRA_pub_date]]=""),1, 0)))))</f>
        <v>0</v>
      </c>
      <c r="AO367" s="160">
        <f>IF(ISBLANK(Table2[[#This Row],[Need_EIS]]), 2,(IF(Table2[[#This Row],[Need_EIS]]="No", 0, (IF(AND(Table2[[#This Row],[Need_EIS]]="Yes",  Table2[[#This Row],[EIS_pub_date]]=""),1, 0)))))</f>
        <v>0</v>
      </c>
      <c r="AP367" s="160">
        <f>IF(ISBLANK(Table2[[#This Row],[Need_DON]]), 2,(IF(Table2[[#This Row],[Need_DON]]="No", 0, (IF(AND(Table2[[#This Row],[Need_DON]]="Yes",  Table2[[#This Row],[DON_pub_date]]=""),1, 0)))))</f>
        <v>0</v>
      </c>
      <c r="AQ367" s="160">
        <f>IF(ISBLANK(Table2[[#This Row],[Pending_question]]), 2,(IF(Table2[[#This Row],[Pending_question]]="Yes", 1, 0)))</f>
        <v>0</v>
      </c>
      <c r="AR367" s="230"/>
    </row>
    <row r="368" spans="1:44" ht="15" customHeight="1">
      <c r="A368" s="63">
        <v>45266</v>
      </c>
      <c r="B368" s="159" t="s">
        <v>15</v>
      </c>
      <c r="C368" s="160" t="str" cm="1">
        <f t="array" ref="C36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68" s="161" t="s">
        <v>1233</v>
      </c>
      <c r="E368" s="70" t="s">
        <v>57</v>
      </c>
      <c r="F368" s="54" t="s">
        <v>39</v>
      </c>
      <c r="G368" s="159" t="s">
        <v>660</v>
      </c>
      <c r="H368" s="55">
        <v>45266</v>
      </c>
      <c r="I368" s="229">
        <v>45267</v>
      </c>
      <c r="J368" s="162"/>
      <c r="K368" s="162"/>
      <c r="L368" s="163"/>
      <c r="M368" s="70" t="s">
        <v>19</v>
      </c>
      <c r="N368" s="214"/>
      <c r="O368" s="215"/>
      <c r="P368" s="55" t="s">
        <v>30</v>
      </c>
      <c r="Q368" s="154">
        <v>1</v>
      </c>
      <c r="R368" s="54" t="s">
        <v>1562</v>
      </c>
      <c r="S368" s="162">
        <v>45264</v>
      </c>
      <c r="T368" s="229">
        <v>45265</v>
      </c>
      <c r="U368" s="162">
        <v>45273</v>
      </c>
      <c r="V368" s="379" t="s">
        <v>34</v>
      </c>
      <c r="W368" s="159" t="s">
        <v>20</v>
      </c>
      <c r="X368" s="161" t="s">
        <v>51</v>
      </c>
      <c r="Y368" s="54" t="s">
        <v>19</v>
      </c>
      <c r="Z368" s="159"/>
      <c r="AA368" s="159"/>
      <c r="AB368" s="54"/>
      <c r="AC368" s="159"/>
      <c r="AD368" s="229"/>
      <c r="AE368" s="159"/>
      <c r="AF368" s="159"/>
      <c r="AG368" s="159"/>
      <c r="AH368" s="161"/>
      <c r="AI368" s="54" t="s">
        <v>19</v>
      </c>
      <c r="AJ368" s="231"/>
      <c r="AK368" s="161"/>
      <c r="AM368" s="16" t="str">
        <f>VLOOKUP(Table2[[#This Row],[country]],Countrycode!A:B,2,FALSE)</f>
        <v>MLX</v>
      </c>
      <c r="AN368" s="160">
        <f>IF(ISBLANK(Table2[[#This Row],[Need_RRA]]), 2,(IF(Table2[[#This Row],[Need_RRA]]="No", 0, (IF(AND(Table2[[#This Row],[Need_RRA]]="Yes",  Table2[[#This Row],[RRA_pub_date]]=""),1, 0)))))</f>
        <v>0</v>
      </c>
      <c r="AO368" s="160">
        <f>IF(ISBLANK(Table2[[#This Row],[Need_EIS]]), 2,(IF(Table2[[#This Row],[Need_EIS]]="No", 0, (IF(AND(Table2[[#This Row],[Need_EIS]]="Yes",  Table2[[#This Row],[EIS_pub_date]]=""),1, 0)))))</f>
        <v>0</v>
      </c>
      <c r="AP368" s="160">
        <f>IF(ISBLANK(Table2[[#This Row],[Need_DON]]), 2,(IF(Table2[[#This Row],[Need_DON]]="No", 0, (IF(AND(Table2[[#This Row],[Need_DON]]="Yes",  Table2[[#This Row],[DON_pub_date]]=""),1, 0)))))</f>
        <v>0</v>
      </c>
      <c r="AQ368" s="160">
        <f>IF(ISBLANK(Table2[[#This Row],[Pending_question]]), 2,(IF(Table2[[#This Row],[Pending_question]]="Yes", 1, 0)))</f>
        <v>0</v>
      </c>
      <c r="AR368" s="230"/>
    </row>
    <row r="369" spans="1:44" ht="15" customHeight="1">
      <c r="A369" s="63">
        <v>45267</v>
      </c>
      <c r="B369" s="29" t="s">
        <v>15</v>
      </c>
      <c r="C369" s="131" t="str" cm="1">
        <f t="array" ref="C36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69" s="27" t="s">
        <v>1020</v>
      </c>
      <c r="E369" s="70" t="s">
        <v>110</v>
      </c>
      <c r="F369" s="54" t="s">
        <v>173</v>
      </c>
      <c r="G369" s="29" t="s">
        <v>34</v>
      </c>
      <c r="H369" s="55">
        <v>45267</v>
      </c>
      <c r="I369" s="223">
        <v>45271</v>
      </c>
      <c r="J369" s="59">
        <v>44987</v>
      </c>
      <c r="K369" s="59" t="s">
        <v>1326</v>
      </c>
      <c r="L369" s="104" t="s">
        <v>1287</v>
      </c>
      <c r="M369" s="70" t="s">
        <v>19</v>
      </c>
      <c r="N369" s="214"/>
      <c r="O369" s="215"/>
      <c r="P369" s="55" t="s">
        <v>19</v>
      </c>
      <c r="Q369" s="84"/>
      <c r="R369" s="54"/>
      <c r="S369" s="29"/>
      <c r="T369" s="223"/>
      <c r="U369" s="29"/>
      <c r="V369" s="29"/>
      <c r="W369" s="29"/>
      <c r="X369" s="27"/>
      <c r="Y369" s="54" t="s">
        <v>30</v>
      </c>
      <c r="Z369" s="29" t="s">
        <v>21</v>
      </c>
      <c r="AA369" s="29" t="s">
        <v>22</v>
      </c>
      <c r="AB369" s="54" t="s">
        <v>1563</v>
      </c>
      <c r="AC369" s="59">
        <v>45267</v>
      </c>
      <c r="AD369" s="223">
        <v>45268</v>
      </c>
      <c r="AE369" s="59">
        <v>45271</v>
      </c>
      <c r="AF369" s="59">
        <v>45273</v>
      </c>
      <c r="AG369" s="59">
        <v>45274</v>
      </c>
      <c r="AH369" s="85">
        <v>45274</v>
      </c>
      <c r="AI369" s="54" t="s">
        <v>19</v>
      </c>
      <c r="AJ369" s="393"/>
      <c r="AK369" s="27"/>
      <c r="AL369" s="102"/>
      <c r="AM369" s="41" t="str">
        <f>VLOOKUP(Table2[[#This Row],[country]],Countrycode!A:B,2,FALSE)</f>
        <v>CHN</v>
      </c>
      <c r="AN369" s="34">
        <f>IF(ISBLANK(Table2[[#This Row],[Need_RRA]]), 2,(IF(Table2[[#This Row],[Need_RRA]]="No", 0, (IF(AND(Table2[[#This Row],[Need_RRA]]="Yes",  Table2[[#This Row],[RRA_pub_date]]=""),1, 0)))))</f>
        <v>0</v>
      </c>
      <c r="AO369" s="41">
        <f>IF(ISBLANK(Table2[[#This Row],[Need_EIS]]), 2,(IF(Table2[[#This Row],[Need_EIS]]="No", 0, (IF(AND(Table2[[#This Row],[Need_EIS]]="Yes",  Table2[[#This Row],[EIS_pub_date]]=""),1, 0)))))</f>
        <v>0</v>
      </c>
      <c r="AP369" s="41">
        <f>IF(ISBLANK(Table2[[#This Row],[Need_DON]]), 2,(IF(Table2[[#This Row],[Need_DON]]="No", 0, (IF(AND(Table2[[#This Row],[Need_DON]]="Yes",  Table2[[#This Row],[DON_pub_date]]=""),1, 0)))))</f>
        <v>0</v>
      </c>
      <c r="AQ369" s="34">
        <f>IF(ISBLANK(Table2[[#This Row],[Pending_question]]), 2,(IF(Table2[[#This Row],[Pending_question]]="Yes", 1, 0)))</f>
        <v>0</v>
      </c>
      <c r="AR369" s="225"/>
    </row>
    <row r="370" spans="1:44" ht="15" customHeight="1">
      <c r="A370" s="63">
        <v>45267</v>
      </c>
      <c r="B370" s="16" t="s">
        <v>15</v>
      </c>
      <c r="C370" s="131" t="str" cm="1">
        <f t="array" ref="C37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70" s="32" t="s">
        <v>1020</v>
      </c>
      <c r="E370" s="16" t="s">
        <v>104</v>
      </c>
      <c r="F370" s="16" t="s">
        <v>173</v>
      </c>
      <c r="G370" s="16" t="s">
        <v>34</v>
      </c>
      <c r="H370" s="63">
        <v>45267</v>
      </c>
      <c r="I370" s="339">
        <v>45271</v>
      </c>
      <c r="J370" s="63">
        <v>45158</v>
      </c>
      <c r="K370" s="63" t="s">
        <v>1564</v>
      </c>
      <c r="L370" s="182" t="s">
        <v>712</v>
      </c>
      <c r="M370" s="70" t="s">
        <v>19</v>
      </c>
      <c r="N370" s="339"/>
      <c r="O370" s="339"/>
      <c r="P370" s="63" t="s">
        <v>19</v>
      </c>
      <c r="T370" s="339"/>
      <c r="Y370" s="16" t="s">
        <v>30</v>
      </c>
      <c r="Z370" s="16" t="s">
        <v>42</v>
      </c>
      <c r="AA370" s="16" t="s">
        <v>22</v>
      </c>
      <c r="AB370" s="16" t="s">
        <v>1565</v>
      </c>
      <c r="AC370" s="63">
        <v>45267</v>
      </c>
      <c r="AD370" s="339">
        <v>45268</v>
      </c>
      <c r="AE370" s="63">
        <v>45271</v>
      </c>
      <c r="AF370" s="63">
        <v>45273</v>
      </c>
      <c r="AG370" s="63">
        <v>45274</v>
      </c>
      <c r="AH370" s="81">
        <v>45274</v>
      </c>
      <c r="AI370" s="16" t="s">
        <v>19</v>
      </c>
      <c r="AJ370" s="275"/>
      <c r="AK370" s="26"/>
      <c r="AL370" s="102"/>
      <c r="AM370" s="41" t="str">
        <f>VLOOKUP(Table2[[#This Row],[country]],Countrycode!A:B,2,FALSE)</f>
        <v>CHN</v>
      </c>
      <c r="AN370" s="34">
        <f>IF(ISBLANK(Table2[[#This Row],[Need_RRA]]), 2,(IF(Table2[[#This Row],[Need_RRA]]="No", 0, (IF(AND(Table2[[#This Row],[Need_RRA]]="Yes",  Table2[[#This Row],[RRA_pub_date]]=""),1, 0)))))</f>
        <v>0</v>
      </c>
      <c r="AO370" s="34">
        <f>IF(ISBLANK(Table2[[#This Row],[Need_EIS]]), 2,(IF(Table2[[#This Row],[Need_EIS]]="No", 0, (IF(AND(Table2[[#This Row],[Need_EIS]]="Yes",  Table2[[#This Row],[EIS_pub_date]]=""),1, 0)))))</f>
        <v>0</v>
      </c>
      <c r="AP370" s="34">
        <f>IF(ISBLANK(Table2[[#This Row],[Need_DON]]), 2,(IF(Table2[[#This Row],[Need_DON]]="No", 0, (IF(AND(Table2[[#This Row],[Need_DON]]="Yes",  Table2[[#This Row],[DON_pub_date]]=""),1, 0)))))</f>
        <v>0</v>
      </c>
      <c r="AQ370" s="34">
        <f>IF(ISBLANK(Table2[[#This Row],[Pending_question]]), 2,(IF(Table2[[#This Row],[Pending_question]]="Yes", 1, 0)))</f>
        <v>0</v>
      </c>
      <c r="AR370" s="225"/>
    </row>
    <row r="371" spans="1:44" ht="15" customHeight="1">
      <c r="A371" s="63">
        <v>45267</v>
      </c>
      <c r="B371" s="16" t="s">
        <v>15</v>
      </c>
      <c r="C371" s="131" t="str" cm="1">
        <f t="array" ref="C37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71" s="32" t="s">
        <v>1020</v>
      </c>
      <c r="E371" s="16" t="s">
        <v>233</v>
      </c>
      <c r="F371" s="16" t="s">
        <v>383</v>
      </c>
      <c r="G371" s="16" t="s">
        <v>34</v>
      </c>
      <c r="H371" s="55">
        <v>45267</v>
      </c>
      <c r="I371" s="339">
        <v>45272</v>
      </c>
      <c r="J371" s="63">
        <v>45265</v>
      </c>
      <c r="K371" s="63" t="s">
        <v>1566</v>
      </c>
      <c r="L371" s="182" t="s">
        <v>1567</v>
      </c>
      <c r="M371" s="70" t="s">
        <v>19</v>
      </c>
      <c r="N371" s="339"/>
      <c r="O371" s="339"/>
      <c r="P371" s="63" t="s">
        <v>19</v>
      </c>
      <c r="T371" s="339"/>
      <c r="Y371" s="16" t="s">
        <v>30</v>
      </c>
      <c r="Z371" s="16" t="s">
        <v>42</v>
      </c>
      <c r="AA371" s="16" t="s">
        <v>22</v>
      </c>
      <c r="AB371" s="16" t="s">
        <v>1568</v>
      </c>
      <c r="AC371" s="63">
        <v>45265</v>
      </c>
      <c r="AD371" s="339">
        <v>45267</v>
      </c>
      <c r="AE371" s="63">
        <v>45268</v>
      </c>
      <c r="AF371" s="63">
        <v>45268</v>
      </c>
      <c r="AG371" s="63">
        <v>45272</v>
      </c>
      <c r="AH371" s="81">
        <v>45272</v>
      </c>
      <c r="AI371" s="16" t="s">
        <v>19</v>
      </c>
      <c r="AJ371" s="275"/>
      <c r="AM371" s="16" t="str">
        <f>VLOOKUP(Table2[[#This Row],[country]],Countrycode!A:B,2,FALSE)</f>
        <v>CHE</v>
      </c>
      <c r="AN371" s="160">
        <f>IF(ISBLANK(Table2[[#This Row],[Need_RRA]]), 2,(IF(Table2[[#This Row],[Need_RRA]]="No", 0, (IF(AND(Table2[[#This Row],[Need_RRA]]="Yes",  Table2[[#This Row],[RRA_pub_date]]=""),1, 0)))))</f>
        <v>0</v>
      </c>
      <c r="AO371" s="160">
        <f>IF(ISBLANK(Table2[[#This Row],[Need_EIS]]), 2,(IF(Table2[[#This Row],[Need_EIS]]="No", 0, (IF(AND(Table2[[#This Row],[Need_EIS]]="Yes",  Table2[[#This Row],[EIS_pub_date]]=""),1, 0)))))</f>
        <v>0</v>
      </c>
      <c r="AP371" s="160">
        <f>IF(ISBLANK(Table2[[#This Row],[Need_DON]]), 2,(IF(Table2[[#This Row],[Need_DON]]="No", 0, (IF(AND(Table2[[#This Row],[Need_DON]]="Yes",  Table2[[#This Row],[DON_pub_date]]=""),1, 0)))))</f>
        <v>0</v>
      </c>
      <c r="AQ371" s="160">
        <f>IF(ISBLANK(Table2[[#This Row],[Pending_question]]), 2,(IF(Table2[[#This Row],[Pending_question]]="Yes", 1, 0)))</f>
        <v>0</v>
      </c>
      <c r="AR371" s="230"/>
    </row>
    <row r="372" spans="1:44" ht="15" customHeight="1">
      <c r="A372" s="63">
        <v>45285</v>
      </c>
      <c r="B372" s="16" t="s">
        <v>15</v>
      </c>
      <c r="C372" s="131" t="str" cm="1">
        <f t="array" ref="C37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72" s="32" t="s">
        <v>927</v>
      </c>
      <c r="E372" s="16" t="s">
        <v>250</v>
      </c>
      <c r="F372" s="16" t="s">
        <v>92</v>
      </c>
      <c r="G372" s="16" t="s">
        <v>34</v>
      </c>
      <c r="H372" s="55">
        <v>45285</v>
      </c>
      <c r="I372" s="339"/>
      <c r="J372" s="63"/>
      <c r="K372" s="63"/>
      <c r="L372" s="182"/>
      <c r="M372" s="70" t="s">
        <v>19</v>
      </c>
      <c r="N372" s="339"/>
      <c r="O372" s="339"/>
      <c r="P372" s="63" t="s">
        <v>19</v>
      </c>
      <c r="T372" s="339"/>
      <c r="Y372" s="16" t="s">
        <v>30</v>
      </c>
      <c r="Z372" s="16" t="s">
        <v>42</v>
      </c>
      <c r="AA372" s="16" t="s">
        <v>22</v>
      </c>
      <c r="AB372" s="16" t="s">
        <v>1569</v>
      </c>
      <c r="AC372" s="63">
        <v>45281</v>
      </c>
      <c r="AD372" s="63">
        <v>45281</v>
      </c>
      <c r="AE372" s="63">
        <v>45282</v>
      </c>
      <c r="AH372" s="81">
        <v>45285</v>
      </c>
      <c r="AI372" s="16" t="s">
        <v>30</v>
      </c>
      <c r="AJ372" s="396">
        <v>45287</v>
      </c>
      <c r="AK372" s="81">
        <v>45288</v>
      </c>
      <c r="AM372" s="16" t="str">
        <f>VLOOKUP(Table2[[#This Row],[country]],Countrycode!A:B,2,FALSE)</f>
        <v>ARG</v>
      </c>
      <c r="AN372" s="160">
        <f>IF(ISBLANK(Table2[[#This Row],[Need_RRA]]), 2,(IF(Table2[[#This Row],[Need_RRA]]="No", 0, (IF(AND(Table2[[#This Row],[Need_RRA]]="Yes",  Table2[[#This Row],[RRA_pub_date]]=""),1, 0)))))</f>
        <v>0</v>
      </c>
      <c r="AO372" s="160">
        <f>IF(ISBLANK(Table2[[#This Row],[Need_EIS]]), 2,(IF(Table2[[#This Row],[Need_EIS]]="No", 0, (IF(AND(Table2[[#This Row],[Need_EIS]]="Yes",  Table2[[#This Row],[EIS_pub_date]]=""),1, 0)))))</f>
        <v>0</v>
      </c>
      <c r="AP372" s="160">
        <f>IF(ISBLANK(Table2[[#This Row],[Need_DON]]), 2,(IF(Table2[[#This Row],[Need_DON]]="No", 0, (IF(AND(Table2[[#This Row],[Need_DON]]="Yes",  Table2[[#This Row],[DON_pub_date]]=""),1, 0)))))</f>
        <v>0</v>
      </c>
      <c r="AQ372" s="160">
        <f>IF(ISBLANK(Table2[[#This Row],[Pending_question]]), 2,(IF(Table2[[#This Row],[Pending_question]]="Yes", 1, 0)))</f>
        <v>0</v>
      </c>
      <c r="AR372" s="230"/>
    </row>
    <row r="373" spans="1:44" ht="15" customHeight="1">
      <c r="A373" s="63">
        <v>45286</v>
      </c>
      <c r="B373" s="16" t="s">
        <v>15</v>
      </c>
      <c r="C373" s="131" t="str" cm="1">
        <f t="array" ref="C37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73" s="32" t="s">
        <v>1570</v>
      </c>
      <c r="E373" s="16" t="s">
        <v>194</v>
      </c>
      <c r="F373" s="16" t="s">
        <v>275</v>
      </c>
      <c r="G373" s="16" t="s">
        <v>1523</v>
      </c>
      <c r="H373" s="55">
        <v>45286</v>
      </c>
      <c r="I373" s="63">
        <v>45290</v>
      </c>
      <c r="J373" s="63">
        <v>44875</v>
      </c>
      <c r="K373" s="16" t="s">
        <v>1571</v>
      </c>
      <c r="L373" s="313" t="s">
        <v>1572</v>
      </c>
      <c r="M373" s="70" t="s">
        <v>19</v>
      </c>
      <c r="P373" s="16" t="s">
        <v>30</v>
      </c>
      <c r="Q373" s="88">
        <v>1</v>
      </c>
      <c r="R373" s="16" t="s">
        <v>1573</v>
      </c>
      <c r="S373" s="63">
        <v>45286</v>
      </c>
      <c r="T373" s="63">
        <v>45286</v>
      </c>
      <c r="U373" s="63">
        <v>45298</v>
      </c>
      <c r="V373" s="16" t="s">
        <v>20</v>
      </c>
      <c r="W373" s="16" t="s">
        <v>32</v>
      </c>
      <c r="X373" s="32" t="s">
        <v>51</v>
      </c>
      <c r="Y373" s="16" t="s">
        <v>30</v>
      </c>
      <c r="Z373" s="16" t="s">
        <v>42</v>
      </c>
      <c r="AA373" s="16" t="s">
        <v>34</v>
      </c>
      <c r="AB373" s="16" t="s">
        <v>1574</v>
      </c>
      <c r="AC373" s="63">
        <v>45285</v>
      </c>
      <c r="AD373" s="63">
        <v>45285</v>
      </c>
      <c r="AE373" s="63">
        <v>45290</v>
      </c>
      <c r="AF373" s="63">
        <v>45290</v>
      </c>
      <c r="AG373" s="63">
        <v>45294</v>
      </c>
      <c r="AH373" s="81">
        <v>45299</v>
      </c>
      <c r="AI373" s="16" t="s">
        <v>30</v>
      </c>
      <c r="AJ373" s="140">
        <v>45299</v>
      </c>
      <c r="AK373" s="81">
        <v>45302</v>
      </c>
      <c r="AM373" s="16" t="str">
        <f>VLOOKUP(Table2[[#This Row],[country]],Countrycode!A:B,2,FALSE)</f>
        <v>IDN</v>
      </c>
      <c r="AN373" s="160">
        <f>IF(ISBLANK(Table2[[#This Row],[Need_RRA]]), 2,(IF(Table2[[#This Row],[Need_RRA]]="No", 0, (IF(AND(Table2[[#This Row],[Need_RRA]]="Yes",  Table2[[#This Row],[RRA_pub_date]]=""),1, 0)))))</f>
        <v>0</v>
      </c>
      <c r="AO373" s="160">
        <f>IF(ISBLANK(Table2[[#This Row],[Need_EIS]]), 2,(IF(Table2[[#This Row],[Need_EIS]]="No", 0, (IF(AND(Table2[[#This Row],[Need_EIS]]="Yes",  Table2[[#This Row],[EIS_pub_date]]=""),1, 0)))))</f>
        <v>0</v>
      </c>
      <c r="AP373" s="160">
        <f>IF(ISBLANK(Table2[[#This Row],[Need_DON]]), 2,(IF(Table2[[#This Row],[Need_DON]]="No", 0, (IF(AND(Table2[[#This Row],[Need_DON]]="Yes",  Table2[[#This Row],[DON_pub_date]]=""),1, 0)))))</f>
        <v>0</v>
      </c>
      <c r="AQ373" s="160">
        <f>IF(ISBLANK(Table2[[#This Row],[Pending_question]]), 2,(IF(Table2[[#This Row],[Pending_question]]="Yes", 1, 0)))</f>
        <v>0</v>
      </c>
      <c r="AR373" s="230"/>
    </row>
    <row r="374" spans="1:44" ht="15" customHeight="1">
      <c r="A374" s="63">
        <v>45296</v>
      </c>
      <c r="B374" s="29" t="s">
        <v>15</v>
      </c>
      <c r="C374" s="131" t="str" cm="1">
        <f t="array" ref="C37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74" s="27" t="s">
        <v>1244</v>
      </c>
      <c r="E374" s="67" t="s">
        <v>252</v>
      </c>
      <c r="F374" s="29" t="s">
        <v>39</v>
      </c>
      <c r="G374" s="29" t="s">
        <v>660</v>
      </c>
      <c r="H374" s="59">
        <v>45296</v>
      </c>
      <c r="J374" s="133">
        <v>45209</v>
      </c>
      <c r="K374" s="16" t="s">
        <v>1575</v>
      </c>
      <c r="L374" s="184" t="s">
        <v>1576</v>
      </c>
      <c r="M374" s="70" t="s">
        <v>19</v>
      </c>
      <c r="N374" s="29" t="s">
        <v>1577</v>
      </c>
      <c r="O374" s="27"/>
      <c r="P374" s="29" t="s">
        <v>30</v>
      </c>
      <c r="Q374" s="84">
        <v>4</v>
      </c>
      <c r="R374" s="29" t="s">
        <v>1578</v>
      </c>
      <c r="S374" s="59">
        <v>45301</v>
      </c>
      <c r="T374" s="59">
        <v>45313</v>
      </c>
      <c r="U374" s="59">
        <v>45334</v>
      </c>
      <c r="V374" s="29" t="s">
        <v>34</v>
      </c>
      <c r="W374" s="29" t="s">
        <v>32</v>
      </c>
      <c r="X374" s="27" t="s">
        <v>51</v>
      </c>
      <c r="Y374" s="29" t="s">
        <v>30</v>
      </c>
      <c r="Z374" s="29" t="s">
        <v>33</v>
      </c>
      <c r="AA374" s="29"/>
      <c r="AB374" s="29"/>
      <c r="AC374" s="59">
        <v>45638</v>
      </c>
      <c r="AD374" s="59">
        <v>45345</v>
      </c>
      <c r="AE374" s="29"/>
      <c r="AF374" s="29"/>
      <c r="AG374" s="29"/>
      <c r="AH374" s="85">
        <v>45357</v>
      </c>
      <c r="AI374" s="29" t="s">
        <v>30</v>
      </c>
      <c r="AJ374" s="139">
        <v>45357</v>
      </c>
      <c r="AK374" s="85">
        <v>45371</v>
      </c>
      <c r="AL374" s="102"/>
      <c r="AM374" s="41" t="str">
        <f>VLOOKUP(Table2[[#This Row],[country]],Countrycode!A:B,2,FALSE)</f>
        <v>MLX</v>
      </c>
      <c r="AN374" s="34">
        <f>IF(ISBLANK(Table2[[#This Row],[Need_RRA]]), 2,(IF(Table2[[#This Row],[Need_RRA]]="No", 0, (IF(AND(Table2[[#This Row],[Need_RRA]]="Yes",  Table2[[#This Row],[RRA_pub_date]]=""),1, 0)))))</f>
        <v>0</v>
      </c>
      <c r="AO374" s="34">
        <f>IF(ISBLANK(Table2[[#This Row],[Need_EIS]]), 2,(IF(Table2[[#This Row],[Need_EIS]]="No", 0, (IF(AND(Table2[[#This Row],[Need_EIS]]="Yes",  Table2[[#This Row],[EIS_pub_date]]=""),1, 0)))))</f>
        <v>0</v>
      </c>
      <c r="AP374" s="34">
        <f>IF(ISBLANK(Table2[[#This Row],[Need_DON]]), 2,(IF(Table2[[#This Row],[Need_DON]]="No", 0, (IF(AND(Table2[[#This Row],[Need_DON]]="Yes",  Table2[[#This Row],[DON_pub_date]]=""),1, 0)))))</f>
        <v>0</v>
      </c>
      <c r="AQ374" s="34">
        <f>IF(ISBLANK(Table2[[#This Row],[Pending_question]]), 2,(IF(Table2[[#This Row],[Pending_question]]="Yes", 1, 0)))</f>
        <v>0</v>
      </c>
      <c r="AR374" s="225"/>
    </row>
    <row r="375" spans="1:44" ht="15" customHeight="1">
      <c r="A375" s="63">
        <v>45299</v>
      </c>
      <c r="B375" s="29" t="s">
        <v>15</v>
      </c>
      <c r="C375" s="131" t="str" cm="1">
        <f t="array" ref="C37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75" s="27" t="s">
        <v>1338</v>
      </c>
      <c r="E375" s="67" t="s">
        <v>190</v>
      </c>
      <c r="F375" s="29" t="s">
        <v>39</v>
      </c>
      <c r="G375" s="29" t="s">
        <v>1082</v>
      </c>
      <c r="H375" s="59" t="s">
        <v>632</v>
      </c>
      <c r="I375" s="223" t="s">
        <v>632</v>
      </c>
      <c r="J375" s="59">
        <v>45299</v>
      </c>
      <c r="K375" s="63" t="s">
        <v>1579</v>
      </c>
      <c r="L375" s="104" t="s">
        <v>1580</v>
      </c>
      <c r="M375" s="70" t="s">
        <v>19</v>
      </c>
      <c r="N375" s="223"/>
      <c r="O375" s="226"/>
      <c r="P375" s="59" t="s">
        <v>30</v>
      </c>
      <c r="Q375" s="84">
        <v>1</v>
      </c>
      <c r="R375" s="29" t="s">
        <v>1581</v>
      </c>
      <c r="S375" s="59">
        <v>45329</v>
      </c>
      <c r="T375" s="59">
        <v>45330</v>
      </c>
      <c r="U375" s="59">
        <v>45332</v>
      </c>
      <c r="V375" s="29" t="s">
        <v>34</v>
      </c>
      <c r="W375" s="29" t="s">
        <v>32</v>
      </c>
      <c r="X375" s="27" t="s">
        <v>34</v>
      </c>
      <c r="Y375" s="29" t="s">
        <v>19</v>
      </c>
      <c r="Z375" s="29"/>
      <c r="AA375" s="29"/>
      <c r="AB375" s="29"/>
      <c r="AC375" s="59"/>
      <c r="AD375" s="223"/>
      <c r="AE375" s="29"/>
      <c r="AF375" s="29"/>
      <c r="AG375" s="29"/>
      <c r="AH375" s="27"/>
      <c r="AI375" s="16" t="s">
        <v>19</v>
      </c>
      <c r="AJ375" s="224"/>
      <c r="AK375" s="27"/>
      <c r="AL375" s="102" t="s">
        <v>1582</v>
      </c>
      <c r="AM375" s="41" t="str">
        <f>VLOOKUP(Table2[[#This Row],[country]],Countrycode!A:B,2,FALSE)</f>
        <v>MLX</v>
      </c>
      <c r="AN375" s="34">
        <f>IF(ISBLANK(Table2[[#This Row],[Need_RRA]]), 2,(IF(Table2[[#This Row],[Need_RRA]]="No", 0, (IF(AND(Table2[[#This Row],[Need_RRA]]="Yes",  Table2[[#This Row],[RRA_pub_date]]=""),1, 0)))))</f>
        <v>0</v>
      </c>
      <c r="AO375" s="34">
        <f>IF(ISBLANK(Table2[[#This Row],[Need_EIS]]), 2,(IF(Table2[[#This Row],[Need_EIS]]="No", 0, (IF(AND(Table2[[#This Row],[Need_EIS]]="Yes",  Table2[[#This Row],[EIS_pub_date]]=""),1, 0)))))</f>
        <v>0</v>
      </c>
      <c r="AP375" s="34">
        <f>IF(ISBLANK(Table2[[#This Row],[Need_DON]]), 2,(IF(Table2[[#This Row],[Need_DON]]="No", 0, (IF(AND(Table2[[#This Row],[Need_DON]]="Yes",  Table2[[#This Row],[DON_pub_date]]=""),1, 0)))))</f>
        <v>0</v>
      </c>
      <c r="AQ375" s="34">
        <f>IF(ISBLANK(Table2[[#This Row],[Pending_question]]), 2,(IF(Table2[[#This Row],[Pending_question]]="Yes", 1, 0)))</f>
        <v>0</v>
      </c>
      <c r="AR375" s="225"/>
    </row>
    <row r="376" spans="1:44" ht="15" customHeight="1">
      <c r="A376" s="63">
        <v>45309</v>
      </c>
      <c r="B376" s="29" t="s">
        <v>15</v>
      </c>
      <c r="C376" s="131" t="str" cm="1">
        <f t="array" ref="C37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76" s="27" t="s">
        <v>1233</v>
      </c>
      <c r="E376" s="67" t="s">
        <v>80</v>
      </c>
      <c r="F376" s="29" t="s">
        <v>143</v>
      </c>
      <c r="G376" s="29" t="s">
        <v>34</v>
      </c>
      <c r="H376" s="59">
        <v>45309</v>
      </c>
      <c r="I376" s="59">
        <v>45322</v>
      </c>
      <c r="J376" s="59">
        <v>45309</v>
      </c>
      <c r="K376" s="29" t="s">
        <v>1583</v>
      </c>
      <c r="L376" s="104" t="s">
        <v>1584</v>
      </c>
      <c r="M376" s="70" t="s">
        <v>19</v>
      </c>
      <c r="N376" s="223"/>
      <c r="O376" s="226"/>
      <c r="P376" s="59" t="s">
        <v>19</v>
      </c>
      <c r="Q376" s="84"/>
      <c r="R376" s="29"/>
      <c r="S376" s="29"/>
      <c r="T376" s="223"/>
      <c r="U376" s="29"/>
      <c r="V376" s="29"/>
      <c r="W376" s="29"/>
      <c r="X376" s="27"/>
      <c r="Y376" s="29" t="s">
        <v>30</v>
      </c>
      <c r="Z376" s="29" t="s">
        <v>42</v>
      </c>
      <c r="AA376" s="29" t="s">
        <v>22</v>
      </c>
      <c r="AB376" s="29" t="s">
        <v>1585</v>
      </c>
      <c r="AC376" s="59">
        <v>45308</v>
      </c>
      <c r="AD376" s="223">
        <v>45309</v>
      </c>
      <c r="AE376" s="59">
        <v>45309</v>
      </c>
      <c r="AF376" s="29"/>
      <c r="AG376" s="29"/>
      <c r="AH376" s="85">
        <v>45324</v>
      </c>
      <c r="AI376" s="16" t="s">
        <v>30</v>
      </c>
      <c r="AJ376" s="224">
        <v>45327</v>
      </c>
      <c r="AK376" s="85">
        <v>45329</v>
      </c>
      <c r="AL376" s="102"/>
      <c r="AM376" s="41" t="str">
        <f>VLOOKUP(Table2[[#This Row],[country]],Countrycode!A:B,2,FALSE)</f>
        <v>BRA</v>
      </c>
      <c r="AN376" s="34">
        <f>IF(ISBLANK(Table2[[#This Row],[Need_RRA]]), 2,(IF(Table2[[#This Row],[Need_RRA]]="No", 0, (IF(AND(Table2[[#This Row],[Need_RRA]]="Yes",  Table2[[#This Row],[RRA_pub_date]]=""),1, 0)))))</f>
        <v>0</v>
      </c>
      <c r="AO376" s="34">
        <f>IF(ISBLANK(Table2[[#This Row],[Need_EIS]]), 2,(IF(Table2[[#This Row],[Need_EIS]]="No", 0, (IF(AND(Table2[[#This Row],[Need_EIS]]="Yes",  Table2[[#This Row],[EIS_pub_date]]=""),1, 0)))))</f>
        <v>0</v>
      </c>
      <c r="AP376" s="34">
        <f>IF(ISBLANK(Table2[[#This Row],[Need_DON]]), 2,(IF(Table2[[#This Row],[Need_DON]]="No", 0, (IF(AND(Table2[[#This Row],[Need_DON]]="Yes",  Table2[[#This Row],[DON_pub_date]]=""),1, 0)))))</f>
        <v>0</v>
      </c>
      <c r="AQ376" s="34">
        <f>IF(ISBLANK(Table2[[#This Row],[Pending_question]]), 2,(IF(Table2[[#This Row],[Pending_question]]="Yes", 1, 0)))</f>
        <v>0</v>
      </c>
      <c r="AR376" s="225"/>
    </row>
    <row r="377" spans="1:44" ht="15" customHeight="1">
      <c r="A377" s="63">
        <v>45315</v>
      </c>
      <c r="B377" s="29" t="s">
        <v>15</v>
      </c>
      <c r="C377" s="131" t="str" cm="1">
        <f t="array" ref="C37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77" s="27" t="s">
        <v>1586</v>
      </c>
      <c r="E377" s="67" t="s">
        <v>166</v>
      </c>
      <c r="F377" s="29" t="s">
        <v>328</v>
      </c>
      <c r="G377" s="29" t="s">
        <v>34</v>
      </c>
      <c r="H377" s="59">
        <v>45315</v>
      </c>
      <c r="I377" s="223"/>
      <c r="J377" s="59">
        <v>45326</v>
      </c>
      <c r="K377" s="29" t="s">
        <v>1587</v>
      </c>
      <c r="L377" s="112" t="s">
        <v>1588</v>
      </c>
      <c r="M377" s="70" t="s">
        <v>19</v>
      </c>
      <c r="N377" s="223"/>
      <c r="O377" s="226"/>
      <c r="P377" s="59" t="s">
        <v>30</v>
      </c>
      <c r="Q377" s="84">
        <v>1</v>
      </c>
      <c r="R377" s="29" t="s">
        <v>1589</v>
      </c>
      <c r="S377" s="59">
        <v>45314</v>
      </c>
      <c r="T377" s="59">
        <v>45327</v>
      </c>
      <c r="U377" s="59">
        <v>45338</v>
      </c>
      <c r="V377" s="29" t="s">
        <v>20</v>
      </c>
      <c r="W377" s="29" t="s">
        <v>51</v>
      </c>
      <c r="X377" s="27" t="s">
        <v>51</v>
      </c>
      <c r="Y377" s="29" t="s">
        <v>19</v>
      </c>
      <c r="Z377" s="29"/>
      <c r="AA377" s="29"/>
      <c r="AB377" s="29"/>
      <c r="AC377" s="59"/>
      <c r="AD377" s="223"/>
      <c r="AE377" s="59"/>
      <c r="AF377" s="29"/>
      <c r="AG377" s="29"/>
      <c r="AH377" s="27"/>
      <c r="AI377" s="16" t="s">
        <v>31</v>
      </c>
      <c r="AJ377" s="224"/>
      <c r="AK377" s="27"/>
      <c r="AL377" s="102"/>
      <c r="AM377" s="41" t="str">
        <f>VLOOKUP(Table2[[#This Row],[country]],Countrycode!A:B,2,FALSE)</f>
        <v>NGA</v>
      </c>
      <c r="AN377" s="34">
        <f>IF(ISBLANK(Table2[[#This Row],[Need_RRA]]), 2,(IF(Table2[[#This Row],[Need_RRA]]="No", 0, (IF(AND(Table2[[#This Row],[Need_RRA]]="Yes",  Table2[[#This Row],[RRA_pub_date]]=""),1, 0)))))</f>
        <v>0</v>
      </c>
      <c r="AO377" s="34">
        <f>IF(ISBLANK(Table2[[#This Row],[Need_EIS]]), 2,(IF(Table2[[#This Row],[Need_EIS]]="No", 0, (IF(AND(Table2[[#This Row],[Need_EIS]]="Yes",  Table2[[#This Row],[EIS_pub_date]]=""),1, 0)))))</f>
        <v>0</v>
      </c>
      <c r="AP377" s="34">
        <f>IF(ISBLANK(Table2[[#This Row],[Need_DON]]), 2,(IF(Table2[[#This Row],[Need_DON]]="No", 0, (IF(AND(Table2[[#This Row],[Need_DON]]="Yes",  Table2[[#This Row],[DON_pub_date]]=""),1, 0)))))</f>
        <v>0</v>
      </c>
      <c r="AQ377" s="34">
        <f>IF(ISBLANK(Table2[[#This Row],[Pending_question]]), 2,(IF(Table2[[#This Row],[Pending_question]]="Yes", 1, 0)))</f>
        <v>0</v>
      </c>
      <c r="AR377" s="225"/>
    </row>
    <row r="378" spans="1:44" ht="15" customHeight="1">
      <c r="A378" s="63">
        <v>45316</v>
      </c>
      <c r="B378" s="29" t="s">
        <v>15</v>
      </c>
      <c r="C378" s="131" t="str" cm="1">
        <f t="array" ref="C37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78" s="27" t="s">
        <v>1590</v>
      </c>
      <c r="E378" s="67" t="s">
        <v>215</v>
      </c>
      <c r="F378" s="29" t="s">
        <v>287</v>
      </c>
      <c r="G378" s="29" t="s">
        <v>34</v>
      </c>
      <c r="H378" s="150">
        <v>45316</v>
      </c>
      <c r="I378" s="223">
        <v>45316</v>
      </c>
      <c r="J378" s="59">
        <v>45316</v>
      </c>
      <c r="K378" s="274" t="s">
        <v>1591</v>
      </c>
      <c r="L378" s="104" t="s">
        <v>1592</v>
      </c>
      <c r="M378" s="70" t="s">
        <v>19</v>
      </c>
      <c r="N378" s="223"/>
      <c r="O378" s="226"/>
      <c r="P378" s="59" t="s">
        <v>30</v>
      </c>
      <c r="Q378" s="84">
        <v>1</v>
      </c>
      <c r="R378" s="29" t="s">
        <v>1593</v>
      </c>
      <c r="S378" s="150">
        <v>45316</v>
      </c>
      <c r="T378" s="223">
        <v>45316</v>
      </c>
      <c r="U378" s="59">
        <v>45327</v>
      </c>
      <c r="V378" s="29" t="s">
        <v>20</v>
      </c>
      <c r="W378" s="29" t="s">
        <v>51</v>
      </c>
      <c r="X378" s="27" t="s">
        <v>51</v>
      </c>
      <c r="Y378" s="29" t="s">
        <v>19</v>
      </c>
      <c r="Z378" s="29"/>
      <c r="AA378" s="29"/>
      <c r="AB378" s="29"/>
      <c r="AC378" s="150">
        <v>45316</v>
      </c>
      <c r="AD378" s="223"/>
      <c r="AE378" s="29"/>
      <c r="AF378" s="29"/>
      <c r="AG378" s="29"/>
      <c r="AH378" s="27"/>
      <c r="AI378" s="29" t="s">
        <v>19</v>
      </c>
      <c r="AJ378" s="224"/>
      <c r="AK378" s="27"/>
      <c r="AL378" s="102"/>
      <c r="AM378" s="41" t="str">
        <f>VLOOKUP(Table2[[#This Row],[country]],Countrycode!A:B,2,FALSE)</f>
        <v>KEN</v>
      </c>
      <c r="AN378" s="34">
        <f>IF(ISBLANK(Table2[[#This Row],[Need_RRA]]), 2,(IF(Table2[[#This Row],[Need_RRA]]="No", 0, (IF(AND(Table2[[#This Row],[Need_RRA]]="Yes",  Table2[[#This Row],[RRA_pub_date]]=""),1, 0)))))</f>
        <v>0</v>
      </c>
      <c r="AO378" s="34">
        <f>IF(ISBLANK(Table2[[#This Row],[Need_EIS]]), 2,(IF(Table2[[#This Row],[Need_EIS]]="No", 0, (IF(AND(Table2[[#This Row],[Need_EIS]]="Yes",  Table2[[#This Row],[EIS_pub_date]]=""),1, 0)))))</f>
        <v>0</v>
      </c>
      <c r="AP378" s="34">
        <f>IF(ISBLANK(Table2[[#This Row],[Need_DON]]), 2,(IF(Table2[[#This Row],[Need_DON]]="No", 0, (IF(AND(Table2[[#This Row],[Need_DON]]="Yes",  Table2[[#This Row],[DON_pub_date]]=""),1, 0)))))</f>
        <v>0</v>
      </c>
      <c r="AQ378" s="34">
        <f>IF(ISBLANK(Table2[[#This Row],[Pending_question]]), 2,(IF(Table2[[#This Row],[Pending_question]]="Yes", 1, 0)))</f>
        <v>0</v>
      </c>
      <c r="AR378" s="225"/>
    </row>
    <row r="379" spans="1:44" ht="15" customHeight="1">
      <c r="A379" s="63">
        <v>45317</v>
      </c>
      <c r="B379" s="29" t="s">
        <v>15</v>
      </c>
      <c r="C379" s="131" t="str" cm="1">
        <f t="array" ref="C37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79" s="27" t="s">
        <v>1233</v>
      </c>
      <c r="E379" s="67" t="s">
        <v>99</v>
      </c>
      <c r="F379" s="29" t="s">
        <v>159</v>
      </c>
      <c r="G379" s="29" t="s">
        <v>34</v>
      </c>
      <c r="H379" s="59">
        <v>45317</v>
      </c>
      <c r="I379" s="223">
        <v>45323</v>
      </c>
      <c r="J379" s="59">
        <v>45320</v>
      </c>
      <c r="K379" s="292" t="s">
        <v>1312</v>
      </c>
      <c r="L379" s="104" t="s">
        <v>1594</v>
      </c>
      <c r="M379" s="70" t="s">
        <v>19</v>
      </c>
      <c r="N379" s="214"/>
      <c r="O379" s="215"/>
      <c r="P379" s="59" t="s">
        <v>19</v>
      </c>
      <c r="Q379" s="84"/>
      <c r="R379" s="29"/>
      <c r="S379" s="206"/>
      <c r="T379" s="223"/>
      <c r="U379" s="29"/>
      <c r="V379" s="29"/>
      <c r="W379" s="29"/>
      <c r="X379" s="27"/>
      <c r="Y379" s="29" t="s">
        <v>30</v>
      </c>
      <c r="Z379" s="29" t="s">
        <v>21</v>
      </c>
      <c r="AA379" s="29" t="s">
        <v>22</v>
      </c>
      <c r="AB379" s="54" t="s">
        <v>1595</v>
      </c>
      <c r="AC379" s="59">
        <v>45320</v>
      </c>
      <c r="AD379" s="223">
        <v>45320</v>
      </c>
      <c r="AE379" s="59">
        <v>45320</v>
      </c>
      <c r="AF379" s="59">
        <v>45321</v>
      </c>
      <c r="AG379" s="59">
        <v>45323</v>
      </c>
      <c r="AH379" s="85">
        <v>45324</v>
      </c>
      <c r="AI379" s="16" t="s">
        <v>30</v>
      </c>
      <c r="AJ379" s="224">
        <v>45324</v>
      </c>
      <c r="AK379" s="85">
        <v>45330</v>
      </c>
      <c r="AL379" s="102"/>
      <c r="AM379" s="41" t="str">
        <f>VLOOKUP(Table2[[#This Row],[country]],Countrycode!A:B,2,FALSE)</f>
        <v>KHM</v>
      </c>
      <c r="AN379" s="34">
        <f>IF(ISBLANK(Table2[[#This Row],[Need_RRA]]), 2,(IF(Table2[[#This Row],[Need_RRA]]="No", 0, (IF(AND(Table2[[#This Row],[Need_RRA]]="Yes",  Table2[[#This Row],[RRA_pub_date]]=""),1, 0)))))</f>
        <v>0</v>
      </c>
      <c r="AO379" s="34">
        <f>IF(ISBLANK(Table2[[#This Row],[Need_EIS]]), 2,(IF(Table2[[#This Row],[Need_EIS]]="No", 0, (IF(AND(Table2[[#This Row],[Need_EIS]]="Yes",  Table2[[#This Row],[EIS_pub_date]]=""),1, 0)))))</f>
        <v>0</v>
      </c>
      <c r="AP379" s="34">
        <f>IF(ISBLANK(Table2[[#This Row],[Need_DON]]), 2,(IF(Table2[[#This Row],[Need_DON]]="No", 0, (IF(AND(Table2[[#This Row],[Need_DON]]="Yes",  Table2[[#This Row],[DON_pub_date]]=""),1, 0)))))</f>
        <v>0</v>
      </c>
      <c r="AQ379" s="34">
        <f>IF(ISBLANK(Table2[[#This Row],[Pending_question]]), 2,(IF(Table2[[#This Row],[Pending_question]]="Yes", 1, 0)))</f>
        <v>0</v>
      </c>
      <c r="AR379" s="225"/>
    </row>
    <row r="380" spans="1:44" ht="15" customHeight="1">
      <c r="A380" s="63">
        <v>45317</v>
      </c>
      <c r="B380" s="16" t="s">
        <v>15</v>
      </c>
      <c r="C380" s="131" t="str" cm="1">
        <f t="array" ref="C38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80" s="32" t="s">
        <v>1244</v>
      </c>
      <c r="E380" s="16" t="s">
        <v>138</v>
      </c>
      <c r="F380" s="16" t="s">
        <v>373</v>
      </c>
      <c r="G380" s="16" t="s">
        <v>34</v>
      </c>
      <c r="H380" s="63">
        <v>45317</v>
      </c>
      <c r="I380" s="223"/>
      <c r="J380" s="63">
        <v>45320</v>
      </c>
      <c r="K380" s="234" t="s">
        <v>1596</v>
      </c>
      <c r="L380" s="313" t="s">
        <v>1597</v>
      </c>
      <c r="M380" s="70" t="s">
        <v>19</v>
      </c>
      <c r="N380" s="214" t="s">
        <v>1598</v>
      </c>
      <c r="O380" s="215"/>
      <c r="P380" s="16" t="s">
        <v>30</v>
      </c>
      <c r="Q380" s="88">
        <v>1</v>
      </c>
      <c r="R380" s="54" t="s">
        <v>1599</v>
      </c>
      <c r="S380" s="63">
        <v>45323</v>
      </c>
      <c r="T380" s="223">
        <v>45330</v>
      </c>
      <c r="U380" s="59">
        <v>45408</v>
      </c>
      <c r="V380" s="29" t="s">
        <v>41</v>
      </c>
      <c r="W380" s="29" t="s">
        <v>32</v>
      </c>
      <c r="X380" s="27" t="s">
        <v>51</v>
      </c>
      <c r="Y380" s="16" t="s">
        <v>30</v>
      </c>
      <c r="Z380" s="16" t="s">
        <v>42</v>
      </c>
      <c r="AA380" s="16" t="s">
        <v>22</v>
      </c>
      <c r="AB380" s="54" t="s">
        <v>1600</v>
      </c>
      <c r="AC380" s="59">
        <v>45425</v>
      </c>
      <c r="AD380" s="59">
        <v>45425</v>
      </c>
      <c r="AE380" s="59">
        <v>45426</v>
      </c>
      <c r="AF380" s="59">
        <v>45426</v>
      </c>
      <c r="AG380" s="59">
        <v>45448</v>
      </c>
      <c r="AH380" s="85">
        <v>45453</v>
      </c>
      <c r="AI380" s="16" t="s">
        <v>19</v>
      </c>
      <c r="AJ380" s="224"/>
      <c r="AK380" s="27"/>
      <c r="AL380" s="102"/>
      <c r="AM380" s="41" t="str">
        <f>VLOOKUP(Table2[[#This Row],[country]],Countrycode!A:B,2,FALSE)</f>
        <v>SOM</v>
      </c>
      <c r="AN380" s="34">
        <f>IF(ISBLANK(Table2[[#This Row],[Need_RRA]]), 2,(IF(Table2[[#This Row],[Need_RRA]]="No", 0, (IF(AND(Table2[[#This Row],[Need_RRA]]="Yes",  Table2[[#This Row],[RRA_pub_date]]=""),1, 0)))))</f>
        <v>0</v>
      </c>
      <c r="AO380" s="34">
        <f>IF(ISBLANK(Table2[[#This Row],[Need_EIS]]), 2,(IF(Table2[[#This Row],[Need_EIS]]="No", 0, (IF(AND(Table2[[#This Row],[Need_EIS]]="Yes",  Table2[[#This Row],[EIS_pub_date]]=""),1, 0)))))</f>
        <v>0</v>
      </c>
      <c r="AP380" s="34">
        <f>IF(ISBLANK(Table2[[#This Row],[Need_DON]]), 2,(IF(Table2[[#This Row],[Need_DON]]="No", 0, (IF(AND(Table2[[#This Row],[Need_DON]]="Yes",  Table2[[#This Row],[DON_pub_date]]=""),1, 0)))))</f>
        <v>0</v>
      </c>
      <c r="AQ380" s="34">
        <f>IF(ISBLANK(Table2[[#This Row],[Pending_question]]), 2,(IF(Table2[[#This Row],[Pending_question]]="Yes", 1, 0)))</f>
        <v>0</v>
      </c>
      <c r="AR380" s="225"/>
    </row>
    <row r="381" spans="1:44" ht="15" customHeight="1">
      <c r="A381" s="63">
        <v>45317</v>
      </c>
      <c r="B381" s="16" t="s">
        <v>15</v>
      </c>
      <c r="C381" s="34" t="str" cm="1">
        <f t="array" ref="C38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81" s="27" t="s">
        <v>1244</v>
      </c>
      <c r="E381" s="16" t="s">
        <v>126</v>
      </c>
      <c r="F381" s="16" t="s">
        <v>387</v>
      </c>
      <c r="G381" s="16" t="s">
        <v>34</v>
      </c>
      <c r="H381" s="63">
        <v>45317</v>
      </c>
      <c r="I381" s="223"/>
      <c r="J381" s="63">
        <v>45320</v>
      </c>
      <c r="K381" s="369" t="s">
        <v>1601</v>
      </c>
      <c r="L381" s="182" t="s">
        <v>1602</v>
      </c>
      <c r="M381" s="70" t="s">
        <v>19</v>
      </c>
      <c r="N381" s="214"/>
      <c r="O381" s="215"/>
      <c r="P381" s="63" t="s">
        <v>19</v>
      </c>
      <c r="R381" s="29"/>
      <c r="S381" s="29"/>
      <c r="T381" s="223"/>
      <c r="U381" s="29"/>
      <c r="V381" s="29"/>
      <c r="W381" s="29"/>
      <c r="X381" s="27"/>
      <c r="Y381" s="16" t="s">
        <v>30</v>
      </c>
      <c r="Z381" s="16" t="s">
        <v>42</v>
      </c>
      <c r="AA381" s="16" t="s">
        <v>22</v>
      </c>
      <c r="AB381" s="16" t="s">
        <v>1603</v>
      </c>
      <c r="AC381" s="384" t="s">
        <v>26</v>
      </c>
      <c r="AD381" s="339">
        <v>45334</v>
      </c>
      <c r="AE381" s="63">
        <v>45336</v>
      </c>
      <c r="AF381" s="59">
        <v>45336</v>
      </c>
      <c r="AG381" s="59">
        <v>45341</v>
      </c>
      <c r="AH381" s="59">
        <v>45344</v>
      </c>
      <c r="AI381" s="16" t="s">
        <v>19</v>
      </c>
      <c r="AJ381" s="224"/>
      <c r="AK381" s="27"/>
      <c r="AL381" s="102" t="s">
        <v>1604</v>
      </c>
      <c r="AM381" s="41" t="str">
        <f>VLOOKUP(Table2[[#This Row],[country]],Countrycode!A:B,2,FALSE)</f>
        <v>TLS</v>
      </c>
      <c r="AN381" s="34">
        <f>IF(ISBLANK(Table2[[#This Row],[Need_RRA]]), 2,(IF(Table2[[#This Row],[Need_RRA]]="No", 0, (IF(AND(Table2[[#This Row],[Need_RRA]]="Yes",  Table2[[#This Row],[RRA_pub_date]]=""),1, 0)))))</f>
        <v>0</v>
      </c>
      <c r="AO381" s="34">
        <f>IF(ISBLANK(Table2[[#This Row],[Need_EIS]]), 2,(IF(Table2[[#This Row],[Need_EIS]]="No", 0, (IF(AND(Table2[[#This Row],[Need_EIS]]="Yes",  Table2[[#This Row],[EIS_pub_date]]=""),1, 0)))))</f>
        <v>0</v>
      </c>
      <c r="AP381" s="34">
        <f>IF(ISBLANK(Table2[[#This Row],[Need_DON]]), 2,(IF(Table2[[#This Row],[Need_DON]]="No", 0, (IF(AND(Table2[[#This Row],[Need_DON]]="Yes",  Table2[[#This Row],[DON_pub_date]]=""),1, 0)))))</f>
        <v>0</v>
      </c>
      <c r="AQ381" s="34">
        <f>IF(ISBLANK(Table2[[#This Row],[Pending_question]]), 2,(IF(Table2[[#This Row],[Pending_question]]="Yes", 1, 0)))</f>
        <v>0</v>
      </c>
      <c r="AR381" s="225"/>
    </row>
    <row r="382" spans="1:44" ht="15" customHeight="1">
      <c r="A382" s="63">
        <v>45321</v>
      </c>
      <c r="B382" s="29" t="s">
        <v>15</v>
      </c>
      <c r="C382" s="34" t="str" cm="1">
        <f t="array" ref="C38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82" s="27" t="s">
        <v>1352</v>
      </c>
      <c r="E382" s="67" t="s">
        <v>74</v>
      </c>
      <c r="F382" s="29" t="s">
        <v>173</v>
      </c>
      <c r="G382" s="29" t="s">
        <v>34</v>
      </c>
      <c r="H382" s="63">
        <v>45321</v>
      </c>
      <c r="I382" s="339"/>
      <c r="J382" s="59">
        <v>45320</v>
      </c>
      <c r="K382" s="59" t="s">
        <v>1605</v>
      </c>
      <c r="L382" s="104" t="s">
        <v>1606</v>
      </c>
      <c r="M382" s="70" t="s">
        <v>19</v>
      </c>
      <c r="N382" s="223"/>
      <c r="O382" s="226"/>
      <c r="P382" s="59" t="s">
        <v>19</v>
      </c>
      <c r="Q382" s="84"/>
      <c r="R382" s="29"/>
      <c r="S382" s="29"/>
      <c r="T382" s="223"/>
      <c r="U382" s="29"/>
      <c r="V382" s="29"/>
      <c r="W382" s="29"/>
      <c r="X382" s="27"/>
      <c r="Y382" s="29" t="s">
        <v>30</v>
      </c>
      <c r="Z382" s="29" t="s">
        <v>42</v>
      </c>
      <c r="AA382" s="29" t="s">
        <v>22</v>
      </c>
      <c r="AB382" s="29" t="s">
        <v>1607</v>
      </c>
      <c r="AC382" s="59">
        <v>45319</v>
      </c>
      <c r="AD382" s="63">
        <v>45320</v>
      </c>
      <c r="AE382" s="63">
        <v>45321</v>
      </c>
      <c r="AF382" s="59">
        <v>45322</v>
      </c>
      <c r="AG382" s="59">
        <v>45325</v>
      </c>
      <c r="AH382" s="85">
        <v>45327</v>
      </c>
      <c r="AI382" s="29" t="s">
        <v>30</v>
      </c>
      <c r="AJ382" s="224">
        <v>45328</v>
      </c>
      <c r="AK382" s="139">
        <v>45335</v>
      </c>
      <c r="AL382" s="102"/>
      <c r="AM382" s="41" t="str">
        <f>VLOOKUP(Table2[[#This Row],[country]],Countrycode!A:B,2,FALSE)</f>
        <v>CHN</v>
      </c>
      <c r="AN382" s="34">
        <f>IF(ISBLANK(Table2[[#This Row],[Need_RRA]]), 2,(IF(Table2[[#This Row],[Need_RRA]]="No", 0, (IF(AND(Table2[[#This Row],[Need_RRA]]="Yes",  Table2[[#This Row],[RRA_pub_date]]=""),1, 0)))))</f>
        <v>0</v>
      </c>
      <c r="AO382" s="34">
        <f>IF(ISBLANK(Table2[[#This Row],[Need_EIS]]), 2,(IF(Table2[[#This Row],[Need_EIS]]="No", 0, (IF(AND(Table2[[#This Row],[Need_EIS]]="Yes",  Table2[[#This Row],[EIS_pub_date]]=""),1, 0)))))</f>
        <v>0</v>
      </c>
      <c r="AP382" s="34">
        <f>IF(ISBLANK(Table2[[#This Row],[Need_DON]]), 2,(IF(Table2[[#This Row],[Need_DON]]="No", 0, (IF(AND(Table2[[#This Row],[Need_DON]]="Yes",  Table2[[#This Row],[DON_pub_date]]=""),1, 0)))))</f>
        <v>0</v>
      </c>
      <c r="AQ382" s="34">
        <f>IF(ISBLANK(Table2[[#This Row],[Pending_question]]), 2,(IF(Table2[[#This Row],[Pending_question]]="Yes", 1, 0)))</f>
        <v>0</v>
      </c>
      <c r="AR382" s="225"/>
    </row>
    <row r="383" spans="1:44" ht="15" customHeight="1">
      <c r="A383" s="63">
        <v>45321</v>
      </c>
      <c r="B383" s="29" t="s">
        <v>15</v>
      </c>
      <c r="C383" s="34" t="str" cm="1">
        <f t="array" ref="C38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83" s="27" t="s">
        <v>1233</v>
      </c>
      <c r="E383" s="67" t="s">
        <v>233</v>
      </c>
      <c r="F383" s="29" t="s">
        <v>377</v>
      </c>
      <c r="G383" s="29" t="s">
        <v>34</v>
      </c>
      <c r="H383" s="59">
        <v>45321</v>
      </c>
      <c r="I383" s="223"/>
      <c r="J383" s="59"/>
      <c r="K383" s="59"/>
      <c r="L383" s="104"/>
      <c r="M383" s="70" t="s">
        <v>19</v>
      </c>
      <c r="N383" s="223"/>
      <c r="O383" s="226"/>
      <c r="P383" s="59" t="s">
        <v>19</v>
      </c>
      <c r="Q383" s="84"/>
      <c r="R383" s="29"/>
      <c r="S383" s="29"/>
      <c r="T383" s="223"/>
      <c r="U383" s="29"/>
      <c r="V383" s="29"/>
      <c r="W383" s="29"/>
      <c r="X383" s="27"/>
      <c r="Y383" s="29" t="s">
        <v>30</v>
      </c>
      <c r="Z383" s="29" t="s">
        <v>42</v>
      </c>
      <c r="AA383" s="29" t="s">
        <v>22</v>
      </c>
      <c r="AB383" s="29" t="s">
        <v>1608</v>
      </c>
      <c r="AC383" s="59">
        <v>45321</v>
      </c>
      <c r="AD383" s="59">
        <v>45321</v>
      </c>
      <c r="AE383" s="59">
        <v>45321</v>
      </c>
      <c r="AF383" s="59">
        <v>45322</v>
      </c>
      <c r="AG383" s="59">
        <v>45325</v>
      </c>
      <c r="AH383" s="85">
        <v>45327</v>
      </c>
      <c r="AI383" s="29" t="s">
        <v>30</v>
      </c>
      <c r="AJ383" s="224">
        <v>45328</v>
      </c>
      <c r="AK383" s="85">
        <v>45331</v>
      </c>
      <c r="AL383" s="102"/>
      <c r="AM383" s="41" t="str">
        <f>VLOOKUP(Table2[[#This Row],[country]],Countrycode!A:B,2,FALSE)</f>
        <v>ESP</v>
      </c>
      <c r="AN383" s="34">
        <f>IF(ISBLANK(Table2[[#This Row],[Need_RRA]]), 2,(IF(Table2[[#This Row],[Need_RRA]]="No", 0, (IF(AND(Table2[[#This Row],[Need_RRA]]="Yes",  Table2[[#This Row],[RRA_pub_date]]=""),1, 0)))))</f>
        <v>0</v>
      </c>
      <c r="AO383" s="34">
        <f>IF(ISBLANK(Table2[[#This Row],[Need_EIS]]), 2,(IF(Table2[[#This Row],[Need_EIS]]="No", 0, (IF(AND(Table2[[#This Row],[Need_EIS]]="Yes",  Table2[[#This Row],[EIS_pub_date]]=""),1, 0)))))</f>
        <v>0</v>
      </c>
      <c r="AP383" s="34">
        <f>IF(ISBLANK(Table2[[#This Row],[Need_DON]]), 2,(IF(Table2[[#This Row],[Need_DON]]="No", 0, (IF(AND(Table2[[#This Row],[Need_DON]]="Yes",  Table2[[#This Row],[DON_pub_date]]=""),1, 0)))))</f>
        <v>0</v>
      </c>
      <c r="AQ383" s="34">
        <f>IF(ISBLANK(Table2[[#This Row],[Pending_question]]), 2,(IF(Table2[[#This Row],[Pending_question]]="Yes", 1, 0)))</f>
        <v>0</v>
      </c>
      <c r="AR383" s="225"/>
    </row>
    <row r="384" spans="1:44" ht="15" customHeight="1">
      <c r="A384" s="63">
        <v>45324</v>
      </c>
      <c r="B384" s="16" t="s">
        <v>15</v>
      </c>
      <c r="C384" s="238" t="str" cm="1">
        <f t="array" ref="C38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84" s="32" t="s">
        <v>927</v>
      </c>
      <c r="E384" s="70" t="s">
        <v>250</v>
      </c>
      <c r="F384" s="16" t="s">
        <v>404</v>
      </c>
      <c r="G384" s="16" t="s">
        <v>34</v>
      </c>
      <c r="H384" s="55">
        <v>45324</v>
      </c>
      <c r="I384" s="223"/>
      <c r="J384" s="59">
        <v>45322</v>
      </c>
      <c r="K384" s="294" t="s">
        <v>1609</v>
      </c>
      <c r="L384" s="184" t="s">
        <v>1610</v>
      </c>
      <c r="M384" s="70" t="s">
        <v>19</v>
      </c>
      <c r="N384" s="214"/>
      <c r="O384" s="215"/>
      <c r="P384" s="54" t="s">
        <v>19</v>
      </c>
      <c r="Q384" s="84"/>
      <c r="R384" s="54"/>
      <c r="S384" s="34"/>
      <c r="T384" s="293"/>
      <c r="U384" s="58"/>
      <c r="V384" s="29"/>
      <c r="W384" s="29"/>
      <c r="X384" s="27"/>
      <c r="Y384" s="54" t="s">
        <v>30</v>
      </c>
      <c r="Z384" s="29" t="s">
        <v>42</v>
      </c>
      <c r="AA384" s="29" t="s">
        <v>22</v>
      </c>
      <c r="AB384" s="54" t="s">
        <v>1611</v>
      </c>
      <c r="AC384" s="59">
        <v>45323</v>
      </c>
      <c r="AD384" s="59">
        <v>45323</v>
      </c>
      <c r="AE384" s="59">
        <v>45324</v>
      </c>
      <c r="AF384" s="59">
        <v>45324</v>
      </c>
      <c r="AG384" s="59">
        <v>45324</v>
      </c>
      <c r="AH384" s="85">
        <v>45324</v>
      </c>
      <c r="AI384" s="54" t="s">
        <v>30</v>
      </c>
      <c r="AJ384" s="224">
        <v>45328</v>
      </c>
      <c r="AK384" s="85">
        <v>45330</v>
      </c>
      <c r="AL384" s="102"/>
      <c r="AM384" s="41" t="str">
        <f>VLOOKUP(Table2[[#This Row],[country]],Countrycode!A:B,2,FALSE)</f>
        <v>URY</v>
      </c>
      <c r="AN384" s="34">
        <f>IF(ISBLANK(Table2[[#This Row],[Need_RRA]]), 2,(IF(Table2[[#This Row],[Need_RRA]]="No", 0, (IF(AND(Table2[[#This Row],[Need_RRA]]="Yes",  Table2[[#This Row],[RRA_pub_date]]=""),1, 0)))))</f>
        <v>0</v>
      </c>
      <c r="AO384" s="41">
        <f>IF(ISBLANK(Table2[[#This Row],[Need_EIS]]), 2,(IF(Table2[[#This Row],[Need_EIS]]="No", 0, (IF(AND(Table2[[#This Row],[Need_EIS]]="Yes",  Table2[[#This Row],[EIS_pub_date]]=""),1, 0)))))</f>
        <v>0</v>
      </c>
      <c r="AP384" s="41">
        <f>IF(ISBLANK(Table2[[#This Row],[Need_DON]]), 2,(IF(Table2[[#This Row],[Need_DON]]="No", 0, (IF(AND(Table2[[#This Row],[Need_DON]]="Yes",  Table2[[#This Row],[DON_pub_date]]=""),1, 0)))))</f>
        <v>0</v>
      </c>
      <c r="AQ384" s="34">
        <f>IF(ISBLANK(Table2[[#This Row],[Pending_question]]), 2,(IF(Table2[[#This Row],[Pending_question]]="Yes", 1, 0)))</f>
        <v>0</v>
      </c>
      <c r="AR384" s="225"/>
    </row>
    <row r="385" spans="1:44" ht="15" customHeight="1">
      <c r="A385" s="63">
        <v>45329</v>
      </c>
      <c r="B385" s="29" t="s">
        <v>15</v>
      </c>
      <c r="C385" s="238" t="str" cm="1">
        <f t="array" ref="C38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85" s="27" t="s">
        <v>1352</v>
      </c>
      <c r="E385" s="67" t="s">
        <v>180</v>
      </c>
      <c r="F385" s="29" t="s">
        <v>363</v>
      </c>
      <c r="G385" s="29" t="s">
        <v>34</v>
      </c>
      <c r="H385" s="59">
        <v>45329</v>
      </c>
      <c r="I385" s="59">
        <v>45328</v>
      </c>
      <c r="J385" s="59">
        <v>45283</v>
      </c>
      <c r="K385" s="59" t="s">
        <v>852</v>
      </c>
      <c r="L385" s="104" t="s">
        <v>1153</v>
      </c>
      <c r="M385" s="70" t="s">
        <v>19</v>
      </c>
      <c r="N385" s="223"/>
      <c r="O385" s="226"/>
      <c r="P385" s="59" t="s">
        <v>19</v>
      </c>
      <c r="Q385" s="84"/>
      <c r="R385" s="29"/>
      <c r="S385" s="29"/>
      <c r="T385" s="223"/>
      <c r="U385" s="29"/>
      <c r="V385" s="29"/>
      <c r="W385" s="29"/>
      <c r="X385" s="27"/>
      <c r="Y385" s="29" t="s">
        <v>30</v>
      </c>
      <c r="Z385" s="29" t="s">
        <v>21</v>
      </c>
      <c r="AA385" s="29" t="s">
        <v>22</v>
      </c>
      <c r="AB385" s="29" t="s">
        <v>1612</v>
      </c>
      <c r="AC385" s="29"/>
      <c r="AD385" s="59">
        <v>45323</v>
      </c>
      <c r="AE385" s="59">
        <v>45324</v>
      </c>
      <c r="AF385" s="59">
        <v>45326</v>
      </c>
      <c r="AG385" s="59">
        <v>45334</v>
      </c>
      <c r="AH385" s="85">
        <v>45334</v>
      </c>
      <c r="AI385" s="29" t="s">
        <v>30</v>
      </c>
      <c r="AJ385" s="224">
        <v>45335</v>
      </c>
      <c r="AK385" s="226">
        <v>45338</v>
      </c>
      <c r="AL385" s="102"/>
      <c r="AM385" s="41" t="str">
        <f>VLOOKUP(Table2[[#This Row],[country]],Countrycode!A:B,2,FALSE)</f>
        <v>SAU</v>
      </c>
      <c r="AN385" s="34">
        <f>IF(ISBLANK(Table2[[#This Row],[Need_RRA]]), 2,(IF(Table2[[#This Row],[Need_RRA]]="No", 0, (IF(AND(Table2[[#This Row],[Need_RRA]]="Yes",  Table2[[#This Row],[RRA_pub_date]]=""),1, 0)))))</f>
        <v>0</v>
      </c>
      <c r="AO385" s="34">
        <f>IF(ISBLANK(Table2[[#This Row],[Need_EIS]]), 2,(IF(Table2[[#This Row],[Need_EIS]]="No", 0, (IF(AND(Table2[[#This Row],[Need_EIS]]="Yes",  Table2[[#This Row],[EIS_pub_date]]=""),1, 0)))))</f>
        <v>0</v>
      </c>
      <c r="AP385" s="34">
        <f>IF(ISBLANK(Table2[[#This Row],[Need_DON]]), 2,(IF(Table2[[#This Row],[Need_DON]]="No", 0, (IF(AND(Table2[[#This Row],[Need_DON]]="Yes",  Table2[[#This Row],[DON_pub_date]]=""),1, 0)))))</f>
        <v>0</v>
      </c>
      <c r="AQ385" s="34">
        <f>IF(ISBLANK(Table2[[#This Row],[Pending_question]]), 2,(IF(Table2[[#This Row],[Pending_question]]="Yes", 1, 0)))</f>
        <v>0</v>
      </c>
      <c r="AR385" s="225"/>
    </row>
    <row r="386" spans="1:44" ht="15" customHeight="1">
      <c r="A386" s="63">
        <v>45329</v>
      </c>
      <c r="B386" s="16" t="s">
        <v>15</v>
      </c>
      <c r="C386" s="34" t="str" cm="1">
        <f t="array" ref="C38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86" s="32" t="s">
        <v>1613</v>
      </c>
      <c r="E386" s="16" t="s">
        <v>194</v>
      </c>
      <c r="F386" s="16" t="s">
        <v>379</v>
      </c>
      <c r="G386" s="16" t="s">
        <v>34</v>
      </c>
      <c r="H386" s="63">
        <v>45329</v>
      </c>
      <c r="I386" s="339">
        <v>45329</v>
      </c>
      <c r="J386" s="63"/>
      <c r="K386" s="63"/>
      <c r="L386" s="182"/>
      <c r="M386" s="70" t="s">
        <v>19</v>
      </c>
      <c r="N386" s="339"/>
      <c r="O386" s="339"/>
      <c r="P386" s="63" t="s">
        <v>19</v>
      </c>
      <c r="T386" s="339"/>
      <c r="Y386" s="16" t="s">
        <v>30</v>
      </c>
      <c r="Z386" s="16" t="s">
        <v>42</v>
      </c>
      <c r="AA386" s="16" t="s">
        <v>43</v>
      </c>
      <c r="AB386" s="16" t="s">
        <v>1614</v>
      </c>
      <c r="AC386" s="63">
        <v>45329</v>
      </c>
      <c r="AD386" s="339">
        <v>45329</v>
      </c>
      <c r="AE386" s="63">
        <v>45330</v>
      </c>
      <c r="AF386" s="63">
        <v>45334</v>
      </c>
      <c r="AH386" s="81">
        <v>45338</v>
      </c>
      <c r="AI386" s="16" t="s">
        <v>19</v>
      </c>
      <c r="AJ386" s="275"/>
      <c r="AM386" s="41" t="str">
        <f>VLOOKUP(Table2[[#This Row],[country]],Countrycode!A:B,2,FALSE)</f>
        <v>SDN</v>
      </c>
      <c r="AN386" s="34">
        <f>IF(ISBLANK(Table2[[#This Row],[Need_RRA]]), 2,(IF(Table2[[#This Row],[Need_RRA]]="No", 0, (IF(AND(Table2[[#This Row],[Need_RRA]]="Yes",  Table2[[#This Row],[RRA_pub_date]]=""),1, 0)))))</f>
        <v>0</v>
      </c>
      <c r="AO386" s="34">
        <f>IF(ISBLANK(Table2[[#This Row],[Need_EIS]]), 2,(IF(Table2[[#This Row],[Need_EIS]]="No", 0, (IF(AND(Table2[[#This Row],[Need_EIS]]="Yes",  Table2[[#This Row],[EIS_pub_date]]=""),1, 0)))))</f>
        <v>0</v>
      </c>
      <c r="AP386" s="34">
        <f>IF(ISBLANK(Table2[[#This Row],[Need_DON]]), 2,(IF(Table2[[#This Row],[Need_DON]]="No", 0, (IF(AND(Table2[[#This Row],[Need_DON]]="Yes",  Table2[[#This Row],[DON_pub_date]]=""),1, 0)))))</f>
        <v>0</v>
      </c>
      <c r="AQ386" s="34">
        <f>IF(ISBLANK(Table2[[#This Row],[Pending_question]]), 2,(IF(Table2[[#This Row],[Pending_question]]="Yes", 1, 0)))</f>
        <v>0</v>
      </c>
      <c r="AR386" s="225"/>
    </row>
    <row r="387" spans="1:44" ht="15" customHeight="1">
      <c r="A387" s="63">
        <v>45332</v>
      </c>
      <c r="B387" s="29" t="s">
        <v>15</v>
      </c>
      <c r="C387" s="34" t="str" cm="1">
        <f t="array" ref="C38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87" s="27" t="s">
        <v>1615</v>
      </c>
      <c r="E387" s="70" t="s">
        <v>178</v>
      </c>
      <c r="F387" s="54" t="s">
        <v>328</v>
      </c>
      <c r="G387" s="29" t="s">
        <v>34</v>
      </c>
      <c r="H387" s="54"/>
      <c r="I387" s="29"/>
      <c r="J387" s="29"/>
      <c r="L387" s="27"/>
      <c r="M387" s="70" t="s">
        <v>19</v>
      </c>
      <c r="N387" s="54"/>
      <c r="O387" s="26"/>
      <c r="P387" s="54" t="s">
        <v>30</v>
      </c>
      <c r="Q387" s="84">
        <v>1</v>
      </c>
      <c r="R387" s="54" t="s">
        <v>1616</v>
      </c>
      <c r="S387" s="59">
        <v>45332</v>
      </c>
      <c r="T387" s="59">
        <v>45332</v>
      </c>
      <c r="U387" s="59">
        <v>45345</v>
      </c>
      <c r="V387" s="29" t="s">
        <v>20</v>
      </c>
      <c r="W387" s="29" t="s">
        <v>32</v>
      </c>
      <c r="X387" s="27" t="s">
        <v>51</v>
      </c>
      <c r="Y387" s="54" t="s">
        <v>19</v>
      </c>
      <c r="Z387" s="29" t="s">
        <v>42</v>
      </c>
      <c r="AA387" s="29"/>
      <c r="AB387" s="54"/>
      <c r="AC387" s="29"/>
      <c r="AD387" s="59"/>
      <c r="AE387" s="29"/>
      <c r="AF387" s="29"/>
      <c r="AG387" s="29"/>
      <c r="AH387" s="27"/>
      <c r="AI387" s="54" t="s">
        <v>19</v>
      </c>
      <c r="AJ387" s="139"/>
      <c r="AK387" s="27"/>
      <c r="AL387" s="102"/>
      <c r="AM387" s="41" t="str">
        <f>VLOOKUP(Table2[[#This Row],[country]],Countrycode!A:B,2,FALSE)</f>
        <v>NGA</v>
      </c>
      <c r="AN387" s="34">
        <f>IF(ISBLANK(Table2[[#This Row],[Need_RRA]]), 2,(IF(Table2[[#This Row],[Need_RRA]]="No", 0, (IF(AND(Table2[[#This Row],[Need_RRA]]="Yes",  Table2[[#This Row],[RRA_pub_date]]=""),1, 0)))))</f>
        <v>0</v>
      </c>
      <c r="AO387" s="34">
        <f>IF(ISBLANK(Table2[[#This Row],[Need_EIS]]), 2,(IF(Table2[[#This Row],[Need_EIS]]="No", 0, (IF(AND(Table2[[#This Row],[Need_EIS]]="Yes",  Table2[[#This Row],[EIS_pub_date]]=""),1, 0)))))</f>
        <v>0</v>
      </c>
      <c r="AP387" s="34">
        <f>IF(ISBLANK(Table2[[#This Row],[Need_DON]]), 2,(IF(Table2[[#This Row],[Need_DON]]="No", 0, (IF(AND(Table2[[#This Row],[Need_DON]]="Yes",  Table2[[#This Row],[DON_pub_date]]=""),1, 0)))))</f>
        <v>0</v>
      </c>
      <c r="AQ387" s="34">
        <f>IF(ISBLANK(Table2[[#This Row],[Pending_question]]), 2,(IF(Table2[[#This Row],[Pending_question]]="Yes", 1, 0)))</f>
        <v>0</v>
      </c>
      <c r="AR387" s="225"/>
    </row>
    <row r="388" spans="1:44" ht="15" customHeight="1">
      <c r="A388" s="63">
        <v>45334</v>
      </c>
      <c r="B388" s="29" t="s">
        <v>15</v>
      </c>
      <c r="C388" s="34" t="str" cm="1">
        <f t="array" ref="C38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88" s="27" t="s">
        <v>1020</v>
      </c>
      <c r="E388" s="67" t="s">
        <v>99</v>
      </c>
      <c r="F388" s="29" t="s">
        <v>159</v>
      </c>
      <c r="G388" s="29" t="s">
        <v>34</v>
      </c>
      <c r="H388" s="59">
        <v>45334</v>
      </c>
      <c r="I388" s="223"/>
      <c r="J388" s="59"/>
      <c r="K388" s="59"/>
      <c r="L388" s="104"/>
      <c r="M388" s="70" t="s">
        <v>19</v>
      </c>
      <c r="N388" s="223"/>
      <c r="O388" s="226"/>
      <c r="P388" s="59" t="s">
        <v>19</v>
      </c>
      <c r="Q388" s="84"/>
      <c r="R388" s="29"/>
      <c r="S388" s="29"/>
      <c r="T388" s="223"/>
      <c r="U388" s="29"/>
      <c r="V388" s="29"/>
      <c r="W388" s="29"/>
      <c r="X388" s="27"/>
      <c r="Y388" s="29" t="s">
        <v>30</v>
      </c>
      <c r="Z388" s="29" t="s">
        <v>21</v>
      </c>
      <c r="AA388" s="29" t="s">
        <v>22</v>
      </c>
      <c r="AB388" s="29" t="s">
        <v>1617</v>
      </c>
      <c r="AC388" s="59">
        <v>45331</v>
      </c>
      <c r="AD388" s="223">
        <v>45336</v>
      </c>
      <c r="AE388" s="59">
        <v>45337</v>
      </c>
      <c r="AF388" s="59">
        <v>45337</v>
      </c>
      <c r="AG388" s="29"/>
      <c r="AH388" s="85">
        <v>45339</v>
      </c>
      <c r="AI388" s="29" t="s">
        <v>19</v>
      </c>
      <c r="AJ388" s="224"/>
      <c r="AK388" s="198"/>
      <c r="AL388" s="102"/>
      <c r="AM388" s="41" t="str">
        <f>VLOOKUP(Table2[[#This Row],[country]],Countrycode!A:B,2,FALSE)</f>
        <v>KHM</v>
      </c>
      <c r="AN388" s="34">
        <f>IF(ISBLANK(Table2[[#This Row],[Need_RRA]]), 2,(IF(Table2[[#This Row],[Need_RRA]]="No", 0, (IF(AND(Table2[[#This Row],[Need_RRA]]="Yes",  Table2[[#This Row],[RRA_pub_date]]=""),1, 0)))))</f>
        <v>0</v>
      </c>
      <c r="AO388" s="34">
        <f>IF(ISBLANK(Table2[[#This Row],[Need_EIS]]), 2,(IF(Table2[[#This Row],[Need_EIS]]="No", 0, (IF(AND(Table2[[#This Row],[Need_EIS]]="Yes",  Table2[[#This Row],[EIS_pub_date]]=""),1, 0)))))</f>
        <v>0</v>
      </c>
      <c r="AP388" s="34">
        <f>IF(ISBLANK(Table2[[#This Row],[Need_DON]]), 2,(IF(Table2[[#This Row],[Need_DON]]="No", 0, (IF(AND(Table2[[#This Row],[Need_DON]]="Yes",  Table2[[#This Row],[DON_pub_date]]=""),1, 0)))))</f>
        <v>0</v>
      </c>
      <c r="AQ388" s="34">
        <f>IF(ISBLANK(Table2[[#This Row],[Pending_question]]), 2,(IF(Table2[[#This Row],[Pending_question]]="Yes", 1, 0)))</f>
        <v>0</v>
      </c>
      <c r="AR388" s="225"/>
    </row>
    <row r="389" spans="1:44" ht="15" customHeight="1">
      <c r="A389" s="63">
        <v>45335</v>
      </c>
      <c r="B389" s="29" t="s">
        <v>15</v>
      </c>
      <c r="C389" s="34" t="str" cm="1">
        <f t="array" ref="C38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89" s="27" t="s">
        <v>1233</v>
      </c>
      <c r="E389" s="67" t="s">
        <v>188</v>
      </c>
      <c r="F389" s="29" t="s">
        <v>117</v>
      </c>
      <c r="G389" s="29" t="s">
        <v>34</v>
      </c>
      <c r="H389" s="59">
        <v>45335</v>
      </c>
      <c r="I389" s="59">
        <v>45338</v>
      </c>
      <c r="J389" s="59">
        <v>45330</v>
      </c>
      <c r="K389" s="294" t="s">
        <v>1618</v>
      </c>
      <c r="L389" s="104" t="s">
        <v>1619</v>
      </c>
      <c r="M389" s="70" t="s">
        <v>19</v>
      </c>
      <c r="N389" s="223"/>
      <c r="O389" s="226"/>
      <c r="P389" s="59" t="s">
        <v>19</v>
      </c>
      <c r="Q389" s="84"/>
      <c r="R389" s="29"/>
      <c r="S389" s="29"/>
      <c r="T389" s="223"/>
      <c r="U389" s="29"/>
      <c r="V389" s="29"/>
      <c r="W389" s="29"/>
      <c r="X389" s="27"/>
      <c r="Y389" s="29" t="s">
        <v>30</v>
      </c>
      <c r="Z389" s="29" t="s">
        <v>42</v>
      </c>
      <c r="AA389" s="29" t="s">
        <v>22</v>
      </c>
      <c r="AB389" s="29" t="s">
        <v>1620</v>
      </c>
      <c r="AC389" s="59">
        <v>45331</v>
      </c>
      <c r="AD389" s="223">
        <v>45335</v>
      </c>
      <c r="AE389" s="59">
        <v>45336</v>
      </c>
      <c r="AF389" s="59">
        <v>45336</v>
      </c>
      <c r="AG389" s="29"/>
      <c r="AH389" s="59">
        <v>45344</v>
      </c>
      <c r="AI389" s="29" t="s">
        <v>30</v>
      </c>
      <c r="AJ389" s="224">
        <v>45344</v>
      </c>
      <c r="AK389" s="226">
        <v>45349</v>
      </c>
      <c r="AL389" s="102" t="s">
        <v>1621</v>
      </c>
      <c r="AM389" s="41" t="str">
        <f>VLOOKUP(Table2[[#This Row],[country]],Countrycode!A:B,2,FALSE)</f>
        <v>BGD</v>
      </c>
      <c r="AN389" s="34">
        <f>IF(ISBLANK(Table2[[#This Row],[Need_RRA]]), 2,(IF(Table2[[#This Row],[Need_RRA]]="No", 0, (IF(AND(Table2[[#This Row],[Need_RRA]]="Yes",  Table2[[#This Row],[RRA_pub_date]]=""),1, 0)))))</f>
        <v>0</v>
      </c>
      <c r="AO389" s="34">
        <f>IF(ISBLANK(Table2[[#This Row],[Need_EIS]]), 2,(IF(Table2[[#This Row],[Need_EIS]]="No", 0, (IF(AND(Table2[[#This Row],[Need_EIS]]="Yes",  Table2[[#This Row],[EIS_pub_date]]=""),1, 0)))))</f>
        <v>0</v>
      </c>
      <c r="AP389" s="34">
        <f>IF(ISBLANK(Table2[[#This Row],[Need_DON]]), 2,(IF(Table2[[#This Row],[Need_DON]]="No", 0, (IF(AND(Table2[[#This Row],[Need_DON]]="Yes",  Table2[[#This Row],[DON_pub_date]]=""),1, 0)))))</f>
        <v>0</v>
      </c>
      <c r="AQ389" s="34">
        <f>IF(ISBLANK(Table2[[#This Row],[Pending_question]]), 2,(IF(Table2[[#This Row],[Pending_question]]="Yes", 1, 0)))</f>
        <v>0</v>
      </c>
      <c r="AR389" s="225"/>
    </row>
    <row r="390" spans="1:44" ht="15" customHeight="1">
      <c r="A390" s="63">
        <v>45344</v>
      </c>
      <c r="B390" s="29" t="s">
        <v>15</v>
      </c>
      <c r="C390" s="34" t="str" cm="1">
        <f t="array" ref="C39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90" s="27" t="s">
        <v>1020</v>
      </c>
      <c r="E390" s="67" t="s">
        <v>110</v>
      </c>
      <c r="F390" s="29" t="s">
        <v>175</v>
      </c>
      <c r="G390" s="29" t="s">
        <v>34</v>
      </c>
      <c r="H390" s="59">
        <v>45344</v>
      </c>
      <c r="I390" s="223"/>
      <c r="J390" s="55">
        <v>45344</v>
      </c>
      <c r="K390" s="59" t="s">
        <v>1622</v>
      </c>
      <c r="L390" s="104" t="s">
        <v>1623</v>
      </c>
      <c r="M390" s="70" t="s">
        <v>19</v>
      </c>
      <c r="N390" s="223"/>
      <c r="O390" s="226"/>
      <c r="P390" s="59" t="s">
        <v>19</v>
      </c>
      <c r="Q390" s="84"/>
      <c r="R390" s="29"/>
      <c r="S390" s="29"/>
      <c r="T390" s="223"/>
      <c r="U390" s="29"/>
      <c r="V390" s="29"/>
      <c r="W390" s="29"/>
      <c r="X390" s="27"/>
      <c r="Y390" s="29" t="s">
        <v>30</v>
      </c>
      <c r="Z390" s="29" t="s">
        <v>42</v>
      </c>
      <c r="AA390" s="29" t="s">
        <v>22</v>
      </c>
      <c r="AB390" s="29" t="s">
        <v>1624</v>
      </c>
      <c r="AC390" s="59">
        <v>45344</v>
      </c>
      <c r="AD390" s="223">
        <v>45344</v>
      </c>
      <c r="AE390" s="59">
        <v>45345</v>
      </c>
      <c r="AF390" s="59">
        <v>45345</v>
      </c>
      <c r="AG390" s="59">
        <v>45349</v>
      </c>
      <c r="AH390" s="85">
        <v>45323</v>
      </c>
      <c r="AI390" s="29" t="s">
        <v>19</v>
      </c>
      <c r="AJ390" s="224"/>
      <c r="AK390" s="27"/>
      <c r="AL390" s="102"/>
      <c r="AM390" s="41" t="e">
        <f>VLOOKUP(Table2[[#This Row],[country]],Countrycode!A:B,2,FALSE)</f>
        <v>#N/A</v>
      </c>
      <c r="AN390" s="34">
        <f>IF(ISBLANK(Table2[[#This Row],[Need_RRA]]), 2,(IF(Table2[[#This Row],[Need_RRA]]="No", 0, (IF(AND(Table2[[#This Row],[Need_RRA]]="Yes",  Table2[[#This Row],[RRA_pub_date]]=""),1, 0)))))</f>
        <v>0</v>
      </c>
      <c r="AO390" s="41">
        <f>IF(ISBLANK(Table2[[#This Row],[Need_EIS]]), 2,(IF(Table2[[#This Row],[Need_EIS]]="No", 0, (IF(AND(Table2[[#This Row],[Need_EIS]]="Yes",  Table2[[#This Row],[EIS_pub_date]]=""),1, 0)))))</f>
        <v>0</v>
      </c>
      <c r="AP390" s="41">
        <f>IF(ISBLANK(Table2[[#This Row],[Need_DON]]), 2,(IF(Table2[[#This Row],[Need_DON]]="No", 0, (IF(AND(Table2[[#This Row],[Need_DON]]="Yes",  Table2[[#This Row],[DON_pub_date]]=""),1, 0)))))</f>
        <v>0</v>
      </c>
      <c r="AQ390" s="34">
        <f>IF(ISBLANK(Table2[[#This Row],[Pending_question]]), 2,(IF(Table2[[#This Row],[Pending_question]]="Yes", 1, 0)))</f>
        <v>0</v>
      </c>
      <c r="AR390" s="225"/>
    </row>
    <row r="391" spans="1:44" ht="15" customHeight="1">
      <c r="A391" s="63">
        <v>45344</v>
      </c>
      <c r="B391" s="29" t="s">
        <v>15</v>
      </c>
      <c r="C391" s="34" t="str" cm="1">
        <f t="array" ref="C39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91" s="27" t="s">
        <v>1625</v>
      </c>
      <c r="E391" s="67" t="s">
        <v>250</v>
      </c>
      <c r="F391" s="29" t="s">
        <v>39</v>
      </c>
      <c r="G391" s="29" t="s">
        <v>1082</v>
      </c>
      <c r="H391" s="29"/>
      <c r="I391" s="223"/>
      <c r="J391" s="59">
        <v>45344</v>
      </c>
      <c r="K391" s="59" t="s">
        <v>1366</v>
      </c>
      <c r="L391" s="104" t="s">
        <v>1626</v>
      </c>
      <c r="M391" s="70" t="s">
        <v>19</v>
      </c>
      <c r="N391" s="223"/>
      <c r="O391" s="226"/>
      <c r="P391" s="59" t="s">
        <v>30</v>
      </c>
      <c r="Q391" s="84">
        <v>1</v>
      </c>
      <c r="R391" s="29"/>
      <c r="S391" s="59">
        <v>45349</v>
      </c>
      <c r="T391" s="223">
        <v>45349</v>
      </c>
      <c r="U391" s="59">
        <v>45351</v>
      </c>
      <c r="V391" s="29"/>
      <c r="W391" s="29" t="s">
        <v>32</v>
      </c>
      <c r="X391" s="27" t="s">
        <v>51</v>
      </c>
      <c r="Y391" s="29" t="s">
        <v>19</v>
      </c>
      <c r="Z391" s="29" t="s">
        <v>34</v>
      </c>
      <c r="AA391" s="29" t="s">
        <v>34</v>
      </c>
      <c r="AB391" s="29"/>
      <c r="AC391" s="29"/>
      <c r="AD391" s="223"/>
      <c r="AE391" s="29"/>
      <c r="AF391" s="29"/>
      <c r="AG391" s="29"/>
      <c r="AH391" s="27"/>
      <c r="AI391" s="29" t="s">
        <v>19</v>
      </c>
      <c r="AJ391" s="224"/>
      <c r="AK391" s="27"/>
      <c r="AL391" s="102"/>
      <c r="AM391" s="41" t="str">
        <f>VLOOKUP(Table2[[#This Row],[country]],Countrycode!A:B,2,FALSE)</f>
        <v>MLX</v>
      </c>
      <c r="AN391" s="34">
        <f>IF(ISBLANK(Table2[[#This Row],[Need_RRA]]), 2,(IF(Table2[[#This Row],[Need_RRA]]="No", 0, (IF(AND(Table2[[#This Row],[Need_RRA]]="Yes",  Table2[[#This Row],[RRA_pub_date]]=""),1, 0)))))</f>
        <v>0</v>
      </c>
      <c r="AO391" s="34">
        <f>IF(ISBLANK(Table2[[#This Row],[Need_EIS]]), 2,(IF(Table2[[#This Row],[Need_EIS]]="No", 0, (IF(AND(Table2[[#This Row],[Need_EIS]]="Yes",  Table2[[#This Row],[EIS_pub_date]]=""),1, 0)))))</f>
        <v>0</v>
      </c>
      <c r="AP391" s="34">
        <f>IF(ISBLANK(Table2[[#This Row],[Need_DON]]), 2,(IF(Table2[[#This Row],[Need_DON]]="No", 0, (IF(AND(Table2[[#This Row],[Need_DON]]="Yes",  Table2[[#This Row],[DON_pub_date]]=""),1, 0)))))</f>
        <v>0</v>
      </c>
      <c r="AQ391" s="34">
        <f>IF(ISBLANK(Table2[[#This Row],[Pending_question]]), 2,(IF(Table2[[#This Row],[Pending_question]]="Yes", 1, 0)))</f>
        <v>0</v>
      </c>
      <c r="AR391" s="225"/>
    </row>
    <row r="392" spans="1:44" ht="15" customHeight="1">
      <c r="A392" s="63">
        <v>45348</v>
      </c>
      <c r="B392" s="29" t="s">
        <v>15</v>
      </c>
      <c r="C392" s="34" t="str" cm="1">
        <f t="array" ref="C39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92" s="27" t="s">
        <v>1352</v>
      </c>
      <c r="E392" s="70" t="s">
        <v>99</v>
      </c>
      <c r="F392" s="54" t="s">
        <v>159</v>
      </c>
      <c r="G392" s="29" t="s">
        <v>34</v>
      </c>
      <c r="H392" s="55">
        <v>45348</v>
      </c>
      <c r="I392" s="59">
        <v>45349</v>
      </c>
      <c r="J392" s="55">
        <v>45348</v>
      </c>
      <c r="K392" s="59" t="s">
        <v>1627</v>
      </c>
      <c r="L392" s="104" t="s">
        <v>1628</v>
      </c>
      <c r="M392" s="70" t="s">
        <v>19</v>
      </c>
      <c r="N392" s="214" t="s">
        <v>1629</v>
      </c>
      <c r="O392" s="215"/>
      <c r="P392" s="55" t="s">
        <v>19</v>
      </c>
      <c r="Q392" s="84"/>
      <c r="R392" s="54"/>
      <c r="S392" s="29"/>
      <c r="T392" s="223"/>
      <c r="U392" s="29"/>
      <c r="V392" s="29"/>
      <c r="W392" s="29"/>
      <c r="X392" s="27"/>
      <c r="Y392" s="54" t="s">
        <v>30</v>
      </c>
      <c r="Z392" s="29" t="s">
        <v>42</v>
      </c>
      <c r="AA392" s="29" t="s">
        <v>22</v>
      </c>
      <c r="AB392" s="54" t="s">
        <v>1630</v>
      </c>
      <c r="AC392" s="59">
        <v>45343</v>
      </c>
      <c r="AD392" s="59">
        <v>45344</v>
      </c>
      <c r="AE392" s="59">
        <v>45344</v>
      </c>
      <c r="AF392" s="29"/>
      <c r="AG392" s="59">
        <v>45348</v>
      </c>
      <c r="AH392" s="85">
        <v>45348</v>
      </c>
      <c r="AI392" s="54" t="s">
        <v>19</v>
      </c>
      <c r="AJ392" s="224"/>
      <c r="AK392" s="198"/>
      <c r="AL392" s="102" t="s">
        <v>1631</v>
      </c>
      <c r="AM392" s="41" t="str">
        <f>VLOOKUP(Table2[[#This Row],[country]],Countrycode!A:B,2,FALSE)</f>
        <v>KHM</v>
      </c>
      <c r="AN392" s="34">
        <f>IF(ISBLANK(Table2[[#This Row],[Need_RRA]]), 2,(IF(Table2[[#This Row],[Need_RRA]]="No", 0, (IF(AND(Table2[[#This Row],[Need_RRA]]="Yes",  Table2[[#This Row],[RRA_pub_date]]=""),1, 0)))))</f>
        <v>0</v>
      </c>
      <c r="AO392" s="34">
        <f>IF(ISBLANK(Table2[[#This Row],[Need_EIS]]), 2,(IF(Table2[[#This Row],[Need_EIS]]="No", 0, (IF(AND(Table2[[#This Row],[Need_EIS]]="Yes",  Table2[[#This Row],[EIS_pub_date]]=""),1, 0)))))</f>
        <v>0</v>
      </c>
      <c r="AP392" s="34">
        <f>IF(ISBLANK(Table2[[#This Row],[Need_DON]]), 2,(IF(Table2[[#This Row],[Need_DON]]="No", 0, (IF(AND(Table2[[#This Row],[Need_DON]]="Yes",  Table2[[#This Row],[DON_pub_date]]=""),1, 0)))))</f>
        <v>0</v>
      </c>
      <c r="AQ392" s="34">
        <f>IF(ISBLANK(Table2[[#This Row],[Pending_question]]), 2,(IF(Table2[[#This Row],[Pending_question]]="Yes", 1, 0)))</f>
        <v>0</v>
      </c>
      <c r="AR392" s="225"/>
    </row>
    <row r="393" spans="1:44" ht="15" customHeight="1">
      <c r="A393" s="63">
        <v>45348</v>
      </c>
      <c r="B393" s="29" t="s">
        <v>15</v>
      </c>
      <c r="C393" s="34" t="str" cm="1">
        <f t="array" ref="C39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93" s="27" t="s">
        <v>1632</v>
      </c>
      <c r="E393" s="67" t="s">
        <v>190</v>
      </c>
      <c r="F393" s="29" t="s">
        <v>39</v>
      </c>
      <c r="G393" s="29" t="s">
        <v>1082</v>
      </c>
      <c r="H393" s="29"/>
      <c r="I393" s="223"/>
      <c r="J393" s="59">
        <v>45348</v>
      </c>
      <c r="K393" s="370" t="s">
        <v>1579</v>
      </c>
      <c r="L393" s="104" t="s">
        <v>1580</v>
      </c>
      <c r="M393" s="70" t="s">
        <v>19</v>
      </c>
      <c r="N393" s="223"/>
      <c r="O393" s="226"/>
      <c r="P393" s="59" t="s">
        <v>30</v>
      </c>
      <c r="Q393" s="84">
        <v>1</v>
      </c>
      <c r="R393" s="29"/>
      <c r="S393" s="29"/>
      <c r="T393" s="223"/>
      <c r="U393" s="59">
        <v>45352</v>
      </c>
      <c r="V393" s="29"/>
      <c r="W393" s="29"/>
      <c r="X393" s="27"/>
      <c r="Y393" s="29" t="s">
        <v>19</v>
      </c>
      <c r="Z393" s="29" t="s">
        <v>34</v>
      </c>
      <c r="AA393" s="29" t="s">
        <v>34</v>
      </c>
      <c r="AB393" s="29"/>
      <c r="AC393" s="29"/>
      <c r="AD393" s="223"/>
      <c r="AE393" s="29"/>
      <c r="AF393" s="29"/>
      <c r="AG393" s="29"/>
      <c r="AH393" s="27"/>
      <c r="AI393" s="29" t="s">
        <v>19</v>
      </c>
      <c r="AJ393" s="224"/>
      <c r="AK393" s="27"/>
      <c r="AL393" s="102"/>
      <c r="AM393" s="41" t="str">
        <f>VLOOKUP(Table2[[#This Row],[country]],Countrycode!A:B,2,FALSE)</f>
        <v>MLX</v>
      </c>
      <c r="AN393" s="34">
        <f>IF(ISBLANK(Table2[[#This Row],[Need_RRA]]), 2,(IF(Table2[[#This Row],[Need_RRA]]="No", 0, (IF(AND(Table2[[#This Row],[Need_RRA]]="Yes",  Table2[[#This Row],[RRA_pub_date]]=""),1, 0)))))</f>
        <v>0</v>
      </c>
      <c r="AO393" s="34">
        <f>IF(ISBLANK(Table2[[#This Row],[Need_EIS]]), 2,(IF(Table2[[#This Row],[Need_EIS]]="No", 0, (IF(AND(Table2[[#This Row],[Need_EIS]]="Yes",  Table2[[#This Row],[EIS_pub_date]]=""),1, 0)))))</f>
        <v>0</v>
      </c>
      <c r="AP393" s="34">
        <f>IF(ISBLANK(Table2[[#This Row],[Need_DON]]), 2,(IF(Table2[[#This Row],[Need_DON]]="No", 0, (IF(AND(Table2[[#This Row],[Need_DON]]="Yes",  Table2[[#This Row],[DON_pub_date]]=""),1, 0)))))</f>
        <v>0</v>
      </c>
      <c r="AQ393" s="34">
        <f>IF(ISBLANK(Table2[[#This Row],[Pending_question]]), 2,(IF(Table2[[#This Row],[Pending_question]]="Yes", 1, 0)))</f>
        <v>0</v>
      </c>
      <c r="AR393" s="225"/>
    </row>
    <row r="394" spans="1:44" ht="15" customHeight="1">
      <c r="A394" s="63">
        <v>45349</v>
      </c>
      <c r="B394" s="29" t="s">
        <v>15</v>
      </c>
      <c r="C394" s="34" t="str" cm="1">
        <f t="array" ref="C39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94" s="27" t="s">
        <v>1244</v>
      </c>
      <c r="E394" s="67" t="s">
        <v>254</v>
      </c>
      <c r="F394" s="54" t="s">
        <v>117</v>
      </c>
      <c r="G394" s="29" t="s">
        <v>34</v>
      </c>
      <c r="H394" s="29"/>
      <c r="I394" s="223"/>
      <c r="J394" s="59"/>
      <c r="K394" s="59"/>
      <c r="L394" s="104"/>
      <c r="M394" s="70" t="s">
        <v>19</v>
      </c>
      <c r="N394" s="214" t="s">
        <v>1633</v>
      </c>
      <c r="O394" s="215"/>
      <c r="P394" s="55" t="s">
        <v>19</v>
      </c>
      <c r="Q394" s="84"/>
      <c r="R394" s="54"/>
      <c r="S394" s="29"/>
      <c r="T394" s="223"/>
      <c r="U394" s="29"/>
      <c r="V394" s="29"/>
      <c r="W394" s="29"/>
      <c r="X394" s="27"/>
      <c r="Y394" s="54" t="s">
        <v>19</v>
      </c>
      <c r="Z394" s="29"/>
      <c r="AA394" s="29"/>
      <c r="AB394" s="54"/>
      <c r="AC394" s="29"/>
      <c r="AD394" s="223"/>
      <c r="AE394" s="29"/>
      <c r="AF394" s="29"/>
      <c r="AG394" s="29"/>
      <c r="AH394" s="27"/>
      <c r="AI394" s="54" t="s">
        <v>19</v>
      </c>
      <c r="AJ394" s="224"/>
      <c r="AK394" s="27"/>
      <c r="AL394" s="102"/>
      <c r="AM394" s="41" t="str">
        <f>VLOOKUP(Table2[[#This Row],[country]],Countrycode!A:B,2,FALSE)</f>
        <v>BGD</v>
      </c>
      <c r="AN394" s="34">
        <f>IF(ISBLANK(Table2[[#This Row],[Need_RRA]]), 2,(IF(Table2[[#This Row],[Need_RRA]]="No", 0, (IF(AND(Table2[[#This Row],[Need_RRA]]="Yes",  Table2[[#This Row],[RRA_pub_date]]=""),1, 0)))))</f>
        <v>0</v>
      </c>
      <c r="AO394" s="34">
        <f>IF(ISBLANK(Table2[[#This Row],[Need_EIS]]), 2,(IF(Table2[[#This Row],[Need_EIS]]="No", 0, (IF(AND(Table2[[#This Row],[Need_EIS]]="Yes",  Table2[[#This Row],[EIS_pub_date]]=""),1, 0)))))</f>
        <v>0</v>
      </c>
      <c r="AP394" s="34">
        <f>IF(ISBLANK(Table2[[#This Row],[Need_DON]]), 2,(IF(Table2[[#This Row],[Need_DON]]="No", 0, (IF(AND(Table2[[#This Row],[Need_DON]]="Yes",  Table2[[#This Row],[DON_pub_date]]=""),1, 0)))))</f>
        <v>0</v>
      </c>
      <c r="AQ394" s="34">
        <f>IF(ISBLANK(Table2[[#This Row],[Pending_question]]), 2,(IF(Table2[[#This Row],[Pending_question]]="Yes", 1, 0)))</f>
        <v>0</v>
      </c>
      <c r="AR394" s="225"/>
    </row>
    <row r="395" spans="1:44" ht="15" customHeight="1">
      <c r="A395" s="63">
        <v>45349</v>
      </c>
      <c r="B395" s="16" t="s">
        <v>15</v>
      </c>
      <c r="C395" s="34" t="str" cm="1">
        <f t="array" ref="C39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95" s="32" t="s">
        <v>1244</v>
      </c>
      <c r="E395" s="16" t="s">
        <v>1634</v>
      </c>
      <c r="F395" s="16" t="s">
        <v>93</v>
      </c>
      <c r="G395" s="16" t="s">
        <v>34</v>
      </c>
      <c r="H395" s="16" t="s">
        <v>632</v>
      </c>
      <c r="I395" s="16" t="s">
        <v>632</v>
      </c>
      <c r="J395" s="63">
        <v>45349</v>
      </c>
      <c r="K395" s="63" t="s">
        <v>1635</v>
      </c>
      <c r="L395" s="313" t="s">
        <v>1636</v>
      </c>
      <c r="M395" s="70" t="s">
        <v>19</v>
      </c>
      <c r="P395" s="16" t="s">
        <v>30</v>
      </c>
      <c r="Q395" s="88">
        <v>1</v>
      </c>
      <c r="R395" s="16" t="s">
        <v>1637</v>
      </c>
      <c r="S395" s="63">
        <v>45379</v>
      </c>
      <c r="T395" s="59">
        <v>45379</v>
      </c>
      <c r="U395" s="59">
        <v>45438</v>
      </c>
      <c r="V395" s="29" t="s">
        <v>34</v>
      </c>
      <c r="W395" s="29" t="s">
        <v>34</v>
      </c>
      <c r="X395" s="27" t="s">
        <v>32</v>
      </c>
      <c r="Y395" s="16" t="s">
        <v>30</v>
      </c>
      <c r="Z395" s="16" t="s">
        <v>33</v>
      </c>
      <c r="AA395" s="16" t="s">
        <v>43</v>
      </c>
      <c r="AB395" s="16" t="s">
        <v>1638</v>
      </c>
      <c r="AC395" s="63">
        <v>45438</v>
      </c>
      <c r="AD395" s="63">
        <v>45447</v>
      </c>
      <c r="AE395" s="59">
        <v>45456</v>
      </c>
      <c r="AF395" s="29"/>
      <c r="AG395" s="29"/>
      <c r="AH395" s="85">
        <v>45497</v>
      </c>
      <c r="AI395" s="16" t="s">
        <v>30</v>
      </c>
      <c r="AJ395" s="139">
        <v>45490</v>
      </c>
      <c r="AK395" s="85">
        <v>45504</v>
      </c>
      <c r="AL395" s="102"/>
      <c r="AM395" s="41" t="e">
        <f>VLOOKUP(Table2[[#This Row],[country]],Countrycode!A:B,2,FALSE)</f>
        <v>#N/A</v>
      </c>
      <c r="AN395" s="34">
        <f>IF(ISBLANK(Table2[[#This Row],[Need_RRA]]), 2,(IF(Table2[[#This Row],[Need_RRA]]="No", 0, (IF(AND(Table2[[#This Row],[Need_RRA]]="Yes",  Table2[[#This Row],[RRA_pub_date]]=""),1, 0)))))</f>
        <v>0</v>
      </c>
      <c r="AO395" s="41">
        <f>IF(ISBLANK(Table2[[#This Row],[Need_EIS]]), 2,(IF(Table2[[#This Row],[Need_EIS]]="No", 0, (IF(AND(Table2[[#This Row],[Need_EIS]]="Yes",  Table2[[#This Row],[EIS_pub_date]]=""),1, 0)))))</f>
        <v>0</v>
      </c>
      <c r="AP395" s="41">
        <f>IF(ISBLANK(Table2[[#This Row],[Need_DON]]), 2,(IF(Table2[[#This Row],[Need_DON]]="No", 0, (IF(AND(Table2[[#This Row],[Need_DON]]="Yes",  Table2[[#This Row],[DON_pub_date]]=""),1, 0)))))</f>
        <v>0</v>
      </c>
      <c r="AQ395" s="34">
        <f>IF(ISBLANK(Table2[[#This Row],[Pending_question]]), 2,(IF(Table2[[#This Row],[Pending_question]]="Yes", 1, 0)))</f>
        <v>0</v>
      </c>
      <c r="AR395" s="225"/>
    </row>
    <row r="396" spans="1:44" ht="15" customHeight="1">
      <c r="A396" s="63">
        <v>45349</v>
      </c>
      <c r="B396" s="288" t="s">
        <v>15</v>
      </c>
      <c r="C396" s="34" t="str" cm="1">
        <f t="array" ref="C39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96" s="289" t="s">
        <v>1316</v>
      </c>
      <c r="E396" s="234" t="s">
        <v>207</v>
      </c>
      <c r="F396" s="234" t="s">
        <v>39</v>
      </c>
      <c r="G396" s="234" t="s">
        <v>746</v>
      </c>
      <c r="H396" s="292">
        <v>45349</v>
      </c>
      <c r="I396" s="319"/>
      <c r="J396" s="292">
        <v>45344</v>
      </c>
      <c r="K396" s="292" t="s">
        <v>1639</v>
      </c>
      <c r="L396" s="322" t="s">
        <v>1640</v>
      </c>
      <c r="M396" s="70" t="s">
        <v>19</v>
      </c>
      <c r="N396" s="319"/>
      <c r="O396" s="319"/>
      <c r="P396" s="292" t="s">
        <v>19</v>
      </c>
      <c r="Q396" s="299"/>
      <c r="R396" s="234"/>
      <c r="S396" s="234"/>
      <c r="T396" s="229"/>
      <c r="U396" s="159"/>
      <c r="V396" s="159"/>
      <c r="W396" s="159"/>
      <c r="X396" s="161"/>
      <c r="Y396" s="234" t="s">
        <v>30</v>
      </c>
      <c r="Z396" s="234" t="s">
        <v>42</v>
      </c>
      <c r="AA396" s="234" t="s">
        <v>43</v>
      </c>
      <c r="AB396" s="234"/>
      <c r="AC396" s="234"/>
      <c r="AD396" s="319"/>
      <c r="AE396" s="162">
        <v>45348</v>
      </c>
      <c r="AF396" s="159"/>
      <c r="AG396" s="159"/>
      <c r="AH396" s="164">
        <v>45351</v>
      </c>
      <c r="AI396" s="234" t="s">
        <v>30</v>
      </c>
      <c r="AJ396" s="231">
        <v>45352</v>
      </c>
      <c r="AK396" s="307">
        <v>45356</v>
      </c>
      <c r="AM396" s="16" t="str">
        <f>VLOOKUP(Table2[[#This Row],[country]],Countrycode!A:B,2,FALSE)</f>
        <v>MLX</v>
      </c>
      <c r="AN396" s="160">
        <f>IF(ISBLANK(Table2[[#This Row],[Need_RRA]]), 2,(IF(Table2[[#This Row],[Need_RRA]]="No", 0, (IF(AND(Table2[[#This Row],[Need_RRA]]="Yes",  Table2[[#This Row],[RRA_pub_date]]=""),1, 0)))))</f>
        <v>0</v>
      </c>
      <c r="AO396" s="16">
        <f>IF(ISBLANK(Table2[[#This Row],[Need_EIS]]), 2,(IF(Table2[[#This Row],[Need_EIS]]="No", 0, (IF(AND(Table2[[#This Row],[Need_EIS]]="Yes",  Table2[[#This Row],[EIS_pub_date]]=""),1, 0)))))</f>
        <v>0</v>
      </c>
      <c r="AP396" s="16">
        <f>IF(ISBLANK(Table2[[#This Row],[Need_DON]]), 2,(IF(Table2[[#This Row],[Need_DON]]="No", 0, (IF(AND(Table2[[#This Row],[Need_DON]]="Yes",  Table2[[#This Row],[DON_pub_date]]=""),1, 0)))))</f>
        <v>0</v>
      </c>
      <c r="AQ396" s="160">
        <f>IF(ISBLANK(Table2[[#This Row],[Pending_question]]), 2,(IF(Table2[[#This Row],[Pending_question]]="Yes", 1, 0)))</f>
        <v>0</v>
      </c>
      <c r="AR396" s="230"/>
    </row>
    <row r="397" spans="1:44" ht="15" customHeight="1">
      <c r="A397" s="63">
        <v>45355</v>
      </c>
      <c r="B397" s="29" t="s">
        <v>15</v>
      </c>
      <c r="C397" s="34" t="str" cm="1">
        <f t="array" ref="C39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97" s="27" t="s">
        <v>1020</v>
      </c>
      <c r="E397" s="67" t="s">
        <v>110</v>
      </c>
      <c r="F397" s="29" t="s">
        <v>173</v>
      </c>
      <c r="G397" s="29" t="s">
        <v>34</v>
      </c>
      <c r="H397" s="59">
        <v>45355</v>
      </c>
      <c r="I397" s="59">
        <v>45358</v>
      </c>
      <c r="J397" s="59">
        <v>45356</v>
      </c>
      <c r="K397" s="29" t="s">
        <v>1641</v>
      </c>
      <c r="L397" s="184" t="s">
        <v>1642</v>
      </c>
      <c r="M397" s="70" t="s">
        <v>19</v>
      </c>
      <c r="N397" s="29"/>
      <c r="O397" s="27"/>
      <c r="P397" s="29" t="s">
        <v>19</v>
      </c>
      <c r="Q397" s="84"/>
      <c r="R397" s="29"/>
      <c r="S397" s="29"/>
      <c r="T397" s="223"/>
      <c r="U397" s="29"/>
      <c r="V397" s="29"/>
      <c r="W397" s="29"/>
      <c r="X397" s="27"/>
      <c r="Y397" s="29" t="s">
        <v>30</v>
      </c>
      <c r="Z397" s="29" t="s">
        <v>42</v>
      </c>
      <c r="AA397" s="29" t="s">
        <v>22</v>
      </c>
      <c r="AB397" s="29" t="s">
        <v>1643</v>
      </c>
      <c r="AC397" s="59">
        <v>45355</v>
      </c>
      <c r="AD397" s="59">
        <v>45355</v>
      </c>
      <c r="AE397" s="59">
        <v>45355</v>
      </c>
      <c r="AF397" s="59">
        <v>45356</v>
      </c>
      <c r="AG397" s="59">
        <v>45359</v>
      </c>
      <c r="AH397" s="85">
        <v>45359</v>
      </c>
      <c r="AI397" s="29" t="s">
        <v>19</v>
      </c>
      <c r="AJ397" s="224"/>
      <c r="AK397" s="27"/>
      <c r="AL397" s="102"/>
      <c r="AM397" s="41" t="str">
        <f>VLOOKUP(Table2[[#This Row],[country]],Countrycode!A:B,2,FALSE)</f>
        <v>CHN</v>
      </c>
      <c r="AN397" s="34">
        <f>IF(ISBLANK(Table2[[#This Row],[Need_RRA]]), 2,(IF(Table2[[#This Row],[Need_RRA]]="No", 0, (IF(AND(Table2[[#This Row],[Need_RRA]]="Yes",  Table2[[#This Row],[RRA_pub_date]]=""),1, 0)))))</f>
        <v>0</v>
      </c>
      <c r="AO397" s="34">
        <f>IF(ISBLANK(Table2[[#This Row],[Need_EIS]]), 2,(IF(Table2[[#This Row],[Need_EIS]]="No", 0, (IF(AND(Table2[[#This Row],[Need_EIS]]="Yes",  Table2[[#This Row],[EIS_pub_date]]=""),1, 0)))))</f>
        <v>0</v>
      </c>
      <c r="AP397" s="34">
        <f>IF(ISBLANK(Table2[[#This Row],[Need_DON]]), 2,(IF(Table2[[#This Row],[Need_DON]]="No", 0, (IF(AND(Table2[[#This Row],[Need_DON]]="Yes",  Table2[[#This Row],[DON_pub_date]]=""),1, 0)))))</f>
        <v>0</v>
      </c>
      <c r="AQ397" s="34">
        <f>IF(ISBLANK(Table2[[#This Row],[Pending_question]]), 2,(IF(Table2[[#This Row],[Pending_question]]="Yes", 1, 0)))</f>
        <v>0</v>
      </c>
      <c r="AR397" s="225"/>
    </row>
    <row r="398" spans="1:44" ht="15" customHeight="1">
      <c r="A398" s="63">
        <v>45355</v>
      </c>
      <c r="B398" s="29" t="s">
        <v>15</v>
      </c>
      <c r="C398" s="34" t="str" cm="1">
        <f t="array" ref="C39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98" s="27" t="s">
        <v>1644</v>
      </c>
      <c r="E398" s="67" t="s">
        <v>1634</v>
      </c>
      <c r="F398" s="29" t="s">
        <v>39</v>
      </c>
      <c r="G398" s="29" t="s">
        <v>1082</v>
      </c>
      <c r="H398" s="59"/>
      <c r="I398" s="223"/>
      <c r="J398" s="59"/>
      <c r="K398" s="59"/>
      <c r="L398" s="64" t="s">
        <v>1636</v>
      </c>
      <c r="M398" s="70" t="s">
        <v>19</v>
      </c>
      <c r="N398" s="223"/>
      <c r="O398" s="226"/>
      <c r="P398" s="59" t="s">
        <v>30</v>
      </c>
      <c r="Q398" s="84">
        <v>1</v>
      </c>
      <c r="R398" s="29" t="s">
        <v>1645</v>
      </c>
      <c r="S398" s="292">
        <v>45355</v>
      </c>
      <c r="T398" s="319">
        <v>45362</v>
      </c>
      <c r="U398" s="59">
        <v>45371</v>
      </c>
      <c r="V398" s="29"/>
      <c r="W398" s="29"/>
      <c r="X398" s="27"/>
      <c r="Y398" s="29" t="s">
        <v>19</v>
      </c>
      <c r="Z398" s="29"/>
      <c r="AA398" s="29"/>
      <c r="AB398" s="29"/>
      <c r="AC398" s="29"/>
      <c r="AD398" s="223"/>
      <c r="AE398" s="29"/>
      <c r="AF398" s="29"/>
      <c r="AG398" s="29"/>
      <c r="AH398" s="27"/>
      <c r="AI398" s="29" t="s">
        <v>19</v>
      </c>
      <c r="AJ398" s="224"/>
      <c r="AK398" s="27"/>
      <c r="AL398" s="102"/>
      <c r="AM398" s="41" t="str">
        <f>VLOOKUP(Table2[[#This Row],[country]],Countrycode!A:B,2,FALSE)</f>
        <v>MLX</v>
      </c>
      <c r="AN398" s="34">
        <f>IF(ISBLANK(Table2[[#This Row],[Need_RRA]]), 2,(IF(Table2[[#This Row],[Need_RRA]]="No", 0, (IF(AND(Table2[[#This Row],[Need_RRA]]="Yes",  Table2[[#This Row],[RRA_pub_date]]=""),1, 0)))))</f>
        <v>0</v>
      </c>
      <c r="AO398" s="34">
        <f>IF(ISBLANK(Table2[[#This Row],[Need_EIS]]), 2,(IF(Table2[[#This Row],[Need_EIS]]="No", 0, (IF(AND(Table2[[#This Row],[Need_EIS]]="Yes",  Table2[[#This Row],[EIS_pub_date]]=""),1, 0)))))</f>
        <v>0</v>
      </c>
      <c r="AP398" s="34">
        <f>IF(ISBLANK(Table2[[#This Row],[Need_DON]]), 2,(IF(Table2[[#This Row],[Need_DON]]="No", 0, (IF(AND(Table2[[#This Row],[Need_DON]]="Yes",  Table2[[#This Row],[DON_pub_date]]=""),1, 0)))))</f>
        <v>0</v>
      </c>
      <c r="AQ398" s="34">
        <f>IF(ISBLANK(Table2[[#This Row],[Pending_question]]), 2,(IF(Table2[[#This Row],[Pending_question]]="Yes", 1, 0)))</f>
        <v>0</v>
      </c>
      <c r="AR398" s="225"/>
    </row>
    <row r="399" spans="1:44" ht="15" customHeight="1">
      <c r="A399" s="63">
        <v>45355</v>
      </c>
      <c r="B399" s="310" t="s">
        <v>15</v>
      </c>
      <c r="C399" s="34" t="str" cm="1">
        <f t="array" ref="C39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399" s="311" t="s">
        <v>1646</v>
      </c>
      <c r="E399" s="366" t="s">
        <v>178</v>
      </c>
      <c r="F399" s="310" t="s">
        <v>328</v>
      </c>
      <c r="G399" s="310" t="s">
        <v>34</v>
      </c>
      <c r="H399" s="177">
        <v>45355</v>
      </c>
      <c r="I399" s="310"/>
      <c r="J399" s="177">
        <v>45334</v>
      </c>
      <c r="K399" s="310" t="s">
        <v>1647</v>
      </c>
      <c r="L399" s="312" t="s">
        <v>1648</v>
      </c>
      <c r="M399" s="70" t="s">
        <v>19</v>
      </c>
      <c r="N399" s="310"/>
      <c r="O399" s="311"/>
      <c r="P399" s="310" t="s">
        <v>30</v>
      </c>
      <c r="Q399" s="316">
        <v>2</v>
      </c>
      <c r="R399" s="310"/>
      <c r="S399" s="177">
        <v>45355</v>
      </c>
      <c r="T399" s="223">
        <v>45358</v>
      </c>
      <c r="U399" s="59">
        <v>45361</v>
      </c>
      <c r="V399" s="29" t="s">
        <v>20</v>
      </c>
      <c r="W399" s="29" t="s">
        <v>32</v>
      </c>
      <c r="X399" s="27" t="s">
        <v>51</v>
      </c>
      <c r="Y399" s="310" t="s">
        <v>30</v>
      </c>
      <c r="Z399" s="310" t="s">
        <v>21</v>
      </c>
      <c r="AA399" s="310" t="s">
        <v>22</v>
      </c>
      <c r="AB399" s="310" t="s">
        <v>1649</v>
      </c>
      <c r="AC399" s="177">
        <v>45365</v>
      </c>
      <c r="AD399" s="177">
        <v>45376</v>
      </c>
      <c r="AE399" s="59">
        <v>45376</v>
      </c>
      <c r="AF399" s="29"/>
      <c r="AG399" s="59">
        <v>45405</v>
      </c>
      <c r="AH399" s="85">
        <v>45406</v>
      </c>
      <c r="AI399" s="310" t="s">
        <v>19</v>
      </c>
      <c r="AJ399" s="224"/>
      <c r="AK399" s="27"/>
      <c r="AL399" s="102"/>
      <c r="AM399" s="41" t="str">
        <f>VLOOKUP(Table2[[#This Row],[country]],Countrycode!A:B,2,FALSE)</f>
        <v>NGA</v>
      </c>
      <c r="AN399" s="34">
        <f>IF(ISBLANK(Table2[[#This Row],[Need_RRA]]), 2,(IF(Table2[[#This Row],[Need_RRA]]="No", 0, (IF(AND(Table2[[#This Row],[Need_RRA]]="Yes",  Table2[[#This Row],[RRA_pub_date]]=""),1, 0)))))</f>
        <v>0</v>
      </c>
      <c r="AO399" s="34">
        <f>IF(ISBLANK(Table2[[#This Row],[Need_EIS]]), 2,(IF(Table2[[#This Row],[Need_EIS]]="No", 0, (IF(AND(Table2[[#This Row],[Need_EIS]]="Yes",  Table2[[#This Row],[EIS_pub_date]]=""),1, 0)))))</f>
        <v>0</v>
      </c>
      <c r="AP399" s="34">
        <f>IF(ISBLANK(Table2[[#This Row],[Need_DON]]), 2,(IF(Table2[[#This Row],[Need_DON]]="No", 0, (IF(AND(Table2[[#This Row],[Need_DON]]="Yes",  Table2[[#This Row],[DON_pub_date]]=""),1, 0)))))</f>
        <v>0</v>
      </c>
      <c r="AQ399" s="34">
        <f>IF(ISBLANK(Table2[[#This Row],[Pending_question]]), 2,(IF(Table2[[#This Row],[Pending_question]]="Yes", 1, 0)))</f>
        <v>0</v>
      </c>
      <c r="AR399" s="225"/>
    </row>
    <row r="400" spans="1:44" ht="15" customHeight="1">
      <c r="A400" s="63">
        <v>45357</v>
      </c>
      <c r="B400" s="29" t="s">
        <v>15</v>
      </c>
      <c r="C400" s="34" t="str" cm="1">
        <f t="array" ref="C40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00" s="27" t="s">
        <v>1239</v>
      </c>
      <c r="E400" s="67" t="s">
        <v>128</v>
      </c>
      <c r="F400" s="29" t="s">
        <v>93</v>
      </c>
      <c r="G400" s="29" t="s">
        <v>93</v>
      </c>
      <c r="H400" s="29"/>
      <c r="I400" s="223"/>
      <c r="J400" s="59"/>
      <c r="K400" s="59" t="s">
        <v>709</v>
      </c>
      <c r="L400" s="85" t="s">
        <v>709</v>
      </c>
      <c r="M400" s="70" t="s">
        <v>19</v>
      </c>
      <c r="N400" s="223"/>
      <c r="O400" s="226"/>
      <c r="P400" s="59" t="s">
        <v>30</v>
      </c>
      <c r="Q400" s="84">
        <v>5</v>
      </c>
      <c r="R400" s="29" t="s">
        <v>1650</v>
      </c>
      <c r="S400" s="177">
        <v>45357</v>
      </c>
      <c r="T400" s="177">
        <v>45357</v>
      </c>
      <c r="U400" s="59">
        <v>45372</v>
      </c>
      <c r="V400" s="29"/>
      <c r="W400" s="29"/>
      <c r="X400" s="27" t="s">
        <v>41</v>
      </c>
      <c r="Y400" s="29" t="s">
        <v>19</v>
      </c>
      <c r="Z400" s="29"/>
      <c r="AA400" s="29"/>
      <c r="AB400" s="29"/>
      <c r="AC400" s="29"/>
      <c r="AD400" s="223"/>
      <c r="AE400" s="29"/>
      <c r="AF400" s="29"/>
      <c r="AG400" s="29"/>
      <c r="AH400" s="27"/>
      <c r="AI400" s="29" t="s">
        <v>19</v>
      </c>
      <c r="AJ400" s="309"/>
      <c r="AK400" s="27"/>
      <c r="AL400" s="102"/>
      <c r="AM400" s="41" t="e">
        <f>VLOOKUP(Table2[[#This Row],[country]],Countrycode!A:B,2,FALSE)</f>
        <v>#N/A</v>
      </c>
      <c r="AN400" s="34">
        <f>IF(ISBLANK(Table2[[#This Row],[Need_RRA]]), 2,(IF(Table2[[#This Row],[Need_RRA]]="No", 0, (IF(AND(Table2[[#This Row],[Need_RRA]]="Yes",  Table2[[#This Row],[RRA_pub_date]]=""),1, 0)))))</f>
        <v>0</v>
      </c>
      <c r="AO400" s="41">
        <f>IF(ISBLANK(Table2[[#This Row],[Need_EIS]]), 2,(IF(Table2[[#This Row],[Need_EIS]]="No", 0, (IF(AND(Table2[[#This Row],[Need_EIS]]="Yes",  Table2[[#This Row],[EIS_pub_date]]=""),1, 0)))))</f>
        <v>0</v>
      </c>
      <c r="AP400" s="41">
        <f>IF(ISBLANK(Table2[[#This Row],[Need_DON]]), 2,(IF(Table2[[#This Row],[Need_DON]]="No", 0, (IF(AND(Table2[[#This Row],[Need_DON]]="Yes",  Table2[[#This Row],[DON_pub_date]]=""),1, 0)))))</f>
        <v>0</v>
      </c>
      <c r="AQ400" s="34">
        <f>IF(ISBLANK(Table2[[#This Row],[Pending_question]]), 2,(IF(Table2[[#This Row],[Pending_question]]="Yes", 1, 0)))</f>
        <v>0</v>
      </c>
      <c r="AR400" s="225"/>
    </row>
    <row r="401" spans="1:44" ht="15" customHeight="1">
      <c r="A401" s="63">
        <v>45362</v>
      </c>
      <c r="B401" s="29" t="s">
        <v>15</v>
      </c>
      <c r="C401" s="34" t="str" cm="1">
        <f t="array" ref="C40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01" s="27" t="s">
        <v>1613</v>
      </c>
      <c r="E401" s="67" t="s">
        <v>201</v>
      </c>
      <c r="F401" s="29" t="s">
        <v>16</v>
      </c>
      <c r="G401" s="29" t="s">
        <v>34</v>
      </c>
      <c r="H401" s="29"/>
      <c r="I401" s="223"/>
      <c r="J401" s="59"/>
      <c r="K401" s="59" t="s">
        <v>1651</v>
      </c>
      <c r="L401" s="104" t="s">
        <v>1652</v>
      </c>
      <c r="M401" s="70" t="s">
        <v>19</v>
      </c>
      <c r="N401" s="223"/>
      <c r="O401" s="226"/>
      <c r="P401" s="59" t="s">
        <v>19</v>
      </c>
      <c r="Q401" s="84"/>
      <c r="R401" s="29"/>
      <c r="S401" s="29"/>
      <c r="T401" s="223"/>
      <c r="U401" s="29"/>
      <c r="V401" s="29"/>
      <c r="W401" s="29"/>
      <c r="X401" s="27"/>
      <c r="Y401" s="29" t="s">
        <v>19</v>
      </c>
      <c r="Z401" s="29" t="s">
        <v>42</v>
      </c>
      <c r="AA401" s="29" t="s">
        <v>22</v>
      </c>
      <c r="AB401" s="29" t="s">
        <v>1653</v>
      </c>
      <c r="AC401" s="29"/>
      <c r="AD401" s="223">
        <v>45362</v>
      </c>
      <c r="AE401" s="29"/>
      <c r="AF401" s="29"/>
      <c r="AG401" s="29"/>
      <c r="AH401" s="27"/>
      <c r="AI401" s="29" t="s">
        <v>19</v>
      </c>
      <c r="AJ401" s="224"/>
      <c r="AK401" s="27"/>
      <c r="AL401" s="102"/>
      <c r="AM401" s="41" t="str">
        <f>VLOOKUP(Table2[[#This Row],[country]],Countrycode!A:B,2,FALSE)</f>
        <v>AFG</v>
      </c>
      <c r="AN401" s="34">
        <f>IF(ISBLANK(Table2[[#This Row],[Need_RRA]]), 2,(IF(Table2[[#This Row],[Need_RRA]]="No", 0, (IF(AND(Table2[[#This Row],[Need_RRA]]="Yes",  Table2[[#This Row],[RRA_pub_date]]=""),1, 0)))))</f>
        <v>0</v>
      </c>
      <c r="AO401" s="41">
        <f>IF(ISBLANK(Table2[[#This Row],[Need_EIS]]), 2,(IF(Table2[[#This Row],[Need_EIS]]="No", 0, (IF(AND(Table2[[#This Row],[Need_EIS]]="Yes",  Table2[[#This Row],[EIS_pub_date]]=""),1, 0)))))</f>
        <v>0</v>
      </c>
      <c r="AP401" s="41">
        <f>IF(ISBLANK(Table2[[#This Row],[Need_DON]]), 2,(IF(Table2[[#This Row],[Need_DON]]="No", 0, (IF(AND(Table2[[#This Row],[Need_DON]]="Yes",  Table2[[#This Row],[DON_pub_date]]=""),1, 0)))))</f>
        <v>0</v>
      </c>
      <c r="AQ401" s="34">
        <f>IF(ISBLANK(Table2[[#This Row],[Pending_question]]), 2,(IF(Table2[[#This Row],[Pending_question]]="Yes", 1, 0)))</f>
        <v>0</v>
      </c>
      <c r="AR401" s="225"/>
    </row>
    <row r="402" spans="1:44" ht="15" customHeight="1">
      <c r="A402" s="63">
        <v>45363</v>
      </c>
      <c r="B402" s="16" t="s">
        <v>15</v>
      </c>
      <c r="C402" s="34" t="str" cm="1">
        <f t="array" ref="C40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02" s="32" t="s">
        <v>1613</v>
      </c>
      <c r="E402" s="16" t="s">
        <v>194</v>
      </c>
      <c r="F402" s="16" t="s">
        <v>367</v>
      </c>
      <c r="I402" s="339"/>
      <c r="J402" s="63"/>
      <c r="K402" s="59"/>
      <c r="L402" s="182"/>
      <c r="M402" s="70" t="s">
        <v>19</v>
      </c>
      <c r="N402" s="339"/>
      <c r="O402" s="339"/>
      <c r="P402" s="63" t="s">
        <v>19</v>
      </c>
      <c r="T402" s="339"/>
      <c r="Y402" s="16" t="s">
        <v>30</v>
      </c>
      <c r="Z402" s="16" t="s">
        <v>42</v>
      </c>
      <c r="AA402" s="16" t="s">
        <v>43</v>
      </c>
      <c r="AB402" s="16" t="s">
        <v>1654</v>
      </c>
      <c r="AC402" s="63">
        <v>45363</v>
      </c>
      <c r="AD402" s="339">
        <v>45363</v>
      </c>
      <c r="AE402" s="63">
        <v>45364</v>
      </c>
      <c r="AH402" s="81">
        <v>45376</v>
      </c>
      <c r="AI402" s="16" t="s">
        <v>19</v>
      </c>
      <c r="AJ402" s="275"/>
      <c r="AL402" s="102"/>
      <c r="AM402" s="41" t="str">
        <f>VLOOKUP(Table2[[#This Row],[country]],Countrycode!A:B,2,FALSE)</f>
        <v>SLE</v>
      </c>
      <c r="AN402" s="34">
        <f>IF(ISBLANK(Table2[[#This Row],[Need_RRA]]), 2,(IF(Table2[[#This Row],[Need_RRA]]="No", 0, (IF(AND(Table2[[#This Row],[Need_RRA]]="Yes",  Table2[[#This Row],[RRA_pub_date]]=""),1, 0)))))</f>
        <v>0</v>
      </c>
      <c r="AO402" s="41">
        <f>IF(ISBLANK(Table2[[#This Row],[Need_EIS]]), 2,(IF(Table2[[#This Row],[Need_EIS]]="No", 0, (IF(AND(Table2[[#This Row],[Need_EIS]]="Yes",  Table2[[#This Row],[EIS_pub_date]]=""),1, 0)))))</f>
        <v>0</v>
      </c>
      <c r="AP402" s="41">
        <f>IF(ISBLANK(Table2[[#This Row],[Need_DON]]), 2,(IF(Table2[[#This Row],[Need_DON]]="No", 0, (IF(AND(Table2[[#This Row],[Need_DON]]="Yes",  Table2[[#This Row],[DON_pub_date]]=""),1, 0)))))</f>
        <v>0</v>
      </c>
      <c r="AQ402" s="34">
        <f>IF(ISBLANK(Table2[[#This Row],[Pending_question]]), 2,(IF(Table2[[#This Row],[Pending_question]]="Yes", 1, 0)))</f>
        <v>0</v>
      </c>
      <c r="AR402" s="225"/>
    </row>
    <row r="403" spans="1:44" ht="15" customHeight="1">
      <c r="A403" s="63">
        <v>45364</v>
      </c>
      <c r="B403" s="29" t="s">
        <v>15</v>
      </c>
      <c r="C403" s="34" t="str" cm="1">
        <f t="array" ref="C40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03" s="27" t="s">
        <v>1248</v>
      </c>
      <c r="E403" s="70" t="s">
        <v>99</v>
      </c>
      <c r="F403" s="54" t="s">
        <v>159</v>
      </c>
      <c r="G403" s="29" t="s">
        <v>34</v>
      </c>
      <c r="H403" s="55">
        <v>45364</v>
      </c>
      <c r="I403" s="223">
        <v>45376</v>
      </c>
      <c r="J403" s="59">
        <v>45345</v>
      </c>
      <c r="K403" s="59" t="s">
        <v>1312</v>
      </c>
      <c r="L403" s="112" t="s">
        <v>1628</v>
      </c>
      <c r="M403" s="70" t="s">
        <v>19</v>
      </c>
      <c r="N403" s="214"/>
      <c r="O403" s="215"/>
      <c r="P403" s="55" t="s">
        <v>30</v>
      </c>
      <c r="Q403" s="84">
        <v>1</v>
      </c>
      <c r="R403" s="54" t="s">
        <v>1655</v>
      </c>
      <c r="S403" s="59">
        <v>45364</v>
      </c>
      <c r="T403" s="223">
        <v>45364</v>
      </c>
      <c r="U403" s="59">
        <v>45377</v>
      </c>
      <c r="V403" s="29" t="s">
        <v>32</v>
      </c>
      <c r="W403" s="29" t="s">
        <v>51</v>
      </c>
      <c r="X403" s="27" t="s">
        <v>51</v>
      </c>
      <c r="Y403" s="54" t="s">
        <v>19</v>
      </c>
      <c r="Z403" s="29"/>
      <c r="AA403" s="29"/>
      <c r="AB403" s="54"/>
      <c r="AC403" s="29"/>
      <c r="AD403" s="223"/>
      <c r="AE403" s="29"/>
      <c r="AF403" s="29"/>
      <c r="AG403" s="29"/>
      <c r="AH403" s="27"/>
      <c r="AI403" s="54" t="s">
        <v>19</v>
      </c>
      <c r="AJ403" s="224"/>
      <c r="AK403" s="27"/>
      <c r="AL403" s="102"/>
      <c r="AM403" s="41" t="str">
        <f>VLOOKUP(Table2[[#This Row],[country]],Countrycode!A:B,2,FALSE)</f>
        <v>KHM</v>
      </c>
      <c r="AN403" s="34">
        <f>IF(ISBLANK(Table2[[#This Row],[Need_RRA]]), 2,(IF(Table2[[#This Row],[Need_RRA]]="No", 0, (IF(AND(Table2[[#This Row],[Need_RRA]]="Yes",  Table2[[#This Row],[RRA_pub_date]]=""),1, 0)))))</f>
        <v>0</v>
      </c>
      <c r="AO403" s="34">
        <f>IF(ISBLANK(Table2[[#This Row],[Need_EIS]]), 2,(IF(Table2[[#This Row],[Need_EIS]]="No", 0, (IF(AND(Table2[[#This Row],[Need_EIS]]="Yes",  Table2[[#This Row],[EIS_pub_date]]=""),1, 0)))))</f>
        <v>0</v>
      </c>
      <c r="AP403" s="34">
        <f>IF(ISBLANK(Table2[[#This Row],[Need_DON]]), 2,(IF(Table2[[#This Row],[Need_DON]]="No", 0, (IF(AND(Table2[[#This Row],[Need_DON]]="Yes",  Table2[[#This Row],[DON_pub_date]]=""),1, 0)))))</f>
        <v>0</v>
      </c>
      <c r="AQ403" s="34">
        <f>IF(ISBLANK(Table2[[#This Row],[Pending_question]]), 2,(IF(Table2[[#This Row],[Pending_question]]="Yes", 1, 0)))</f>
        <v>0</v>
      </c>
      <c r="AR403" s="225"/>
    </row>
    <row r="404" spans="1:44" ht="15" customHeight="1">
      <c r="A404" s="63">
        <v>45364</v>
      </c>
      <c r="B404" s="159" t="s">
        <v>15</v>
      </c>
      <c r="C404" s="34" t="str" cm="1">
        <f t="array" ref="C40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04" s="161" t="s">
        <v>1656</v>
      </c>
      <c r="E404" s="70" t="s">
        <v>154</v>
      </c>
      <c r="F404" s="54" t="s">
        <v>169</v>
      </c>
      <c r="G404" s="159" t="s">
        <v>34</v>
      </c>
      <c r="H404" s="55">
        <v>45364</v>
      </c>
      <c r="I404" s="159"/>
      <c r="J404" s="162">
        <v>45370</v>
      </c>
      <c r="K404" s="162" t="s">
        <v>1657</v>
      </c>
      <c r="L404" s="353" t="s">
        <v>1658</v>
      </c>
      <c r="M404" s="70" t="s">
        <v>19</v>
      </c>
      <c r="N404" s="54"/>
      <c r="O404" s="26"/>
      <c r="P404" s="54" t="s">
        <v>30</v>
      </c>
      <c r="Q404" s="154">
        <v>1</v>
      </c>
      <c r="R404" s="54" t="s">
        <v>1659</v>
      </c>
      <c r="S404" s="162">
        <v>45355</v>
      </c>
      <c r="T404" s="162">
        <v>45355</v>
      </c>
      <c r="U404" s="162">
        <v>45379</v>
      </c>
      <c r="V404" s="159" t="s">
        <v>20</v>
      </c>
      <c r="W404" s="159" t="s">
        <v>32</v>
      </c>
      <c r="X404" s="161" t="s">
        <v>51</v>
      </c>
      <c r="Y404" s="54" t="s">
        <v>30</v>
      </c>
      <c r="Z404" s="159" t="s">
        <v>42</v>
      </c>
      <c r="AA404" s="159" t="s">
        <v>22</v>
      </c>
      <c r="AB404" s="54" t="s">
        <v>1660</v>
      </c>
      <c r="AC404" s="162">
        <v>45391</v>
      </c>
      <c r="AD404" s="162">
        <v>45405</v>
      </c>
      <c r="AE404" s="162">
        <v>45407</v>
      </c>
      <c r="AF404" s="159"/>
      <c r="AG404" s="159"/>
      <c r="AH404" s="164">
        <v>45415</v>
      </c>
      <c r="AI404" s="54" t="s">
        <v>30</v>
      </c>
      <c r="AJ404" s="165">
        <v>45418</v>
      </c>
      <c r="AK404" s="164">
        <v>45420</v>
      </c>
      <c r="AM404" s="16" t="str">
        <f>VLOOKUP(Table2[[#This Row],[country]],Countrycode!A:B,2,FALSE)</f>
        <v>TCD</v>
      </c>
      <c r="AN404" s="160">
        <f>IF(ISBLANK(Table2[[#This Row],[Need_RRA]]), 2,(IF(Table2[[#This Row],[Need_RRA]]="No", 0, (IF(AND(Table2[[#This Row],[Need_RRA]]="Yes",  Table2[[#This Row],[RRA_pub_date]]=""),1, 0)))))</f>
        <v>0</v>
      </c>
      <c r="AO404" s="160">
        <f>IF(ISBLANK(Table2[[#This Row],[Need_EIS]]), 2,(IF(Table2[[#This Row],[Need_EIS]]="No", 0, (IF(AND(Table2[[#This Row],[Need_EIS]]="Yes",  Table2[[#This Row],[EIS_pub_date]]=""),1, 0)))))</f>
        <v>0</v>
      </c>
      <c r="AP404" s="160">
        <f>IF(ISBLANK(Table2[[#This Row],[Need_DON]]), 2,(IF(Table2[[#This Row],[Need_DON]]="No", 0, (IF(AND(Table2[[#This Row],[Need_DON]]="Yes",  Table2[[#This Row],[DON_pub_date]]=""),1, 0)))))</f>
        <v>0</v>
      </c>
      <c r="AQ404" s="160">
        <f>IF(ISBLANK(Table2[[#This Row],[Pending_question]]), 2,(IF(Table2[[#This Row],[Pending_question]]="Yes", 1, 0)))</f>
        <v>0</v>
      </c>
      <c r="AR404" s="230"/>
    </row>
    <row r="405" spans="1:44" ht="15" customHeight="1">
      <c r="A405" s="63">
        <v>45370</v>
      </c>
      <c r="B405" s="159" t="s">
        <v>15</v>
      </c>
      <c r="C405" s="34" t="str" cm="1">
        <f t="array" ref="C40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05" s="161" t="s">
        <v>1613</v>
      </c>
      <c r="E405" s="70" t="s">
        <v>194</v>
      </c>
      <c r="F405" s="54" t="s">
        <v>275</v>
      </c>
      <c r="G405" s="159" t="s">
        <v>1523</v>
      </c>
      <c r="H405" s="55">
        <v>45370</v>
      </c>
      <c r="I405" s="229"/>
      <c r="J405" s="162"/>
      <c r="K405" s="162"/>
      <c r="L405" s="163" t="s">
        <v>1572</v>
      </c>
      <c r="M405" s="70" t="s">
        <v>19</v>
      </c>
      <c r="N405" s="214"/>
      <c r="O405" s="215"/>
      <c r="P405" s="55" t="s">
        <v>19</v>
      </c>
      <c r="Q405" s="154"/>
      <c r="R405" s="54"/>
      <c r="S405" s="162"/>
      <c r="T405" s="229"/>
      <c r="U405" s="159"/>
      <c r="V405" s="159"/>
      <c r="W405" s="159"/>
      <c r="X405" s="161"/>
      <c r="Y405" s="54" t="s">
        <v>30</v>
      </c>
      <c r="Z405" s="159" t="s">
        <v>21</v>
      </c>
      <c r="AA405" s="159" t="s">
        <v>22</v>
      </c>
      <c r="AB405" s="54" t="s">
        <v>1661</v>
      </c>
      <c r="AC405" s="162">
        <v>45370</v>
      </c>
      <c r="AD405" s="229">
        <v>45370</v>
      </c>
      <c r="AE405" s="162">
        <v>45372</v>
      </c>
      <c r="AF405" s="159"/>
      <c r="AG405" s="162">
        <v>45377</v>
      </c>
      <c r="AH405" s="85">
        <v>45378</v>
      </c>
      <c r="AI405" s="54" t="s">
        <v>31</v>
      </c>
      <c r="AJ405" s="231"/>
      <c r="AK405" s="161"/>
      <c r="AM405" s="16" t="str">
        <f>VLOOKUP(Table2[[#This Row],[country]],Countrycode!A:B,2,FALSE)</f>
        <v>IDN</v>
      </c>
      <c r="AN405" s="160">
        <f>IF(ISBLANK(Table2[[#This Row],[Need_RRA]]), 2,(IF(Table2[[#This Row],[Need_RRA]]="No", 0, (IF(AND(Table2[[#This Row],[Need_RRA]]="Yes",  Table2[[#This Row],[RRA_pub_date]]=""),1, 0)))))</f>
        <v>0</v>
      </c>
      <c r="AO405" s="160">
        <f>IF(ISBLANK(Table2[[#This Row],[Need_EIS]]), 2,(IF(Table2[[#This Row],[Need_EIS]]="No", 0, (IF(AND(Table2[[#This Row],[Need_EIS]]="Yes",  Table2[[#This Row],[EIS_pub_date]]=""),1, 0)))))</f>
        <v>0</v>
      </c>
      <c r="AP405" s="160">
        <f>IF(ISBLANK(Table2[[#This Row],[Need_DON]]), 2,(IF(Table2[[#This Row],[Need_DON]]="No", 0, (IF(AND(Table2[[#This Row],[Need_DON]]="Yes",  Table2[[#This Row],[DON_pub_date]]=""),1, 0)))))</f>
        <v>0</v>
      </c>
      <c r="AQ405" s="160">
        <f>IF(ISBLANK(Table2[[#This Row],[Pending_question]]), 2,(IF(Table2[[#This Row],[Pending_question]]="Yes", 1, 0)))</f>
        <v>0</v>
      </c>
      <c r="AR405" s="230"/>
    </row>
    <row r="406" spans="1:44" ht="15" customHeight="1">
      <c r="A406" s="63">
        <v>45376</v>
      </c>
      <c r="B406" s="29" t="s">
        <v>15</v>
      </c>
      <c r="C406" s="34" t="str" cm="1">
        <f t="array" ref="C40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06" s="27" t="s">
        <v>1233</v>
      </c>
      <c r="E406" s="67" t="s">
        <v>99</v>
      </c>
      <c r="F406" s="29" t="s">
        <v>409</v>
      </c>
      <c r="G406" s="29" t="s">
        <v>34</v>
      </c>
      <c r="H406" s="59">
        <v>45376</v>
      </c>
      <c r="I406" s="223"/>
      <c r="J406" s="59">
        <v>45375</v>
      </c>
      <c r="K406" s="59" t="s">
        <v>1662</v>
      </c>
      <c r="L406" s="104" t="s">
        <v>1663</v>
      </c>
      <c r="M406" s="70" t="s">
        <v>19</v>
      </c>
      <c r="N406" s="223"/>
      <c r="O406" s="226"/>
      <c r="P406" s="59" t="s">
        <v>19</v>
      </c>
      <c r="Q406" s="84"/>
      <c r="R406" s="29"/>
      <c r="S406" s="59"/>
      <c r="T406" s="223"/>
      <c r="U406" s="29"/>
      <c r="V406" s="29"/>
      <c r="W406" s="29"/>
      <c r="X406" s="27"/>
      <c r="Y406" s="29" t="s">
        <v>30</v>
      </c>
      <c r="Z406" s="29" t="s">
        <v>42</v>
      </c>
      <c r="AA406" s="29" t="s">
        <v>22</v>
      </c>
      <c r="AB406" s="29" t="s">
        <v>1664</v>
      </c>
      <c r="AC406" s="59">
        <v>45373</v>
      </c>
      <c r="AD406" s="223">
        <v>45376</v>
      </c>
      <c r="AE406" s="59">
        <v>45376</v>
      </c>
      <c r="AF406" s="29"/>
      <c r="AG406" s="29"/>
      <c r="AH406" s="85">
        <v>45378</v>
      </c>
      <c r="AI406" s="29" t="s">
        <v>30</v>
      </c>
      <c r="AJ406" s="224"/>
      <c r="AK406" s="86">
        <v>45384</v>
      </c>
      <c r="AL406" s="102"/>
      <c r="AM406" s="41" t="str">
        <f>VLOOKUP(Table2[[#This Row],[country]],Countrycode!A:B,2,FALSE)</f>
        <v>VNM</v>
      </c>
      <c r="AN406" s="34">
        <f>IF(ISBLANK(Table2[[#This Row],[Need_RRA]]), 2,(IF(Table2[[#This Row],[Need_RRA]]="No", 0, (IF(AND(Table2[[#This Row],[Need_RRA]]="Yes",  Table2[[#This Row],[RRA_pub_date]]=""),1, 0)))))</f>
        <v>0</v>
      </c>
      <c r="AO406" s="34">
        <f>IF(ISBLANK(Table2[[#This Row],[Need_EIS]]), 2,(IF(Table2[[#This Row],[Need_EIS]]="No", 0, (IF(AND(Table2[[#This Row],[Need_EIS]]="Yes",  Table2[[#This Row],[EIS_pub_date]]=""),1, 0)))))</f>
        <v>0</v>
      </c>
      <c r="AP406" s="34">
        <f>IF(ISBLANK(Table2[[#This Row],[Need_DON]]), 2,(IF(Table2[[#This Row],[Need_DON]]="No", 0, (IF(AND(Table2[[#This Row],[Need_DON]]="Yes",  Table2[[#This Row],[DON_pub_date]]=""),1, 0)))))</f>
        <v>0</v>
      </c>
      <c r="AQ406" s="34">
        <f>IF(ISBLANK(Table2[[#This Row],[Pending_question]]), 2,(IF(Table2[[#This Row],[Pending_question]]="Yes", 1, 0)))</f>
        <v>0</v>
      </c>
      <c r="AR406" s="225"/>
    </row>
    <row r="407" spans="1:44" ht="15" customHeight="1">
      <c r="A407" s="63">
        <v>45378</v>
      </c>
      <c r="B407" s="29" t="s">
        <v>15</v>
      </c>
      <c r="C407" s="34" t="str" cm="1">
        <f t="array" ref="C40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07" s="27" t="s">
        <v>1613</v>
      </c>
      <c r="E407" s="67" t="s">
        <v>194</v>
      </c>
      <c r="F407" s="29" t="s">
        <v>376</v>
      </c>
      <c r="G407" s="29" t="s">
        <v>34</v>
      </c>
      <c r="H407" s="59">
        <v>45378</v>
      </c>
      <c r="I407" s="223"/>
      <c r="J407" s="59">
        <v>45356</v>
      </c>
      <c r="K407" s="59" t="s">
        <v>1665</v>
      </c>
      <c r="L407" s="104" t="s">
        <v>1666</v>
      </c>
      <c r="M407" s="70" t="s">
        <v>19</v>
      </c>
      <c r="N407" s="223"/>
      <c r="O407" s="226"/>
      <c r="P407" s="59" t="s">
        <v>19</v>
      </c>
      <c r="Q407" s="84"/>
      <c r="R407" s="29"/>
      <c r="S407" s="29"/>
      <c r="T407" s="223"/>
      <c r="U407" s="29"/>
      <c r="V407" s="29"/>
      <c r="W407" s="29"/>
      <c r="X407" s="27"/>
      <c r="Y407" s="29" t="s">
        <v>30</v>
      </c>
      <c r="Z407" s="29" t="s">
        <v>42</v>
      </c>
      <c r="AA407" s="29" t="s">
        <v>43</v>
      </c>
      <c r="AB407" s="29" t="s">
        <v>1667</v>
      </c>
      <c r="AC407" s="59">
        <v>45378</v>
      </c>
      <c r="AD407" s="223">
        <v>45378</v>
      </c>
      <c r="AE407" s="59">
        <v>45379</v>
      </c>
      <c r="AF407" s="29"/>
      <c r="AG407" s="29"/>
      <c r="AH407" s="85">
        <v>45394</v>
      </c>
      <c r="AI407" s="29" t="s">
        <v>31</v>
      </c>
      <c r="AJ407" s="224"/>
      <c r="AK407" s="27"/>
      <c r="AL407" s="102"/>
      <c r="AM407" s="41" t="str">
        <f>VLOOKUP(Table2[[#This Row],[country]],Countrycode!A:B,2,FALSE)</f>
        <v>SSD</v>
      </c>
      <c r="AN407" s="34">
        <f>IF(ISBLANK(Table2[[#This Row],[Need_RRA]]), 2,(IF(Table2[[#This Row],[Need_RRA]]="No", 0, (IF(AND(Table2[[#This Row],[Need_RRA]]="Yes",  Table2[[#This Row],[RRA_pub_date]]=""),1, 0)))))</f>
        <v>0</v>
      </c>
      <c r="AO407" s="34">
        <f>IF(ISBLANK(Table2[[#This Row],[Need_EIS]]), 2,(IF(Table2[[#This Row],[Need_EIS]]="No", 0, (IF(AND(Table2[[#This Row],[Need_EIS]]="Yes",  Table2[[#This Row],[EIS_pub_date]]=""),1, 0)))))</f>
        <v>0</v>
      </c>
      <c r="AP407" s="34">
        <f>IF(ISBLANK(Table2[[#This Row],[Need_DON]]), 2,(IF(Table2[[#This Row],[Need_DON]]="No", 0, (IF(AND(Table2[[#This Row],[Need_DON]]="Yes",  Table2[[#This Row],[DON_pub_date]]=""),1, 0)))))</f>
        <v>0</v>
      </c>
      <c r="AQ407" s="34">
        <f>IF(ISBLANK(Table2[[#This Row],[Pending_question]]), 2,(IF(Table2[[#This Row],[Pending_question]]="Yes", 1, 0)))</f>
        <v>0</v>
      </c>
      <c r="AR407" s="225"/>
    </row>
    <row r="408" spans="1:44" ht="15" customHeight="1">
      <c r="A408" s="63">
        <v>45378</v>
      </c>
      <c r="B408" s="16" t="s">
        <v>15</v>
      </c>
      <c r="C408" s="16" t="str" cm="1">
        <f t="array" ref="C40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08" s="32" t="s">
        <v>1248</v>
      </c>
      <c r="E408" s="16" t="s">
        <v>211</v>
      </c>
      <c r="F408" s="16" t="s">
        <v>387</v>
      </c>
      <c r="G408" s="16" t="s">
        <v>34</v>
      </c>
      <c r="H408" s="63">
        <v>45378</v>
      </c>
      <c r="I408" s="339"/>
      <c r="J408" s="63">
        <v>45373</v>
      </c>
      <c r="K408" s="243" t="s">
        <v>1668</v>
      </c>
      <c r="L408" s="182" t="s">
        <v>1669</v>
      </c>
      <c r="M408" s="70" t="s">
        <v>19</v>
      </c>
      <c r="N408" s="339"/>
      <c r="O408" s="339"/>
      <c r="P408" s="63" t="s">
        <v>30</v>
      </c>
      <c r="Q408" s="88">
        <v>1</v>
      </c>
      <c r="R408" s="16" t="s">
        <v>1670</v>
      </c>
      <c r="S408" s="59">
        <v>45377</v>
      </c>
      <c r="T408" s="223">
        <v>45379</v>
      </c>
      <c r="U408" s="59">
        <v>45385</v>
      </c>
      <c r="V408" s="16" t="s">
        <v>20</v>
      </c>
      <c r="W408" s="16" t="s">
        <v>20</v>
      </c>
      <c r="X408" s="32" t="s">
        <v>51</v>
      </c>
      <c r="Y408" s="16" t="s">
        <v>30</v>
      </c>
      <c r="Z408" s="16" t="s">
        <v>42</v>
      </c>
      <c r="AA408" s="16" t="s">
        <v>22</v>
      </c>
      <c r="AB408" s="16" t="s">
        <v>1671</v>
      </c>
      <c r="AC408" s="63">
        <v>45378</v>
      </c>
      <c r="AD408" s="223">
        <v>45378</v>
      </c>
      <c r="AH408" s="81">
        <v>45386</v>
      </c>
      <c r="AI408" s="16" t="s">
        <v>30</v>
      </c>
      <c r="AJ408" s="275">
        <v>45386</v>
      </c>
      <c r="AK408" s="81">
        <v>45392</v>
      </c>
      <c r="AL408" s="103" t="s">
        <v>1672</v>
      </c>
      <c r="AM408" s="41" t="str">
        <f>VLOOKUP(Table2[[#This Row],[country]],Countrycode!A:B,2,FALSE)</f>
        <v>TLS</v>
      </c>
      <c r="AN408" s="34">
        <f>IF(ISBLANK(Table2[[#This Row],[Need_RRA]]), 2,(IF(Table2[[#This Row],[Need_RRA]]="No", 0, (IF(AND(Table2[[#This Row],[Need_RRA]]="Yes",  Table2[[#This Row],[RRA_pub_date]]=""),1, 0)))))</f>
        <v>0</v>
      </c>
      <c r="AO408" s="34">
        <f>IF(ISBLANK(Table2[[#This Row],[Need_EIS]]), 2,(IF(Table2[[#This Row],[Need_EIS]]="No", 0, (IF(AND(Table2[[#This Row],[Need_EIS]]="Yes",  Table2[[#This Row],[EIS_pub_date]]=""),1, 0)))))</f>
        <v>0</v>
      </c>
      <c r="AP408" s="34">
        <f>IF(ISBLANK(Table2[[#This Row],[Need_DON]]), 2,(IF(Table2[[#This Row],[Need_DON]]="No", 0, (IF(AND(Table2[[#This Row],[Need_DON]]="Yes",  Table2[[#This Row],[DON_pub_date]]=""),1, 0)))))</f>
        <v>0</v>
      </c>
      <c r="AQ408" s="34">
        <f>IF(ISBLANK(Table2[[#This Row],[Pending_question]]), 2,(IF(Table2[[#This Row],[Pending_question]]="Yes", 1, 0)))</f>
        <v>0</v>
      </c>
      <c r="AR408" s="225"/>
    </row>
    <row r="409" spans="1:44" ht="15" customHeight="1">
      <c r="A409" s="63">
        <v>45381</v>
      </c>
      <c r="B409" s="29" t="s">
        <v>15</v>
      </c>
      <c r="C409" s="34" t="str" cm="1">
        <f t="array" ref="C40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09" s="27" t="s">
        <v>1656</v>
      </c>
      <c r="E409" s="67" t="s">
        <v>178</v>
      </c>
      <c r="F409" s="29" t="s">
        <v>39</v>
      </c>
      <c r="G409" s="29" t="s">
        <v>17</v>
      </c>
      <c r="H409" s="29"/>
      <c r="I409" s="29"/>
      <c r="J409" s="63">
        <v>45381</v>
      </c>
      <c r="K409" s="29"/>
      <c r="L409" s="27"/>
      <c r="M409" s="70" t="s">
        <v>19</v>
      </c>
      <c r="N409" s="29"/>
      <c r="O409" s="27"/>
      <c r="P409" s="29" t="s">
        <v>19</v>
      </c>
      <c r="Q409" s="84">
        <v>1</v>
      </c>
      <c r="R409" s="29" t="s">
        <v>1673</v>
      </c>
      <c r="S409" s="29"/>
      <c r="T409" s="59"/>
      <c r="U409" s="29"/>
      <c r="V409" s="29"/>
      <c r="W409" s="29"/>
      <c r="X409" s="27"/>
      <c r="Y409" s="29" t="s">
        <v>19</v>
      </c>
      <c r="Z409" s="29" t="s">
        <v>42</v>
      </c>
      <c r="AA409" s="29" t="s">
        <v>22</v>
      </c>
      <c r="AB409" s="29" t="s">
        <v>1674</v>
      </c>
      <c r="AC409" s="29"/>
      <c r="AD409" s="59"/>
      <c r="AE409" s="29"/>
      <c r="AF409" s="29"/>
      <c r="AG409" s="29"/>
      <c r="AH409" s="27"/>
      <c r="AI409" s="29" t="s">
        <v>19</v>
      </c>
      <c r="AJ409" s="139"/>
      <c r="AK409" s="27"/>
      <c r="AL409" s="102"/>
      <c r="AM409" s="16" t="str">
        <f>VLOOKUP(Table2[[#This Row],[country]],Countrycode!A:B,2,FALSE)</f>
        <v>MLX</v>
      </c>
      <c r="AN409" s="160">
        <f>IF(ISBLANK(Table2[[#This Row],[Need_RRA]]), 2,(IF(Table2[[#This Row],[Need_RRA]]="No", 0, (IF(AND(Table2[[#This Row],[Need_RRA]]="Yes",  Table2[[#This Row],[RRA_pub_date]]=""),1, 0)))))</f>
        <v>0</v>
      </c>
      <c r="AO409" s="160">
        <f>IF(ISBLANK(Table2[[#This Row],[Need_EIS]]), 2,(IF(Table2[[#This Row],[Need_EIS]]="No", 0, (IF(AND(Table2[[#This Row],[Need_EIS]]="Yes",  Table2[[#This Row],[EIS_pub_date]]=""),1, 0)))))</f>
        <v>0</v>
      </c>
      <c r="AP409" s="160">
        <f>IF(ISBLANK(Table2[[#This Row],[Need_DON]]), 2,(IF(Table2[[#This Row],[Need_DON]]="No", 0, (IF(AND(Table2[[#This Row],[Need_DON]]="Yes",  Table2[[#This Row],[DON_pub_date]]=""),1, 0)))))</f>
        <v>0</v>
      </c>
      <c r="AQ409" s="160">
        <f>IF(ISBLANK(Table2[[#This Row],[Pending_question]]), 2,(IF(Table2[[#This Row],[Pending_question]]="Yes", 1, 0)))</f>
        <v>0</v>
      </c>
      <c r="AR409" s="230"/>
    </row>
    <row r="410" spans="1:44" ht="15" customHeight="1">
      <c r="A410" s="63">
        <v>45381</v>
      </c>
      <c r="B410" s="16" t="s">
        <v>15</v>
      </c>
      <c r="C410" s="34" t="str" cm="1">
        <f t="array" ref="C41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10" s="32" t="s">
        <v>1675</v>
      </c>
      <c r="E410" s="16" t="s">
        <v>91</v>
      </c>
      <c r="F410" s="16" t="s">
        <v>403</v>
      </c>
      <c r="G410" s="16" t="s">
        <v>34</v>
      </c>
      <c r="H410" s="63"/>
      <c r="I410" s="339"/>
      <c r="K410" s="63"/>
      <c r="L410" s="182"/>
      <c r="M410" s="70" t="s">
        <v>19</v>
      </c>
      <c r="N410" s="339"/>
      <c r="O410" s="339"/>
      <c r="P410" s="63" t="s">
        <v>19</v>
      </c>
      <c r="T410" s="339"/>
      <c r="Y410" s="16" t="s">
        <v>30</v>
      </c>
      <c r="Z410" s="16" t="s">
        <v>42</v>
      </c>
      <c r="AA410" s="16" t="s">
        <v>22</v>
      </c>
      <c r="AB410" s="16" t="s">
        <v>1676</v>
      </c>
      <c r="AC410" s="63">
        <v>45381</v>
      </c>
      <c r="AD410" s="339">
        <v>45381</v>
      </c>
      <c r="AE410" s="63">
        <v>45382</v>
      </c>
      <c r="AF410" s="63">
        <v>45382</v>
      </c>
      <c r="AG410" s="63">
        <v>45384</v>
      </c>
      <c r="AH410" s="81">
        <v>45385</v>
      </c>
      <c r="AI410" s="16" t="s">
        <v>19</v>
      </c>
      <c r="AJ410" s="275"/>
      <c r="AM410" s="16" t="str">
        <f>VLOOKUP(Table2[[#This Row],[country]],Countrycode!A:B,2,FALSE)</f>
        <v>USA</v>
      </c>
      <c r="AN410" s="160">
        <f>IF(ISBLANK(Table2[[#This Row],[Need_RRA]]), 2,(IF(Table2[[#This Row],[Need_RRA]]="No", 0, (IF(AND(Table2[[#This Row],[Need_RRA]]="Yes",  Table2[[#This Row],[RRA_pub_date]]=""),1, 0)))))</f>
        <v>0</v>
      </c>
      <c r="AO410" s="160">
        <f>IF(ISBLANK(Table2[[#This Row],[Need_EIS]]), 2,(IF(Table2[[#This Row],[Need_EIS]]="No", 0, (IF(AND(Table2[[#This Row],[Need_EIS]]="Yes",  Table2[[#This Row],[EIS_pub_date]]=""),1, 0)))))</f>
        <v>0</v>
      </c>
      <c r="AP410" s="160">
        <f>IF(ISBLANK(Table2[[#This Row],[Need_DON]]), 2,(IF(Table2[[#This Row],[Need_DON]]="No", 0, (IF(AND(Table2[[#This Row],[Need_DON]]="Yes",  Table2[[#This Row],[DON_pub_date]]=""),1, 0)))))</f>
        <v>0</v>
      </c>
      <c r="AQ410" s="160">
        <f>IF(ISBLANK(Table2[[#This Row],[Pending_question]]), 2,(IF(Table2[[#This Row],[Pending_question]]="Yes", 1, 0)))</f>
        <v>0</v>
      </c>
      <c r="AR410" s="230"/>
    </row>
    <row r="411" spans="1:44" ht="15" customHeight="1">
      <c r="A411" s="63">
        <v>45384</v>
      </c>
      <c r="B411" s="29" t="s">
        <v>15</v>
      </c>
      <c r="C411" s="34" t="str" cm="1">
        <f t="array" ref="C41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11" s="27" t="s">
        <v>1233</v>
      </c>
      <c r="E411" s="70" t="s">
        <v>99</v>
      </c>
      <c r="F411" s="54" t="s">
        <v>403</v>
      </c>
      <c r="G411" s="29" t="s">
        <v>34</v>
      </c>
      <c r="H411" s="55">
        <v>45384</v>
      </c>
      <c r="I411" s="223"/>
      <c r="J411" s="59">
        <v>45383</v>
      </c>
      <c r="K411" s="59" t="s">
        <v>1677</v>
      </c>
      <c r="L411" s="104" t="s">
        <v>1678</v>
      </c>
      <c r="M411" s="70" t="s">
        <v>19</v>
      </c>
      <c r="N411" s="214"/>
      <c r="O411" s="215"/>
      <c r="P411" s="55" t="s">
        <v>19</v>
      </c>
      <c r="Q411" s="84"/>
      <c r="R411" s="54"/>
      <c r="S411" s="29"/>
      <c r="T411" s="223"/>
      <c r="U411" s="29"/>
      <c r="V411" s="29"/>
      <c r="W411" s="29"/>
      <c r="X411" s="27"/>
      <c r="Y411" s="54" t="s">
        <v>30</v>
      </c>
      <c r="Z411" s="29" t="s">
        <v>42</v>
      </c>
      <c r="AA411" s="29" t="s">
        <v>22</v>
      </c>
      <c r="AB411" s="54" t="s">
        <v>1679</v>
      </c>
      <c r="AC411" s="59">
        <v>45383</v>
      </c>
      <c r="AD411" s="223">
        <v>45384</v>
      </c>
      <c r="AE411" s="59">
        <v>45384</v>
      </c>
      <c r="AF411" s="59">
        <v>45385</v>
      </c>
      <c r="AG411" s="59">
        <v>45385</v>
      </c>
      <c r="AH411" s="85">
        <v>45386</v>
      </c>
      <c r="AI411" s="16" t="s">
        <v>30</v>
      </c>
      <c r="AJ411" s="224">
        <v>45386</v>
      </c>
      <c r="AK411" s="224">
        <v>45391</v>
      </c>
      <c r="AL411" s="102"/>
      <c r="AM411" s="41" t="str">
        <f>VLOOKUP(Table2[[#This Row],[country]],Countrycode!A:B,2,FALSE)</f>
        <v>USA</v>
      </c>
      <c r="AN411" s="34">
        <f>IF(ISBLANK(Table2[[#This Row],[Need_RRA]]), 2,(IF(Table2[[#This Row],[Need_RRA]]="No", 0, (IF(AND(Table2[[#This Row],[Need_RRA]]="Yes",  Table2[[#This Row],[RRA_pub_date]]=""),1, 0)))))</f>
        <v>0</v>
      </c>
      <c r="AO411" s="34">
        <f>IF(ISBLANK(Table2[[#This Row],[Need_EIS]]), 2,(IF(Table2[[#This Row],[Need_EIS]]="No", 0, (IF(AND(Table2[[#This Row],[Need_EIS]]="Yes",  Table2[[#This Row],[EIS_pub_date]]=""),1, 0)))))</f>
        <v>0</v>
      </c>
      <c r="AP411" s="34">
        <f>IF(ISBLANK(Table2[[#This Row],[Need_DON]]), 2,(IF(Table2[[#This Row],[Need_DON]]="No", 0, (IF(AND(Table2[[#This Row],[Need_DON]]="Yes",  Table2[[#This Row],[DON_pub_date]]=""),1, 0)))))</f>
        <v>0</v>
      </c>
      <c r="AQ411" s="34">
        <f>IF(ISBLANK(Table2[[#This Row],[Pending_question]]), 2,(IF(Table2[[#This Row],[Pending_question]]="Yes", 1, 0)))</f>
        <v>0</v>
      </c>
      <c r="AR411" s="225"/>
    </row>
    <row r="412" spans="1:44" ht="15" customHeight="1">
      <c r="A412" s="63">
        <v>45385</v>
      </c>
      <c r="B412" s="159" t="s">
        <v>15</v>
      </c>
      <c r="C412" s="34" t="str" cm="1">
        <f t="array" ref="C41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12" s="27" t="s">
        <v>1233</v>
      </c>
      <c r="E412" s="70" t="s">
        <v>68</v>
      </c>
      <c r="F412" s="54" t="s">
        <v>173</v>
      </c>
      <c r="G412" s="159" t="s">
        <v>34</v>
      </c>
      <c r="H412" s="55">
        <v>45385</v>
      </c>
      <c r="I412" s="55">
        <v>45386</v>
      </c>
      <c r="J412" s="55">
        <v>45385</v>
      </c>
      <c r="K412" s="59" t="s">
        <v>1680</v>
      </c>
      <c r="L412" s="163" t="s">
        <v>1681</v>
      </c>
      <c r="M412" s="70" t="s">
        <v>19</v>
      </c>
      <c r="N412" s="214"/>
      <c r="O412" s="215"/>
      <c r="P412" s="55" t="s">
        <v>19</v>
      </c>
      <c r="Q412" s="154"/>
      <c r="R412" s="54"/>
      <c r="S412" s="159"/>
      <c r="T412" s="229"/>
      <c r="U412" s="159"/>
      <c r="V412" s="159"/>
      <c r="W412" s="159"/>
      <c r="X412" s="161"/>
      <c r="Y412" s="54" t="s">
        <v>30</v>
      </c>
      <c r="Z412" s="159" t="s">
        <v>42</v>
      </c>
      <c r="AA412" s="159" t="s">
        <v>22</v>
      </c>
      <c r="AB412" s="54" t="s">
        <v>1682</v>
      </c>
      <c r="AC412" s="59">
        <v>45384</v>
      </c>
      <c r="AD412" s="59">
        <v>45385</v>
      </c>
      <c r="AE412" s="59">
        <v>45386</v>
      </c>
      <c r="AF412" s="55">
        <v>45387</v>
      </c>
      <c r="AG412" s="159"/>
      <c r="AH412" s="164">
        <v>45392</v>
      </c>
      <c r="AI412" s="16" t="s">
        <v>19</v>
      </c>
      <c r="AJ412" s="231"/>
      <c r="AK412" s="161"/>
      <c r="AL412" s="103" t="s">
        <v>1683</v>
      </c>
      <c r="AM412" s="41" t="str">
        <f>VLOOKUP(Table2[[#This Row],[country]],Countrycode!A:B,2,FALSE)</f>
        <v>CHN</v>
      </c>
      <c r="AN412" s="34">
        <f>IF(ISBLANK(Table2[[#This Row],[Need_RRA]]), 2,(IF(Table2[[#This Row],[Need_RRA]]="No", 0, (IF(AND(Table2[[#This Row],[Need_RRA]]="Yes",  Table2[[#This Row],[RRA_pub_date]]=""),1, 0)))))</f>
        <v>0</v>
      </c>
      <c r="AO412" s="34">
        <f>IF(ISBLANK(Table2[[#This Row],[Need_EIS]]), 2,(IF(Table2[[#This Row],[Need_EIS]]="No", 0, (IF(AND(Table2[[#This Row],[Need_EIS]]="Yes",  Table2[[#This Row],[EIS_pub_date]]=""),1, 0)))))</f>
        <v>0</v>
      </c>
      <c r="AP412" s="34">
        <f>IF(ISBLANK(Table2[[#This Row],[Need_DON]]), 2,(IF(Table2[[#This Row],[Need_DON]]="No", 0, (IF(AND(Table2[[#This Row],[Need_DON]]="Yes",  Table2[[#This Row],[DON_pub_date]]=""),1, 0)))))</f>
        <v>0</v>
      </c>
      <c r="AQ412" s="34">
        <f>IF(ISBLANK(Table2[[#This Row],[Pending_question]]), 2,(IF(Table2[[#This Row],[Pending_question]]="Yes", 1, 0)))</f>
        <v>0</v>
      </c>
      <c r="AR412" s="225"/>
    </row>
    <row r="413" spans="1:44" ht="15" customHeight="1">
      <c r="A413" s="63">
        <v>45386</v>
      </c>
      <c r="B413" s="159" t="s">
        <v>15</v>
      </c>
      <c r="C413" s="34" t="str" cm="1">
        <f t="array" ref="C41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13" s="34" t="s">
        <v>1233</v>
      </c>
      <c r="E413" s="70" t="s">
        <v>99</v>
      </c>
      <c r="F413" s="54" t="s">
        <v>173</v>
      </c>
      <c r="G413" s="159" t="s">
        <v>34</v>
      </c>
      <c r="H413" s="55">
        <v>45386</v>
      </c>
      <c r="I413" s="55">
        <v>45398</v>
      </c>
      <c r="J413" s="162"/>
      <c r="K413" s="162"/>
      <c r="L413" s="163"/>
      <c r="M413" s="70" t="s">
        <v>19</v>
      </c>
      <c r="N413" s="214" t="s">
        <v>1684</v>
      </c>
      <c r="O413" s="215"/>
      <c r="P413" s="55" t="s">
        <v>19</v>
      </c>
      <c r="Q413" s="154"/>
      <c r="R413" s="54"/>
      <c r="S413" s="159"/>
      <c r="T413" s="229"/>
      <c r="U413" s="159"/>
      <c r="V413" s="159"/>
      <c r="W413" s="159"/>
      <c r="X413" s="161"/>
      <c r="Y413" s="54" t="s">
        <v>30</v>
      </c>
      <c r="Z413" s="159" t="s">
        <v>42</v>
      </c>
      <c r="AA413" s="159" t="s">
        <v>22</v>
      </c>
      <c r="AB413" s="54" t="s">
        <v>1685</v>
      </c>
      <c r="AC413" s="59">
        <v>45384</v>
      </c>
      <c r="AD413" s="59">
        <v>45390</v>
      </c>
      <c r="AE413" s="159"/>
      <c r="AF413" s="159"/>
      <c r="AG413" s="159"/>
      <c r="AH413" s="81">
        <v>45414</v>
      </c>
      <c r="AI413" s="16" t="s">
        <v>19</v>
      </c>
      <c r="AJ413" s="231"/>
      <c r="AK413" s="161"/>
      <c r="AM413" s="16" t="str">
        <f>VLOOKUP(Table2[[#This Row],[country]],Countrycode!A:B,2,FALSE)</f>
        <v>CHN</v>
      </c>
      <c r="AN413" s="160">
        <f>IF(ISBLANK(Table2[[#This Row],[Need_RRA]]), 2,(IF(Table2[[#This Row],[Need_RRA]]="No", 0, (IF(AND(Table2[[#This Row],[Need_RRA]]="Yes",  Table2[[#This Row],[RRA_pub_date]]=""),1, 0)))))</f>
        <v>0</v>
      </c>
      <c r="AO413" s="160">
        <f>IF(ISBLANK(Table2[[#This Row],[Need_EIS]]), 2,(IF(Table2[[#This Row],[Need_EIS]]="No", 0, (IF(AND(Table2[[#This Row],[Need_EIS]]="Yes",  Table2[[#This Row],[EIS_pub_date]]=""),1, 0)))))</f>
        <v>0</v>
      </c>
      <c r="AP413" s="160">
        <f>IF(ISBLANK(Table2[[#This Row],[Need_DON]]), 2,(IF(Table2[[#This Row],[Need_DON]]="No", 0, (IF(AND(Table2[[#This Row],[Need_DON]]="Yes",  Table2[[#This Row],[DON_pub_date]]=""),1, 0)))))</f>
        <v>0</v>
      </c>
      <c r="AQ413" s="160">
        <f>IF(ISBLANK(Table2[[#This Row],[Pending_question]]), 2,(IF(Table2[[#This Row],[Pending_question]]="Yes", 1, 0)))</f>
        <v>0</v>
      </c>
      <c r="AR413" s="230"/>
    </row>
    <row r="414" spans="1:44" ht="15" customHeight="1">
      <c r="A414" s="63">
        <v>45392</v>
      </c>
      <c r="B414" s="159" t="s">
        <v>15</v>
      </c>
      <c r="C414" s="34" t="str" cm="1">
        <f t="array" ref="C41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14" s="161" t="s">
        <v>1233</v>
      </c>
      <c r="E414" s="70" t="s">
        <v>110</v>
      </c>
      <c r="F414" s="54" t="s">
        <v>409</v>
      </c>
      <c r="G414" s="159" t="s">
        <v>34</v>
      </c>
      <c r="H414" s="55">
        <v>45392</v>
      </c>
      <c r="I414" s="229"/>
      <c r="J414" s="162">
        <v>45392</v>
      </c>
      <c r="K414" s="162" t="s">
        <v>1686</v>
      </c>
      <c r="L414" s="163" t="s">
        <v>1687</v>
      </c>
      <c r="M414" s="70" t="s">
        <v>19</v>
      </c>
      <c r="N414" s="214"/>
      <c r="O414" s="215"/>
      <c r="P414" s="55" t="s">
        <v>19</v>
      </c>
      <c r="Q414" s="154"/>
      <c r="R414" s="54"/>
      <c r="S414" s="159"/>
      <c r="T414" s="229"/>
      <c r="U414" s="159"/>
      <c r="V414" s="159"/>
      <c r="W414" s="159"/>
      <c r="X414" s="161"/>
      <c r="Y414" s="54" t="s">
        <v>30</v>
      </c>
      <c r="Z414" s="159" t="s">
        <v>42</v>
      </c>
      <c r="AA414" s="159" t="s">
        <v>22</v>
      </c>
      <c r="AB414" s="54" t="s">
        <v>1688</v>
      </c>
      <c r="AC414" s="162">
        <v>45391</v>
      </c>
      <c r="AD414" s="229">
        <v>45392</v>
      </c>
      <c r="AE414" s="162">
        <v>45392</v>
      </c>
      <c r="AF414" s="162">
        <v>45392</v>
      </c>
      <c r="AG414" s="162">
        <v>45394</v>
      </c>
      <c r="AH414" s="164">
        <v>45394</v>
      </c>
      <c r="AI414" s="16" t="s">
        <v>30</v>
      </c>
      <c r="AJ414" s="231">
        <v>45397</v>
      </c>
      <c r="AK414" s="398">
        <v>45401</v>
      </c>
      <c r="AM414" s="16" t="str">
        <f>VLOOKUP(Table2[[#This Row],[country]],Countrycode!A:B,2,FALSE)</f>
        <v>VNM</v>
      </c>
      <c r="AN414" s="160">
        <f>IF(ISBLANK(Table2[[#This Row],[Need_RRA]]), 2,(IF(Table2[[#This Row],[Need_RRA]]="No", 0, (IF(AND(Table2[[#This Row],[Need_RRA]]="Yes",  Table2[[#This Row],[RRA_pub_date]]=""),1, 0)))))</f>
        <v>0</v>
      </c>
      <c r="AO414" s="160">
        <f>IF(ISBLANK(Table2[[#This Row],[Need_EIS]]), 2,(IF(Table2[[#This Row],[Need_EIS]]="No", 0, (IF(AND(Table2[[#This Row],[Need_EIS]]="Yes",  Table2[[#This Row],[EIS_pub_date]]=""),1, 0)))))</f>
        <v>0</v>
      </c>
      <c r="AP414" s="160">
        <f>IF(ISBLANK(Table2[[#This Row],[Need_DON]]), 2,(IF(Table2[[#This Row],[Need_DON]]="No", 0, (IF(AND(Table2[[#This Row],[Need_DON]]="Yes",  Table2[[#This Row],[DON_pub_date]]=""),1, 0)))))</f>
        <v>0</v>
      </c>
      <c r="AQ414" s="160">
        <f>IF(ISBLANK(Table2[[#This Row],[Pending_question]]), 2,(IF(Table2[[#This Row],[Pending_question]]="Yes", 1, 0)))</f>
        <v>0</v>
      </c>
      <c r="AR414" s="230"/>
    </row>
    <row r="415" spans="1:44" ht="15" customHeight="1">
      <c r="A415" s="63">
        <v>45400</v>
      </c>
      <c r="B415" s="16" t="s">
        <v>15</v>
      </c>
      <c r="C415" s="34" t="str" cm="1">
        <f t="array" ref="C41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15" s="32" t="s">
        <v>1689</v>
      </c>
      <c r="E415" s="16" t="s">
        <v>124</v>
      </c>
      <c r="F415" s="16" t="s">
        <v>366</v>
      </c>
      <c r="G415" s="16" t="s">
        <v>34</v>
      </c>
      <c r="H415" s="63">
        <v>45400</v>
      </c>
      <c r="I415" s="339"/>
      <c r="J415" s="63"/>
      <c r="K415" s="63"/>
      <c r="L415" s="182"/>
      <c r="M415" s="70" t="s">
        <v>19</v>
      </c>
      <c r="N415" s="339"/>
      <c r="O415" s="339"/>
      <c r="P415" s="63" t="s">
        <v>30</v>
      </c>
      <c r="Q415" s="84">
        <v>1</v>
      </c>
      <c r="R415" s="54" t="s">
        <v>1690</v>
      </c>
      <c r="S415" s="59">
        <v>45394</v>
      </c>
      <c r="T415" s="223">
        <v>45394</v>
      </c>
      <c r="U415" s="59">
        <v>45427</v>
      </c>
      <c r="V415" s="29" t="s">
        <v>32</v>
      </c>
      <c r="W415" s="29" t="s">
        <v>51</v>
      </c>
      <c r="X415" s="27" t="s">
        <v>51</v>
      </c>
      <c r="Y415" s="16" t="s">
        <v>31</v>
      </c>
      <c r="AD415" s="339"/>
      <c r="AI415" s="16" t="s">
        <v>31</v>
      </c>
      <c r="AJ415" s="224"/>
      <c r="AK415" s="27"/>
      <c r="AL415" s="102"/>
      <c r="AM415" s="41" t="str">
        <f>VLOOKUP(Table2[[#This Row],[country]],Countrycode!A:B,2,FALSE)</f>
        <v>SYC</v>
      </c>
      <c r="AN415" s="34">
        <f>IF(ISBLANK(Table2[[#This Row],[Need_RRA]]), 2,(IF(Table2[[#This Row],[Need_RRA]]="No", 0, (IF(AND(Table2[[#This Row],[Need_RRA]]="Yes",  Table2[[#This Row],[RRA_pub_date]]=""),1, 0)))))</f>
        <v>0</v>
      </c>
      <c r="AO415" s="41">
        <f>IF(ISBLANK(Table2[[#This Row],[Need_EIS]]), 2,(IF(Table2[[#This Row],[Need_EIS]]="No", 0, (IF(AND(Table2[[#This Row],[Need_EIS]]="Yes",  Table2[[#This Row],[EIS_pub_date]]=""),1, 0)))))</f>
        <v>0</v>
      </c>
      <c r="AP415" s="41">
        <f>IF(ISBLANK(Table2[[#This Row],[Need_DON]]), 2,(IF(Table2[[#This Row],[Need_DON]]="No", 0, (IF(AND(Table2[[#This Row],[Need_DON]]="Yes",  Table2[[#This Row],[DON_pub_date]]=""),1, 0)))))</f>
        <v>0</v>
      </c>
      <c r="AQ415" s="34">
        <f>IF(ISBLANK(Table2[[#This Row],[Pending_question]]), 2,(IF(Table2[[#This Row],[Pending_question]]="Yes", 1, 0)))</f>
        <v>0</v>
      </c>
      <c r="AR415" s="225"/>
    </row>
    <row r="416" spans="1:44" ht="15" customHeight="1">
      <c r="A416" s="63">
        <v>45401</v>
      </c>
      <c r="B416" s="16" t="s">
        <v>15</v>
      </c>
      <c r="C416" s="34" t="str" cm="1">
        <f t="array" ref="C41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16" s="249" t="s">
        <v>1691</v>
      </c>
      <c r="E416" s="16" t="s">
        <v>128</v>
      </c>
      <c r="F416" s="16" t="s">
        <v>143</v>
      </c>
      <c r="G416" s="16" t="s">
        <v>34</v>
      </c>
      <c r="H416" s="63">
        <v>45401</v>
      </c>
      <c r="J416" s="63">
        <v>45400</v>
      </c>
      <c r="K416" s="16" t="s">
        <v>1692</v>
      </c>
      <c r="L416" s="313" t="s">
        <v>1693</v>
      </c>
      <c r="M416" s="70" t="s">
        <v>19</v>
      </c>
      <c r="P416" s="16" t="s">
        <v>19</v>
      </c>
      <c r="Q416" s="154"/>
      <c r="R416" s="54"/>
      <c r="S416" s="159"/>
      <c r="T416" s="229"/>
      <c r="U416" s="159"/>
      <c r="V416" s="159"/>
      <c r="W416" s="159"/>
      <c r="X416" s="161"/>
      <c r="Y416" s="16" t="s">
        <v>30</v>
      </c>
      <c r="Z416" s="16" t="s">
        <v>42</v>
      </c>
      <c r="AA416" s="16" t="s">
        <v>22</v>
      </c>
      <c r="AB416" s="16" t="s">
        <v>1694</v>
      </c>
      <c r="AC416" s="63">
        <v>45400</v>
      </c>
      <c r="AD416" s="63">
        <v>45401</v>
      </c>
      <c r="AE416" s="380">
        <v>45401</v>
      </c>
      <c r="AF416" s="63">
        <v>45402</v>
      </c>
      <c r="AG416" s="63">
        <v>45403</v>
      </c>
      <c r="AH416" s="81">
        <v>45404</v>
      </c>
      <c r="AI416" s="16" t="s">
        <v>19</v>
      </c>
      <c r="AJ416" s="360"/>
      <c r="AK416" s="161"/>
      <c r="AM416" s="16" t="str">
        <f>VLOOKUP(Table2[[#This Row],[country]],Countrycode!A:B,2,FALSE)</f>
        <v>BRA</v>
      </c>
      <c r="AN416" s="160">
        <f>IF(ISBLANK(Table2[[#This Row],[Need_RRA]]), 2,(IF(Table2[[#This Row],[Need_RRA]]="No", 0, (IF(AND(Table2[[#This Row],[Need_RRA]]="Yes",  Table2[[#This Row],[RRA_pub_date]]=""),1, 0)))))</f>
        <v>0</v>
      </c>
      <c r="AO416" s="16">
        <f>IF(ISBLANK(Table2[[#This Row],[Need_EIS]]), 2,(IF(Table2[[#This Row],[Need_EIS]]="No", 0, (IF(AND(Table2[[#This Row],[Need_EIS]]="Yes",  Table2[[#This Row],[EIS_pub_date]]=""),1, 0)))))</f>
        <v>0</v>
      </c>
      <c r="AP416" s="16">
        <f>IF(ISBLANK(Table2[[#This Row],[Need_DON]]), 2,(IF(Table2[[#This Row],[Need_DON]]="No", 0, (IF(AND(Table2[[#This Row],[Need_DON]]="Yes",  Table2[[#This Row],[DON_pub_date]]=""),1, 0)))))</f>
        <v>0</v>
      </c>
      <c r="AQ416" s="160">
        <f>IF(ISBLANK(Table2[[#This Row],[Pending_question]]), 2,(IF(Table2[[#This Row],[Pending_question]]="Yes", 1, 0)))</f>
        <v>0</v>
      </c>
      <c r="AR416" s="230"/>
    </row>
    <row r="417" spans="1:44" ht="15" customHeight="1">
      <c r="A417" s="63">
        <v>45404</v>
      </c>
      <c r="B417" s="29" t="s">
        <v>15</v>
      </c>
      <c r="C417" s="34" t="str" cm="1">
        <f t="array" ref="C41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17" s="27" t="s">
        <v>1233</v>
      </c>
      <c r="E417" s="67" t="s">
        <v>180</v>
      </c>
      <c r="F417" s="29" t="s">
        <v>363</v>
      </c>
      <c r="G417" s="29" t="s">
        <v>34</v>
      </c>
      <c r="H417" s="59">
        <v>45404</v>
      </c>
      <c r="I417" s="59">
        <v>45411</v>
      </c>
      <c r="J417" s="29"/>
      <c r="K417" s="265" t="s">
        <v>852</v>
      </c>
      <c r="L417" s="184" t="s">
        <v>1153</v>
      </c>
      <c r="M417" s="70" t="s">
        <v>19</v>
      </c>
      <c r="N417" s="29"/>
      <c r="O417" s="27"/>
      <c r="P417" s="29" t="s">
        <v>19</v>
      </c>
      <c r="Q417" s="84"/>
      <c r="R417" s="29"/>
      <c r="S417" s="29"/>
      <c r="T417" s="223"/>
      <c r="U417" s="29"/>
      <c r="V417" s="29"/>
      <c r="W417" s="29"/>
      <c r="X417" s="27"/>
      <c r="Y417" s="29" t="s">
        <v>30</v>
      </c>
      <c r="Z417" s="29" t="s">
        <v>42</v>
      </c>
      <c r="AA417" s="29" t="s">
        <v>22</v>
      </c>
      <c r="AB417" s="29" t="s">
        <v>1695</v>
      </c>
      <c r="AC417" s="59">
        <v>45403</v>
      </c>
      <c r="AD417" s="59">
        <v>45404</v>
      </c>
      <c r="AE417" s="59">
        <v>45405</v>
      </c>
      <c r="AF417" s="59">
        <v>45405</v>
      </c>
      <c r="AG417" s="59">
        <v>45413</v>
      </c>
      <c r="AH417" s="85">
        <v>45414</v>
      </c>
      <c r="AI417" s="29" t="s">
        <v>30</v>
      </c>
      <c r="AJ417" s="395">
        <v>45415</v>
      </c>
      <c r="AK417" s="85">
        <v>45420</v>
      </c>
      <c r="AL417" s="102"/>
      <c r="AM417" s="41" t="str">
        <f>VLOOKUP(Table2[[#This Row],[country]],Countrycode!A:B,2,FALSE)</f>
        <v>SAU</v>
      </c>
      <c r="AN417" s="34">
        <f>IF(ISBLANK(Table2[[#This Row],[Need_RRA]]), 2,(IF(Table2[[#This Row],[Need_RRA]]="No", 0, (IF(AND(Table2[[#This Row],[Need_RRA]]="Yes",  Table2[[#This Row],[RRA_pub_date]]=""),1, 0)))))</f>
        <v>0</v>
      </c>
      <c r="AO417" s="34">
        <f>IF(ISBLANK(Table2[[#This Row],[Need_EIS]]), 2,(IF(Table2[[#This Row],[Need_EIS]]="No", 0, (IF(AND(Table2[[#This Row],[Need_EIS]]="Yes",  Table2[[#This Row],[EIS_pub_date]]=""),1, 0)))))</f>
        <v>0</v>
      </c>
      <c r="AP417" s="34">
        <f>IF(ISBLANK(Table2[[#This Row],[Need_DON]]), 2,(IF(Table2[[#This Row],[Need_DON]]="No", 0, (IF(AND(Table2[[#This Row],[Need_DON]]="Yes",  Table2[[#This Row],[DON_pub_date]]=""),1, 0)))))</f>
        <v>0</v>
      </c>
      <c r="AQ417" s="34">
        <f>IF(ISBLANK(Table2[[#This Row],[Pending_question]]), 2,(IF(Table2[[#This Row],[Pending_question]]="Yes", 1, 0)))</f>
        <v>0</v>
      </c>
      <c r="AR417" s="225"/>
    </row>
    <row r="418" spans="1:44" ht="15" customHeight="1">
      <c r="A418" s="63">
        <v>45413</v>
      </c>
      <c r="B418" s="16" t="s">
        <v>15</v>
      </c>
      <c r="C418" s="34" t="str" cm="1">
        <f t="array" ref="C41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18" s="32" t="s">
        <v>1233</v>
      </c>
      <c r="E418" s="16" t="s">
        <v>136</v>
      </c>
      <c r="F418" s="16" t="s">
        <v>93</v>
      </c>
      <c r="G418" s="16" t="s">
        <v>93</v>
      </c>
      <c r="H418" s="63">
        <v>45413</v>
      </c>
      <c r="I418" s="63">
        <v>45425</v>
      </c>
      <c r="M418" s="70" t="s">
        <v>19</v>
      </c>
      <c r="N418" s="214"/>
      <c r="O418" s="215"/>
      <c r="P418" s="16" t="s">
        <v>30</v>
      </c>
      <c r="Q418" s="88">
        <v>2</v>
      </c>
      <c r="R418" s="16" t="s">
        <v>1696</v>
      </c>
      <c r="S418" s="63">
        <v>45413</v>
      </c>
      <c r="T418" s="63">
        <v>45415</v>
      </c>
      <c r="U418" s="133">
        <v>45428</v>
      </c>
      <c r="V418" s="29"/>
      <c r="W418" s="29"/>
      <c r="X418" s="27" t="s">
        <v>20</v>
      </c>
      <c r="Y418" s="16" t="s">
        <v>30</v>
      </c>
      <c r="Z418" s="16" t="s">
        <v>33</v>
      </c>
      <c r="AA418" s="16" t="s">
        <v>43</v>
      </c>
      <c r="AB418" s="16" t="s">
        <v>1697</v>
      </c>
      <c r="AC418" s="63">
        <v>45413</v>
      </c>
      <c r="AD418" s="59">
        <v>45427</v>
      </c>
      <c r="AE418" s="162">
        <v>45430</v>
      </c>
      <c r="AF418" s="29"/>
      <c r="AG418" s="59">
        <v>45434</v>
      </c>
      <c r="AH418" s="85">
        <v>45435</v>
      </c>
      <c r="AI418" s="16" t="s">
        <v>30</v>
      </c>
      <c r="AJ418" s="224">
        <v>45436</v>
      </c>
      <c r="AK418" s="85">
        <v>45442</v>
      </c>
      <c r="AL418" s="102"/>
      <c r="AM418" s="41" t="e">
        <f>VLOOKUP(Table2[[#This Row],[country]],Countrycode!A:B,2,FALSE)</f>
        <v>#N/A</v>
      </c>
      <c r="AN418" s="34">
        <f>IF(ISBLANK(Table2[[#This Row],[Need_RRA]]), 2,(IF(Table2[[#This Row],[Need_RRA]]="No", 0, (IF(AND(Table2[[#This Row],[Need_RRA]]="Yes",  Table2[[#This Row],[RRA_pub_date]]=""),1, 0)))))</f>
        <v>0</v>
      </c>
      <c r="AO418" s="34">
        <f>IF(ISBLANK(Table2[[#This Row],[Need_EIS]]), 2,(IF(Table2[[#This Row],[Need_EIS]]="No", 0, (IF(AND(Table2[[#This Row],[Need_EIS]]="Yes",  Table2[[#This Row],[EIS_pub_date]]=""),1, 0)))))</f>
        <v>0</v>
      </c>
      <c r="AP418" s="34">
        <f>IF(ISBLANK(Table2[[#This Row],[Need_DON]]), 2,(IF(Table2[[#This Row],[Need_DON]]="No", 0, (IF(AND(Table2[[#This Row],[Need_DON]]="Yes",  Table2[[#This Row],[DON_pub_date]]=""),1, 0)))))</f>
        <v>0</v>
      </c>
      <c r="AQ418" s="34">
        <f>IF(ISBLANK(Table2[[#This Row],[Pending_question]]), 2,(IF(Table2[[#This Row],[Pending_question]]="Yes", 1, 0)))</f>
        <v>0</v>
      </c>
      <c r="AR418" s="225"/>
    </row>
    <row r="419" spans="1:44" ht="15" customHeight="1">
      <c r="A419" s="63">
        <v>45420</v>
      </c>
      <c r="B419" s="16" t="s">
        <v>15</v>
      </c>
      <c r="C419" s="34" t="str" cm="1">
        <f t="array" ref="C41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19" s="32" t="s">
        <v>1698</v>
      </c>
      <c r="E419" s="16" t="s">
        <v>166</v>
      </c>
      <c r="F419" s="16" t="s">
        <v>89</v>
      </c>
      <c r="G419" s="16" t="s">
        <v>34</v>
      </c>
      <c r="H419" s="63">
        <v>45420</v>
      </c>
      <c r="I419" s="54"/>
      <c r="J419" s="63">
        <v>45414</v>
      </c>
      <c r="K419" s="16" t="s">
        <v>1699</v>
      </c>
      <c r="L419" s="313" t="s">
        <v>1700</v>
      </c>
      <c r="M419" s="70" t="s">
        <v>19</v>
      </c>
      <c r="N419" s="214"/>
      <c r="O419" s="215"/>
      <c r="P419" s="16" t="s">
        <v>19</v>
      </c>
      <c r="U419" s="159"/>
      <c r="V419" s="159"/>
      <c r="W419" s="159"/>
      <c r="X419" s="161"/>
      <c r="Y419" s="16" t="s">
        <v>31</v>
      </c>
      <c r="Z419" s="16" t="s">
        <v>42</v>
      </c>
      <c r="AA419" s="16" t="s">
        <v>22</v>
      </c>
      <c r="AB419" s="16" t="s">
        <v>1701</v>
      </c>
      <c r="AC419" s="63">
        <v>45420</v>
      </c>
      <c r="AD419" s="223">
        <v>45420</v>
      </c>
      <c r="AE419" s="159"/>
      <c r="AF419" s="159"/>
      <c r="AG419" s="159"/>
      <c r="AH419" s="161"/>
      <c r="AI419" s="16" t="s">
        <v>31</v>
      </c>
      <c r="AJ419" s="231"/>
      <c r="AK419" s="161"/>
      <c r="AM419" s="16" t="str">
        <f>VLOOKUP(Table2[[#This Row],[country]],Countrycode!A:B,2,FALSE)</f>
        <v>FRA</v>
      </c>
      <c r="AN419" s="160">
        <f>IF(ISBLANK(Table2[[#This Row],[Need_RRA]]), 2,(IF(Table2[[#This Row],[Need_RRA]]="No", 0, (IF(AND(Table2[[#This Row],[Need_RRA]]="Yes",  Table2[[#This Row],[RRA_pub_date]]=""),1, 0)))))</f>
        <v>0</v>
      </c>
      <c r="AO419" s="160">
        <f>IF(ISBLANK(Table2[[#This Row],[Need_EIS]]), 2,(IF(Table2[[#This Row],[Need_EIS]]="No", 0, (IF(AND(Table2[[#This Row],[Need_EIS]]="Yes",  Table2[[#This Row],[EIS_pub_date]]=""),1, 0)))))</f>
        <v>0</v>
      </c>
      <c r="AP419" s="160">
        <f>IF(ISBLANK(Table2[[#This Row],[Need_DON]]), 2,(IF(Table2[[#This Row],[Need_DON]]="No", 0, (IF(AND(Table2[[#This Row],[Need_DON]]="Yes",  Table2[[#This Row],[DON_pub_date]]=""),1, 0)))))</f>
        <v>0</v>
      </c>
      <c r="AQ419" s="160">
        <f>IF(ISBLANK(Table2[[#This Row],[Pending_question]]), 2,(IF(Table2[[#This Row],[Pending_question]]="Yes", 1, 0)))</f>
        <v>0</v>
      </c>
      <c r="AR419" s="230"/>
    </row>
    <row r="420" spans="1:44" ht="15" customHeight="1">
      <c r="A420" s="63">
        <v>45421</v>
      </c>
      <c r="B420" s="16" t="s">
        <v>15</v>
      </c>
      <c r="C420" s="34" t="str" cm="1">
        <f t="array" ref="C42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20" s="32" t="s">
        <v>1233</v>
      </c>
      <c r="E420" s="16" t="s">
        <v>104</v>
      </c>
      <c r="F420" s="16" t="s">
        <v>173</v>
      </c>
      <c r="G420" s="16" t="s">
        <v>34</v>
      </c>
      <c r="H420" s="63">
        <v>45421</v>
      </c>
      <c r="I420" s="339"/>
      <c r="J420" s="63">
        <v>45421</v>
      </c>
      <c r="K420" s="63" t="s">
        <v>1702</v>
      </c>
      <c r="L420" s="182" t="s">
        <v>1703</v>
      </c>
      <c r="M420" s="70" t="s">
        <v>19</v>
      </c>
      <c r="N420" s="214"/>
      <c r="O420" s="215"/>
      <c r="P420" s="63" t="s">
        <v>19</v>
      </c>
      <c r="T420" s="339"/>
      <c r="U420" s="159"/>
      <c r="V420" s="159"/>
      <c r="W420" s="159"/>
      <c r="X420" s="161"/>
      <c r="Y420" s="16" t="s">
        <v>30</v>
      </c>
      <c r="Z420" s="16" t="s">
        <v>42</v>
      </c>
      <c r="AA420" s="16" t="s">
        <v>22</v>
      </c>
      <c r="AB420" s="233" t="s">
        <v>1704</v>
      </c>
      <c r="AC420" s="63">
        <v>45420</v>
      </c>
      <c r="AD420" s="229">
        <v>45421</v>
      </c>
      <c r="AE420" s="162">
        <v>45421</v>
      </c>
      <c r="AF420" s="159"/>
      <c r="AG420" s="162">
        <v>45426</v>
      </c>
      <c r="AH420" s="164">
        <v>45427</v>
      </c>
      <c r="AI420" s="16" t="s">
        <v>19</v>
      </c>
      <c r="AJ420" s="231"/>
      <c r="AK420" s="161"/>
      <c r="AM420" s="16" t="str">
        <f>VLOOKUP(Table2[[#This Row],[country]],Countrycode!A:B,2,FALSE)</f>
        <v>CHN</v>
      </c>
      <c r="AN420" s="160">
        <f>IF(ISBLANK(Table2[[#This Row],[Need_RRA]]), 2,(IF(Table2[[#This Row],[Need_RRA]]="No", 0, (IF(AND(Table2[[#This Row],[Need_RRA]]="Yes",  Table2[[#This Row],[RRA_pub_date]]=""),1, 0)))))</f>
        <v>0</v>
      </c>
      <c r="AO420" s="160">
        <f>IF(ISBLANK(Table2[[#This Row],[Need_EIS]]), 2,(IF(Table2[[#This Row],[Need_EIS]]="No", 0, (IF(AND(Table2[[#This Row],[Need_EIS]]="Yes",  Table2[[#This Row],[EIS_pub_date]]=""),1, 0)))))</f>
        <v>0</v>
      </c>
      <c r="AP420" s="160">
        <f>IF(ISBLANK(Table2[[#This Row],[Need_DON]]), 2,(IF(Table2[[#This Row],[Need_DON]]="No", 0, (IF(AND(Table2[[#This Row],[Need_DON]]="Yes",  Table2[[#This Row],[DON_pub_date]]=""),1, 0)))))</f>
        <v>0</v>
      </c>
      <c r="AQ420" s="160">
        <f>IF(ISBLANK(Table2[[#This Row],[Pending_question]]), 2,(IF(Table2[[#This Row],[Pending_question]]="Yes", 1, 0)))</f>
        <v>0</v>
      </c>
      <c r="AR420" s="230"/>
    </row>
    <row r="421" spans="1:44" ht="15" customHeight="1">
      <c r="A421" s="63">
        <v>45433</v>
      </c>
      <c r="B421" s="29" t="s">
        <v>15</v>
      </c>
      <c r="C421" s="34" t="str" cm="1">
        <f t="array" ref="C42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21" s="27"/>
      <c r="E421" s="70" t="s">
        <v>1705</v>
      </c>
      <c r="F421" s="54" t="s">
        <v>39</v>
      </c>
      <c r="G421" s="29" t="s">
        <v>746</v>
      </c>
      <c r="H421" s="338">
        <v>45433</v>
      </c>
      <c r="I421" s="223"/>
      <c r="J421" s="59"/>
      <c r="K421" s="59"/>
      <c r="L421" s="104"/>
      <c r="M421" s="213" t="s">
        <v>30</v>
      </c>
      <c r="N421" s="214" t="s">
        <v>1706</v>
      </c>
      <c r="O421" s="215">
        <v>45565</v>
      </c>
      <c r="P421" s="55" t="s">
        <v>19</v>
      </c>
      <c r="Q421" s="84"/>
      <c r="R421" s="54"/>
      <c r="S421" s="29"/>
      <c r="T421" s="223"/>
      <c r="U421" s="29"/>
      <c r="V421" s="29"/>
      <c r="W421" s="29"/>
      <c r="X421" s="27"/>
      <c r="Y421" s="54" t="s">
        <v>31</v>
      </c>
      <c r="Z421" s="29" t="s">
        <v>33</v>
      </c>
      <c r="AA421" s="29" t="s">
        <v>22</v>
      </c>
      <c r="AB421" s="54" t="s">
        <v>1707</v>
      </c>
      <c r="AC421" s="59">
        <v>45433</v>
      </c>
      <c r="AD421" s="223"/>
      <c r="AE421" s="29"/>
      <c r="AF421" s="29"/>
      <c r="AG421" s="29"/>
      <c r="AH421" s="29"/>
      <c r="AI421" s="54" t="s">
        <v>31</v>
      </c>
      <c r="AJ421" s="224"/>
      <c r="AK421" s="27"/>
      <c r="AL421" s="102"/>
      <c r="AM421" s="41" t="str">
        <f>VLOOKUP(Table2[[#This Row],[country]],Countrycode!A:B,2,FALSE)</f>
        <v>MLX</v>
      </c>
      <c r="AN421" s="34">
        <f>IF(ISBLANK(Table2[[#This Row],[Need_RRA]]), 2,(IF(Table2[[#This Row],[Need_RRA]]="No", 0, (IF(AND(Table2[[#This Row],[Need_RRA]]="Yes",  Table2[[#This Row],[RRA_pub_date]]=""),1, 0)))))</f>
        <v>0</v>
      </c>
      <c r="AO421" s="34">
        <f>IF(ISBLANK(Table2[[#This Row],[Need_EIS]]), 2,(IF(Table2[[#This Row],[Need_EIS]]="No", 0, (IF(AND(Table2[[#This Row],[Need_EIS]]="Yes",  Table2[[#This Row],[EIS_pub_date]]=""),1, 0)))))</f>
        <v>0</v>
      </c>
      <c r="AP421" s="34">
        <f>IF(ISBLANK(Table2[[#This Row],[Need_DON]]), 2,(IF(Table2[[#This Row],[Need_DON]]="No", 0, (IF(AND(Table2[[#This Row],[Need_DON]]="Yes",  Table2[[#This Row],[DON_pub_date]]=""),1, 0)))))</f>
        <v>0</v>
      </c>
      <c r="AQ421" s="34">
        <f>IF(ISBLANK(Table2[[#This Row],[Pending_question]]), 2,(IF(Table2[[#This Row],[Pending_question]]="Yes", 1, 0)))</f>
        <v>1</v>
      </c>
      <c r="AR421" s="225"/>
    </row>
    <row r="422" spans="1:44" ht="15" customHeight="1">
      <c r="A422" s="63">
        <v>45434</v>
      </c>
      <c r="B422" s="16" t="s">
        <v>15</v>
      </c>
      <c r="C422" s="34" t="str" cm="1">
        <f t="array" ref="C42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22" s="16" t="s">
        <v>1233</v>
      </c>
      <c r="E422" s="70" t="s">
        <v>99</v>
      </c>
      <c r="F422" s="192" t="s">
        <v>105</v>
      </c>
      <c r="G422" s="29" t="s">
        <v>34</v>
      </c>
      <c r="H422" s="63">
        <v>45434</v>
      </c>
      <c r="I422" s="214">
        <v>45440</v>
      </c>
      <c r="J422" s="59">
        <v>45435</v>
      </c>
      <c r="K422" s="59" t="s">
        <v>1708</v>
      </c>
      <c r="L422" s="104" t="s">
        <v>1709</v>
      </c>
      <c r="M422" s="70" t="s">
        <v>19</v>
      </c>
      <c r="N422" s="214"/>
      <c r="O422" s="215"/>
      <c r="P422" s="55" t="s">
        <v>19</v>
      </c>
      <c r="Q422" s="84"/>
      <c r="R422" s="54"/>
      <c r="S422" s="29"/>
      <c r="T422" s="223"/>
      <c r="U422" s="29"/>
      <c r="V422" s="29"/>
      <c r="W422" s="29"/>
      <c r="X422" s="27"/>
      <c r="Y422" s="54" t="s">
        <v>30</v>
      </c>
      <c r="Z422" s="29" t="s">
        <v>42</v>
      </c>
      <c r="AA422" s="29" t="s">
        <v>22</v>
      </c>
      <c r="AB422" s="54" t="s">
        <v>1710</v>
      </c>
      <c r="AC422" s="59">
        <v>45434</v>
      </c>
      <c r="AD422" s="59">
        <v>45434</v>
      </c>
      <c r="AE422" s="59">
        <v>45436</v>
      </c>
      <c r="AF422" s="59">
        <v>45436</v>
      </c>
      <c r="AG422" s="59">
        <v>45440</v>
      </c>
      <c r="AH422" s="85">
        <v>45440</v>
      </c>
      <c r="AI422" s="54" t="s">
        <v>30</v>
      </c>
      <c r="AJ422" s="224">
        <v>45443</v>
      </c>
      <c r="AK422" s="85">
        <v>45450</v>
      </c>
      <c r="AL422" s="102"/>
      <c r="AM422" s="41" t="str">
        <f>VLOOKUP(Table2[[#This Row],[country]],Countrycode!A:B,2,FALSE)</f>
        <v>AUS</v>
      </c>
      <c r="AN422" s="34">
        <f>IF(ISBLANK(Table2[[#This Row],[Need_RRA]]), 2,(IF(Table2[[#This Row],[Need_RRA]]="No", 0, (IF(AND(Table2[[#This Row],[Need_RRA]]="Yes",  Table2[[#This Row],[RRA_pub_date]]=""),1, 0)))))</f>
        <v>0</v>
      </c>
      <c r="AO422" s="34">
        <f>IF(ISBLANK(Table2[[#This Row],[Need_EIS]]), 2,(IF(Table2[[#This Row],[Need_EIS]]="No", 0, (IF(AND(Table2[[#This Row],[Need_EIS]]="Yes",  Table2[[#This Row],[EIS_pub_date]]=""),1, 0)))))</f>
        <v>0</v>
      </c>
      <c r="AP422" s="34">
        <f>IF(ISBLANK(Table2[[#This Row],[Need_DON]]), 2,(IF(Table2[[#This Row],[Need_DON]]="No", 0, (IF(AND(Table2[[#This Row],[Need_DON]]="Yes",  Table2[[#This Row],[DON_pub_date]]=""),1, 0)))))</f>
        <v>0</v>
      </c>
      <c r="AQ422" s="34">
        <f>IF(ISBLANK(Table2[[#This Row],[Pending_question]]), 2,(IF(Table2[[#This Row],[Pending_question]]="Yes", 1, 0)))</f>
        <v>0</v>
      </c>
      <c r="AR422" s="225"/>
    </row>
    <row r="423" spans="1:44" ht="15" customHeight="1">
      <c r="A423" s="63">
        <v>45434</v>
      </c>
      <c r="B423" s="29" t="s">
        <v>15</v>
      </c>
      <c r="C423" s="34" t="str" cm="1">
        <f t="array" ref="C42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23" s="27" t="s">
        <v>1711</v>
      </c>
      <c r="E423" s="70" t="s">
        <v>110</v>
      </c>
      <c r="F423" s="54" t="s">
        <v>274</v>
      </c>
      <c r="G423" s="29" t="s">
        <v>34</v>
      </c>
      <c r="H423" s="55">
        <v>45434</v>
      </c>
      <c r="I423" s="59">
        <v>45436</v>
      </c>
      <c r="J423" s="59">
        <v>45441</v>
      </c>
      <c r="K423" s="29" t="s">
        <v>1712</v>
      </c>
      <c r="L423" s="104" t="s">
        <v>1713</v>
      </c>
      <c r="M423" s="70" t="s">
        <v>19</v>
      </c>
      <c r="N423" s="214"/>
      <c r="O423" s="215"/>
      <c r="P423" s="55" t="s">
        <v>19</v>
      </c>
      <c r="Q423" s="84">
        <v>1</v>
      </c>
      <c r="R423" s="54" t="s">
        <v>1714</v>
      </c>
      <c r="S423" s="59">
        <v>45439</v>
      </c>
      <c r="T423" s="59">
        <v>45449</v>
      </c>
      <c r="U423" s="29"/>
      <c r="V423" s="29"/>
      <c r="W423" s="29"/>
      <c r="X423" s="27"/>
      <c r="Y423" s="54" t="s">
        <v>30</v>
      </c>
      <c r="Z423" s="29" t="s">
        <v>42</v>
      </c>
      <c r="AA423" s="29" t="s">
        <v>22</v>
      </c>
      <c r="AB423" s="54" t="s">
        <v>1715</v>
      </c>
      <c r="AC423" s="59">
        <v>45434</v>
      </c>
      <c r="AD423" s="59">
        <v>45435</v>
      </c>
      <c r="AE423" s="59">
        <v>45436</v>
      </c>
      <c r="AF423" s="29"/>
      <c r="AG423" s="59">
        <v>45446</v>
      </c>
      <c r="AH423" s="85">
        <v>45447</v>
      </c>
      <c r="AI423" s="54" t="s">
        <v>30</v>
      </c>
      <c r="AJ423" s="224">
        <v>45448</v>
      </c>
      <c r="AK423" s="85">
        <v>45454</v>
      </c>
      <c r="AL423" s="102"/>
      <c r="AM423" s="41" t="str">
        <f>VLOOKUP(Table2[[#This Row],[country]],Countrycode!A:B,2,FALSE)</f>
        <v>IND</v>
      </c>
      <c r="AN423" s="34">
        <f>IF(ISBLANK(Table2[[#This Row],[Need_RRA]]), 2,(IF(Table2[[#This Row],[Need_RRA]]="No", 0, (IF(AND(Table2[[#This Row],[Need_RRA]]="Yes",  Table2[[#This Row],[RRA_pub_date]]=""),1, 0)))))</f>
        <v>0</v>
      </c>
      <c r="AO423" s="34">
        <f>IF(ISBLANK(Table2[[#This Row],[Need_EIS]]), 2,(IF(Table2[[#This Row],[Need_EIS]]="No", 0, (IF(AND(Table2[[#This Row],[Need_EIS]]="Yes",  Table2[[#This Row],[EIS_pub_date]]=""),1, 0)))))</f>
        <v>0</v>
      </c>
      <c r="AP423" s="34">
        <f>IF(ISBLANK(Table2[[#This Row],[Need_DON]]), 2,(IF(Table2[[#This Row],[Need_DON]]="No", 0, (IF(AND(Table2[[#This Row],[Need_DON]]="Yes",  Table2[[#This Row],[DON_pub_date]]=""),1, 0)))))</f>
        <v>0</v>
      </c>
      <c r="AQ423" s="34">
        <f>IF(ISBLANK(Table2[[#This Row],[Pending_question]]), 2,(IF(Table2[[#This Row],[Pending_question]]="Yes", 1, 0)))</f>
        <v>0</v>
      </c>
      <c r="AR423" s="225"/>
    </row>
    <row r="424" spans="1:44" ht="15" customHeight="1">
      <c r="A424" s="63">
        <v>45435</v>
      </c>
      <c r="B424" s="29" t="s">
        <v>15</v>
      </c>
      <c r="C424" s="34" t="str" cm="1">
        <f t="array" ref="C42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24" s="27" t="s">
        <v>1233</v>
      </c>
      <c r="E424" s="70" t="s">
        <v>99</v>
      </c>
      <c r="F424" s="54" t="s">
        <v>403</v>
      </c>
      <c r="G424" s="29" t="s">
        <v>34</v>
      </c>
      <c r="H424" s="55">
        <v>45435</v>
      </c>
      <c r="I424" s="214"/>
      <c r="J424" s="59"/>
      <c r="K424" s="63"/>
      <c r="L424" s="104"/>
      <c r="M424" s="70" t="s">
        <v>19</v>
      </c>
      <c r="N424" s="214"/>
      <c r="O424" s="215"/>
      <c r="P424" s="55" t="s">
        <v>19</v>
      </c>
      <c r="Q424" s="84"/>
      <c r="R424" s="54"/>
      <c r="S424" s="29"/>
      <c r="T424" s="339"/>
      <c r="U424" s="29"/>
      <c r="V424" s="29"/>
      <c r="W424" s="29"/>
      <c r="X424" s="27"/>
      <c r="Y424" s="54" t="s">
        <v>30</v>
      </c>
      <c r="Z424" s="29" t="s">
        <v>42</v>
      </c>
      <c r="AA424" s="29" t="s">
        <v>22</v>
      </c>
      <c r="AB424" s="54" t="s">
        <v>1716</v>
      </c>
      <c r="AC424" s="59">
        <v>45435</v>
      </c>
      <c r="AD424" s="223">
        <v>45435</v>
      </c>
      <c r="AE424" s="59">
        <v>45435</v>
      </c>
      <c r="AF424" s="59">
        <v>45435</v>
      </c>
      <c r="AG424" s="59">
        <v>45436</v>
      </c>
      <c r="AH424" s="85">
        <v>45437</v>
      </c>
      <c r="AI424" s="54" t="s">
        <v>19</v>
      </c>
      <c r="AJ424" s="224"/>
      <c r="AK424" s="27"/>
      <c r="AL424" s="102"/>
      <c r="AM424" s="41" t="str">
        <f>VLOOKUP(Table2[[#This Row],[country]],Countrycode!A:B,2,FALSE)</f>
        <v>USA</v>
      </c>
      <c r="AN424" s="34">
        <f>IF(ISBLANK(Table2[[#This Row],[Need_RRA]]), 2,(IF(Table2[[#This Row],[Need_RRA]]="No", 0, (IF(AND(Table2[[#This Row],[Need_RRA]]="Yes",  Table2[[#This Row],[RRA_pub_date]]=""),1, 0)))))</f>
        <v>0</v>
      </c>
      <c r="AO424" s="34">
        <f>IF(ISBLANK(Table2[[#This Row],[Need_EIS]]), 2,(IF(Table2[[#This Row],[Need_EIS]]="No", 0, (IF(AND(Table2[[#This Row],[Need_EIS]]="Yes",  Table2[[#This Row],[EIS_pub_date]]=""),1, 0)))))</f>
        <v>0</v>
      </c>
      <c r="AP424" s="34">
        <f>IF(ISBLANK(Table2[[#This Row],[Need_DON]]), 2,(IF(Table2[[#This Row],[Need_DON]]="No", 0, (IF(AND(Table2[[#This Row],[Need_DON]]="Yes",  Table2[[#This Row],[DON_pub_date]]=""),1, 0)))))</f>
        <v>0</v>
      </c>
      <c r="AQ424" s="34">
        <f>IF(ISBLANK(Table2[[#This Row],[Pending_question]]), 2,(IF(Table2[[#This Row],[Pending_question]]="Yes", 1, 0)))</f>
        <v>0</v>
      </c>
      <c r="AR424" s="225"/>
    </row>
    <row r="425" spans="1:44" ht="15" customHeight="1">
      <c r="A425" s="63">
        <v>45437</v>
      </c>
      <c r="B425" s="29" t="s">
        <v>15</v>
      </c>
      <c r="C425" s="34" t="str" cm="1">
        <f t="array" ref="C42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25" s="27" t="s">
        <v>1717</v>
      </c>
      <c r="E425" s="70" t="s">
        <v>1718</v>
      </c>
      <c r="F425" s="54" t="s">
        <v>311</v>
      </c>
      <c r="G425" s="29" t="s">
        <v>34</v>
      </c>
      <c r="H425" s="55">
        <v>45437</v>
      </c>
      <c r="I425" s="223"/>
      <c r="J425" s="59"/>
      <c r="K425" s="59"/>
      <c r="L425" s="104"/>
      <c r="M425" s="213" t="s">
        <v>30</v>
      </c>
      <c r="N425" s="214" t="s">
        <v>1719</v>
      </c>
      <c r="O425" s="215">
        <v>45442</v>
      </c>
      <c r="P425" s="55" t="s">
        <v>19</v>
      </c>
      <c r="Q425" s="84"/>
      <c r="R425" s="54"/>
      <c r="S425" s="29"/>
      <c r="T425" s="223"/>
      <c r="U425" s="29"/>
      <c r="V425" s="29"/>
      <c r="W425" s="29"/>
      <c r="X425" s="27"/>
      <c r="Y425" s="54" t="s">
        <v>30</v>
      </c>
      <c r="Z425" s="29" t="s">
        <v>42</v>
      </c>
      <c r="AA425" s="29" t="s">
        <v>22</v>
      </c>
      <c r="AB425" s="54" t="s">
        <v>1720</v>
      </c>
      <c r="AC425" s="59">
        <v>45437</v>
      </c>
      <c r="AD425" s="59">
        <v>45437</v>
      </c>
      <c r="AE425" s="59">
        <v>45439</v>
      </c>
      <c r="AF425" s="29"/>
      <c r="AG425" s="59">
        <v>45441</v>
      </c>
      <c r="AH425" s="85">
        <v>45443</v>
      </c>
      <c r="AI425" s="54" t="s">
        <v>30</v>
      </c>
      <c r="AJ425" s="224">
        <v>45443</v>
      </c>
      <c r="AK425" s="85">
        <v>45448</v>
      </c>
      <c r="AL425" s="102"/>
      <c r="AM425" s="41" t="str">
        <f>VLOOKUP(Table2[[#This Row],[country]],Countrycode!A:B,2,FALSE)</f>
        <v>MEX</v>
      </c>
      <c r="AN425" s="34">
        <f>IF(ISBLANK(Table2[[#This Row],[Need_RRA]]), 2,(IF(Table2[[#This Row],[Need_RRA]]="No", 0, (IF(AND(Table2[[#This Row],[Need_RRA]]="Yes",  Table2[[#This Row],[RRA_pub_date]]=""),1, 0)))))</f>
        <v>0</v>
      </c>
      <c r="AO425" s="34">
        <f>IF(ISBLANK(Table2[[#This Row],[Need_EIS]]), 2,(IF(Table2[[#This Row],[Need_EIS]]="No", 0, (IF(AND(Table2[[#This Row],[Need_EIS]]="Yes",  Table2[[#This Row],[EIS_pub_date]]=""),1, 0)))))</f>
        <v>0</v>
      </c>
      <c r="AP425" s="34">
        <f>IF(ISBLANK(Table2[[#This Row],[Need_DON]]), 2,(IF(Table2[[#This Row],[Need_DON]]="No", 0, (IF(AND(Table2[[#This Row],[Need_DON]]="Yes",  Table2[[#This Row],[DON_pub_date]]=""),1, 0)))))</f>
        <v>0</v>
      </c>
      <c r="AQ425" s="34">
        <f>IF(ISBLANK(Table2[[#This Row],[Pending_question]]), 2,(IF(Table2[[#This Row],[Pending_question]]="Yes", 1, 0)))</f>
        <v>1</v>
      </c>
      <c r="AR425" s="225"/>
    </row>
    <row r="426" spans="1:44" ht="17">
      <c r="A426" s="63">
        <v>45440</v>
      </c>
      <c r="B426" s="29" t="s">
        <v>15</v>
      </c>
      <c r="C426" s="34" t="str" cm="1">
        <f t="array" ref="C42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26" s="27" t="s">
        <v>1721</v>
      </c>
      <c r="E426" s="67" t="s">
        <v>190</v>
      </c>
      <c r="F426" s="29" t="s">
        <v>199</v>
      </c>
      <c r="G426" s="29" t="s">
        <v>34</v>
      </c>
      <c r="H426" s="59">
        <v>45440</v>
      </c>
      <c r="I426" s="223"/>
      <c r="J426" s="59">
        <v>45432</v>
      </c>
      <c r="K426" s="29" t="s">
        <v>1722</v>
      </c>
      <c r="L426" s="104" t="s">
        <v>1723</v>
      </c>
      <c r="M426" s="70" t="s">
        <v>19</v>
      </c>
      <c r="N426" s="223"/>
      <c r="O426" s="226"/>
      <c r="P426" s="59" t="s">
        <v>19</v>
      </c>
      <c r="Q426" s="84"/>
      <c r="R426" s="29"/>
      <c r="S426" s="29"/>
      <c r="T426" s="223"/>
      <c r="U426" s="29"/>
      <c r="V426" s="29"/>
      <c r="W426" s="29"/>
      <c r="X426" s="27"/>
      <c r="Y426" s="54" t="s">
        <v>30</v>
      </c>
      <c r="Z426" s="29" t="s">
        <v>42</v>
      </c>
      <c r="AA426" s="29" t="s">
        <v>22</v>
      </c>
      <c r="AB426" s="29" t="s">
        <v>1724</v>
      </c>
      <c r="AC426" s="59">
        <v>45441</v>
      </c>
      <c r="AD426" s="223">
        <v>45442</v>
      </c>
      <c r="AE426" s="150">
        <v>45442</v>
      </c>
      <c r="AF426" s="29"/>
      <c r="AG426" s="29"/>
      <c r="AH426" s="85">
        <v>45447</v>
      </c>
      <c r="AI426" s="54" t="s">
        <v>30</v>
      </c>
      <c r="AJ426" s="224">
        <v>45448</v>
      </c>
      <c r="AK426" s="85">
        <v>45454</v>
      </c>
      <c r="AL426" s="102"/>
      <c r="AM426" s="41" t="str">
        <f>VLOOKUP(Table2[[#This Row],[country]],Countrycode!A:B,2,FALSE)</f>
        <v>CUB</v>
      </c>
      <c r="AN426" s="34">
        <f>IF(ISBLANK(Table2[[#This Row],[Need_RRA]]), 2,(IF(Table2[[#This Row],[Need_RRA]]="No", 0, (IF(AND(Table2[[#This Row],[Need_RRA]]="Yes",  Table2[[#This Row],[RRA_pub_date]]=""),1, 0)))))</f>
        <v>0</v>
      </c>
      <c r="AO426" s="34">
        <f>IF(ISBLANK(Table2[[#This Row],[Need_EIS]]), 2,(IF(Table2[[#This Row],[Need_EIS]]="No", 0, (IF(AND(Table2[[#This Row],[Need_EIS]]="Yes",  Table2[[#This Row],[EIS_pub_date]]=""),1, 0)))))</f>
        <v>0</v>
      </c>
      <c r="AP426" s="34">
        <f>IF(ISBLANK(Table2[[#This Row],[Need_DON]]), 2,(IF(Table2[[#This Row],[Need_DON]]="No", 0, (IF(AND(Table2[[#This Row],[Need_DON]]="Yes",  Table2[[#This Row],[DON_pub_date]]=""),1, 0)))))</f>
        <v>0</v>
      </c>
      <c r="AQ426" s="34">
        <f>IF(ISBLANK(Table2[[#This Row],[Pending_question]]), 2,(IF(Table2[[#This Row],[Pending_question]]="Yes", 1, 0)))</f>
        <v>0</v>
      </c>
      <c r="AR426" s="225"/>
    </row>
    <row r="427" spans="1:44" ht="17">
      <c r="A427" s="63">
        <v>45440</v>
      </c>
      <c r="B427" s="29" t="s">
        <v>15</v>
      </c>
      <c r="C427" s="34" t="str" cm="1">
        <f t="array" ref="C42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27" s="27" t="s">
        <v>1725</v>
      </c>
      <c r="E427" s="70" t="s">
        <v>235</v>
      </c>
      <c r="F427" s="54" t="s">
        <v>328</v>
      </c>
      <c r="G427" s="29" t="s">
        <v>34</v>
      </c>
      <c r="H427" s="267">
        <v>45440</v>
      </c>
      <c r="I427" s="59">
        <v>45429</v>
      </c>
      <c r="J427" s="59">
        <v>45404</v>
      </c>
      <c r="K427" s="29" t="s">
        <v>1726</v>
      </c>
      <c r="L427" s="181" t="s">
        <v>1727</v>
      </c>
      <c r="M427" s="70" t="s">
        <v>19</v>
      </c>
      <c r="N427" s="214"/>
      <c r="O427" s="215"/>
      <c r="P427" s="54" t="s">
        <v>30</v>
      </c>
      <c r="Q427" s="84">
        <v>1</v>
      </c>
      <c r="R427" s="54" t="s">
        <v>1728</v>
      </c>
      <c r="S427" s="59">
        <v>45404</v>
      </c>
      <c r="T427" s="59">
        <v>45409</v>
      </c>
      <c r="U427" s="59">
        <v>45424</v>
      </c>
      <c r="V427" s="29" t="s">
        <v>32</v>
      </c>
      <c r="W427" s="29" t="s">
        <v>51</v>
      </c>
      <c r="X427" s="27" t="s">
        <v>51</v>
      </c>
      <c r="Y427" s="54" t="s">
        <v>30</v>
      </c>
      <c r="Z427" s="29" t="s">
        <v>42</v>
      </c>
      <c r="AA427" s="29" t="s">
        <v>22</v>
      </c>
      <c r="AB427" s="54" t="s">
        <v>1729</v>
      </c>
      <c r="AC427" s="59">
        <v>45424</v>
      </c>
      <c r="AD427" s="59">
        <v>45433</v>
      </c>
      <c r="AE427" s="59">
        <v>45434</v>
      </c>
      <c r="AF427" s="29"/>
      <c r="AG427" s="59">
        <v>45464</v>
      </c>
      <c r="AH427" s="85">
        <v>45471</v>
      </c>
      <c r="AI427" s="54" t="s">
        <v>19</v>
      </c>
      <c r="AJ427" s="224"/>
      <c r="AK427" s="27"/>
      <c r="AL427" s="102"/>
      <c r="AM427" s="41" t="str">
        <f>VLOOKUP(Table2[[#This Row],[country]],Countrycode!A:B,2,FALSE)</f>
        <v>NGA</v>
      </c>
      <c r="AN427" s="34">
        <f>IF(ISBLANK(Table2[[#This Row],[Need_RRA]]), 2,(IF(Table2[[#This Row],[Need_RRA]]="No", 0, (IF(AND(Table2[[#This Row],[Need_RRA]]="Yes",  Table2[[#This Row],[RRA_pub_date]]=""),1, 0)))))</f>
        <v>0</v>
      </c>
      <c r="AO427" s="34">
        <f>IF(ISBLANK(Table2[[#This Row],[Need_EIS]]), 2,(IF(Table2[[#This Row],[Need_EIS]]="No", 0, (IF(AND(Table2[[#This Row],[Need_EIS]]="Yes",  Table2[[#This Row],[EIS_pub_date]]=""),1, 0)))))</f>
        <v>0</v>
      </c>
      <c r="AP427" s="34">
        <f>IF(ISBLANK(Table2[[#This Row],[Need_DON]]), 2,(IF(Table2[[#This Row],[Need_DON]]="No", 0, (IF(AND(Table2[[#This Row],[Need_DON]]="Yes",  Table2[[#This Row],[DON_pub_date]]=""),1, 0)))))</f>
        <v>0</v>
      </c>
      <c r="AQ427" s="34">
        <f>IF(ISBLANK(Table2[[#This Row],[Pending_question]]), 2,(IF(Table2[[#This Row],[Pending_question]]="Yes", 1, 0)))</f>
        <v>0</v>
      </c>
      <c r="AR427" s="225"/>
    </row>
    <row r="428" spans="1:44" ht="17">
      <c r="A428" s="63">
        <v>45441</v>
      </c>
      <c r="B428" s="29" t="s">
        <v>15</v>
      </c>
      <c r="C428" s="34" t="str" cm="1">
        <f t="array" ref="C42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28" s="27" t="s">
        <v>1352</v>
      </c>
      <c r="E428" s="67" t="s">
        <v>667</v>
      </c>
      <c r="F428" s="29" t="s">
        <v>208</v>
      </c>
      <c r="G428" s="29" t="s">
        <v>34</v>
      </c>
      <c r="H428" s="59">
        <v>45441</v>
      </c>
      <c r="I428" s="59">
        <v>45441</v>
      </c>
      <c r="J428" s="59">
        <v>45241</v>
      </c>
      <c r="K428" s="63" t="s">
        <v>1444</v>
      </c>
      <c r="L428" s="104" t="s">
        <v>1423</v>
      </c>
      <c r="M428" s="70" t="s">
        <v>19</v>
      </c>
      <c r="N428" s="223"/>
      <c r="O428" s="226"/>
      <c r="P428" s="55" t="s">
        <v>19</v>
      </c>
      <c r="Q428" s="84"/>
      <c r="R428" s="29"/>
      <c r="S428" s="29"/>
      <c r="T428" s="223"/>
      <c r="U428" s="29"/>
      <c r="V428" s="29"/>
      <c r="W428" s="29"/>
      <c r="X428" s="27"/>
      <c r="Y428" s="29" t="s">
        <v>30</v>
      </c>
      <c r="Z428" s="29" t="s">
        <v>33</v>
      </c>
      <c r="AA428" s="29" t="s">
        <v>43</v>
      </c>
      <c r="AB428" s="29" t="s">
        <v>1730</v>
      </c>
      <c r="AC428" s="59">
        <v>45432</v>
      </c>
      <c r="AD428" s="59">
        <v>45432</v>
      </c>
      <c r="AE428" s="59">
        <v>45435</v>
      </c>
      <c r="AF428" s="59">
        <v>45436</v>
      </c>
      <c r="AG428" s="59">
        <v>45446</v>
      </c>
      <c r="AH428" s="85">
        <v>45447</v>
      </c>
      <c r="AI428" s="29" t="s">
        <v>30</v>
      </c>
      <c r="AJ428" s="224">
        <v>45448</v>
      </c>
      <c r="AK428" s="85">
        <v>45457</v>
      </c>
      <c r="AL428" s="102"/>
      <c r="AM428" s="41" t="str">
        <f>VLOOKUP(Table2[[#This Row],[country]],Countrycode!A:B,2,FALSE)</f>
        <v>COD</v>
      </c>
      <c r="AN428" s="34">
        <f>IF(ISBLANK(Table2[[#This Row],[Need_RRA]]), 2,(IF(Table2[[#This Row],[Need_RRA]]="No", 0, (IF(AND(Table2[[#This Row],[Need_RRA]]="Yes",  Table2[[#This Row],[RRA_pub_date]]=""),1, 0)))))</f>
        <v>0</v>
      </c>
      <c r="AO428" s="34">
        <f>IF(ISBLANK(Table2[[#This Row],[Need_EIS]]), 2,(IF(Table2[[#This Row],[Need_EIS]]="No", 0, (IF(AND(Table2[[#This Row],[Need_EIS]]="Yes",  Table2[[#This Row],[EIS_pub_date]]=""),1, 0)))))</f>
        <v>0</v>
      </c>
      <c r="AP428" s="34">
        <f>IF(ISBLANK(Table2[[#This Row],[Need_DON]]), 2,(IF(Table2[[#This Row],[Need_DON]]="No", 0, (IF(AND(Table2[[#This Row],[Need_DON]]="Yes",  Table2[[#This Row],[DON_pub_date]]=""),1, 0)))))</f>
        <v>0</v>
      </c>
      <c r="AQ428" s="34">
        <f>IF(ISBLANK(Table2[[#This Row],[Pending_question]]), 2,(IF(Table2[[#This Row],[Pending_question]]="Yes", 1, 0)))</f>
        <v>0</v>
      </c>
      <c r="AR428" s="225"/>
    </row>
    <row r="429" spans="1:44" ht="17">
      <c r="A429" s="63">
        <v>45443</v>
      </c>
      <c r="B429" s="29" t="s">
        <v>15</v>
      </c>
      <c r="C429" s="34" t="str" cm="1">
        <f t="array" ref="C42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29" s="27" t="s">
        <v>1717</v>
      </c>
      <c r="E429" s="67" t="s">
        <v>99</v>
      </c>
      <c r="F429" s="29" t="s">
        <v>403</v>
      </c>
      <c r="G429" s="29" t="s">
        <v>34</v>
      </c>
      <c r="H429" s="59">
        <v>45443</v>
      </c>
      <c r="I429" s="223"/>
      <c r="J429" s="59">
        <v>45383</v>
      </c>
      <c r="K429" s="59" t="s">
        <v>1677</v>
      </c>
      <c r="L429" s="104" t="s">
        <v>1678</v>
      </c>
      <c r="M429" s="70" t="s">
        <v>19</v>
      </c>
      <c r="N429" s="223"/>
      <c r="O429" s="226"/>
      <c r="P429" s="55" t="s">
        <v>19</v>
      </c>
      <c r="Q429" s="84"/>
      <c r="R429" s="29"/>
      <c r="S429" s="29"/>
      <c r="T429" s="223"/>
      <c r="U429" s="29"/>
      <c r="V429" s="29"/>
      <c r="W429" s="29"/>
      <c r="X429" s="27"/>
      <c r="Y429" s="29" t="s">
        <v>30</v>
      </c>
      <c r="Z429" s="29" t="s">
        <v>42</v>
      </c>
      <c r="AA429" s="29" t="s">
        <v>22</v>
      </c>
      <c r="AB429" s="29" t="s">
        <v>1731</v>
      </c>
      <c r="AC429" s="59">
        <v>45442</v>
      </c>
      <c r="AD429" s="223">
        <v>45442</v>
      </c>
      <c r="AE429" s="59">
        <v>45443</v>
      </c>
      <c r="AF429" s="59">
        <v>45443</v>
      </c>
      <c r="AG429" s="85">
        <v>45447</v>
      </c>
      <c r="AH429" s="85">
        <v>45447</v>
      </c>
      <c r="AI429" s="29" t="s">
        <v>19</v>
      </c>
      <c r="AJ429" s="224"/>
      <c r="AK429" s="27"/>
      <c r="AL429" s="102"/>
      <c r="AM429" s="41" t="str">
        <f>VLOOKUP(Table2[[#This Row],[country]],Countrycode!A:B,2,FALSE)</f>
        <v>USA</v>
      </c>
      <c r="AN429" s="34">
        <f>IF(ISBLANK(Table2[[#This Row],[Need_RRA]]), 2,(IF(Table2[[#This Row],[Need_RRA]]="No", 0, (IF(AND(Table2[[#This Row],[Need_RRA]]="Yes",  Table2[[#This Row],[RRA_pub_date]]=""),1, 0)))))</f>
        <v>0</v>
      </c>
      <c r="AO429" s="34">
        <f>IF(ISBLANK(Table2[[#This Row],[Need_EIS]]), 2,(IF(Table2[[#This Row],[Need_EIS]]="No", 0, (IF(AND(Table2[[#This Row],[Need_EIS]]="Yes",  Table2[[#This Row],[EIS_pub_date]]=""),1, 0)))))</f>
        <v>0</v>
      </c>
      <c r="AP429" s="34">
        <f>IF(ISBLANK(Table2[[#This Row],[Need_DON]]), 2,(IF(Table2[[#This Row],[Need_DON]]="No", 0, (IF(AND(Table2[[#This Row],[Need_DON]]="Yes",  Table2[[#This Row],[DON_pub_date]]=""),1, 0)))))</f>
        <v>0</v>
      </c>
      <c r="AQ429" s="34">
        <f>IF(ISBLANK(Table2[[#This Row],[Pending_question]]), 2,(IF(Table2[[#This Row],[Pending_question]]="Yes", 1, 0)))</f>
        <v>0</v>
      </c>
      <c r="AR429" s="225"/>
    </row>
    <row r="430" spans="1:44" ht="17">
      <c r="A430" s="63">
        <v>45447</v>
      </c>
      <c r="B430" s="29" t="s">
        <v>15</v>
      </c>
      <c r="C430" s="34" t="str" cm="1">
        <f t="array" ref="C43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30" s="27" t="s">
        <v>1020</v>
      </c>
      <c r="E430" s="70" t="s">
        <v>667</v>
      </c>
      <c r="F430" s="54" t="s">
        <v>374</v>
      </c>
      <c r="G430" s="29" t="s">
        <v>34</v>
      </c>
      <c r="H430" s="55">
        <v>45447</v>
      </c>
      <c r="I430" s="59">
        <v>45464</v>
      </c>
      <c r="J430" s="59"/>
      <c r="K430" s="59">
        <v>45453</v>
      </c>
      <c r="L430" s="27"/>
      <c r="M430" s="70" t="s">
        <v>19</v>
      </c>
      <c r="N430" s="54"/>
      <c r="O430" s="26"/>
      <c r="P430" s="54" t="s">
        <v>19</v>
      </c>
      <c r="Q430" s="84"/>
      <c r="R430" s="54"/>
      <c r="S430" s="29"/>
      <c r="T430" s="223"/>
      <c r="U430" s="29"/>
      <c r="V430" s="29"/>
      <c r="W430" s="29"/>
      <c r="X430" s="27"/>
      <c r="Y430" s="29" t="s">
        <v>30</v>
      </c>
      <c r="Z430" s="29" t="s">
        <v>42</v>
      </c>
      <c r="AA430" s="29" t="s">
        <v>43</v>
      </c>
      <c r="AB430" s="277" t="s">
        <v>1732</v>
      </c>
      <c r="AC430" s="59">
        <v>45457</v>
      </c>
      <c r="AD430" s="59">
        <v>45460</v>
      </c>
      <c r="AE430" s="59">
        <v>45461</v>
      </c>
      <c r="AF430" s="59">
        <v>45468</v>
      </c>
      <c r="AG430" s="59">
        <v>45475</v>
      </c>
      <c r="AH430" s="85">
        <v>45475</v>
      </c>
      <c r="AI430" s="54" t="s">
        <v>30</v>
      </c>
      <c r="AJ430" s="139">
        <v>45476</v>
      </c>
      <c r="AK430" s="85">
        <v>45482</v>
      </c>
      <c r="AL430" s="102"/>
      <c r="AM430" s="41" t="str">
        <f>VLOOKUP(Table2[[#This Row],[country]],Countrycode!A:B,2,FALSE)</f>
        <v>ZAF</v>
      </c>
      <c r="AN430" s="34">
        <f>IF(ISBLANK(Table2[[#This Row],[Need_RRA]]), 2,(IF(Table2[[#This Row],[Need_RRA]]="No", 0, (IF(AND(Table2[[#This Row],[Need_RRA]]="Yes",  Table2[[#This Row],[RRA_pub_date]]=""),1, 0)))))</f>
        <v>0</v>
      </c>
      <c r="AO430" s="34">
        <f>IF(ISBLANK(Table2[[#This Row],[Need_EIS]]), 2,(IF(Table2[[#This Row],[Need_EIS]]="No", 0, (IF(AND(Table2[[#This Row],[Need_EIS]]="Yes",  Table2[[#This Row],[EIS_pub_date]]=""),1, 0)))))</f>
        <v>0</v>
      </c>
      <c r="AP430" s="34">
        <f>IF(ISBLANK(Table2[[#This Row],[Need_DON]]), 2,(IF(Table2[[#This Row],[Need_DON]]="No", 0, (IF(AND(Table2[[#This Row],[Need_DON]]="Yes",  Table2[[#This Row],[DON_pub_date]]=""),1, 0)))))</f>
        <v>0</v>
      </c>
      <c r="AQ430" s="34">
        <f>IF(ISBLANK(Table2[[#This Row],[Pending_question]]), 2,(IF(Table2[[#This Row],[Pending_question]]="Yes", 1, 0)))</f>
        <v>0</v>
      </c>
      <c r="AR430" s="225"/>
    </row>
    <row r="431" spans="1:44" ht="17">
      <c r="A431" s="63">
        <v>45448</v>
      </c>
      <c r="B431" s="29" t="s">
        <v>15</v>
      </c>
      <c r="C431" s="34" t="str" cm="1">
        <f t="array" ref="C43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31" s="27" t="s">
        <v>1020</v>
      </c>
      <c r="E431" s="70" t="s">
        <v>104</v>
      </c>
      <c r="F431" s="54" t="s">
        <v>173</v>
      </c>
      <c r="G431" s="29" t="s">
        <v>34</v>
      </c>
      <c r="H431" s="55">
        <v>45448</v>
      </c>
      <c r="I431" s="223"/>
      <c r="J431" s="59">
        <v>45449</v>
      </c>
      <c r="K431" s="59" t="s">
        <v>1733</v>
      </c>
      <c r="L431" s="104" t="s">
        <v>1734</v>
      </c>
      <c r="M431" s="70" t="s">
        <v>19</v>
      </c>
      <c r="N431" s="214"/>
      <c r="O431" s="215"/>
      <c r="P431" s="55" t="s">
        <v>19</v>
      </c>
      <c r="Q431" s="84"/>
      <c r="R431" s="54"/>
      <c r="S431" s="29"/>
      <c r="T431" s="223"/>
      <c r="U431" s="29"/>
      <c r="V431" s="29"/>
      <c r="W431" s="29"/>
      <c r="X431" s="27"/>
      <c r="Y431" s="29" t="s">
        <v>30</v>
      </c>
      <c r="Z431" s="29" t="s">
        <v>1735</v>
      </c>
      <c r="AA431" s="29" t="s">
        <v>22</v>
      </c>
      <c r="AB431" s="54" t="s">
        <v>1736</v>
      </c>
      <c r="AC431" s="59">
        <v>45448</v>
      </c>
      <c r="AD431" s="223">
        <v>45448</v>
      </c>
      <c r="AE431" s="59">
        <v>45449</v>
      </c>
      <c r="AF431" s="59">
        <v>45450</v>
      </c>
      <c r="AG431" s="59"/>
      <c r="AH431" s="85">
        <v>45454</v>
      </c>
      <c r="AI431" s="54" t="s">
        <v>19</v>
      </c>
      <c r="AJ431" s="224"/>
      <c r="AK431" s="27"/>
      <c r="AL431" s="102"/>
      <c r="AM431" s="41" t="str">
        <f>VLOOKUP(Table2[[#This Row],[country]],Countrycode!A:B,2,FALSE)</f>
        <v>CHN</v>
      </c>
      <c r="AN431" s="34">
        <f>IF(ISBLANK(Table2[[#This Row],[Need_RRA]]), 2,(IF(Table2[[#This Row],[Need_RRA]]="No", 0, (IF(AND(Table2[[#This Row],[Need_RRA]]="Yes",  Table2[[#This Row],[RRA_pub_date]]=""),1, 0)))))</f>
        <v>0</v>
      </c>
      <c r="AO431" s="34">
        <f>IF(ISBLANK(Table2[[#This Row],[Need_EIS]]), 2,(IF(Table2[[#This Row],[Need_EIS]]="No", 0, (IF(AND(Table2[[#This Row],[Need_EIS]]="Yes",  Table2[[#This Row],[EIS_pub_date]]=""),1, 0)))))</f>
        <v>0</v>
      </c>
      <c r="AP431" s="34">
        <f>IF(ISBLANK(Table2[[#This Row],[Need_DON]]), 2,(IF(Table2[[#This Row],[Need_DON]]="No", 0, (IF(AND(Table2[[#This Row],[Need_DON]]="Yes",  Table2[[#This Row],[DON_pub_date]]=""),1, 0)))))</f>
        <v>0</v>
      </c>
      <c r="AQ431" s="34">
        <f>IF(ISBLANK(Table2[[#This Row],[Pending_question]]), 2,(IF(Table2[[#This Row],[Pending_question]]="Yes", 1, 0)))</f>
        <v>0</v>
      </c>
      <c r="AR431" s="225"/>
    </row>
    <row r="432" spans="1:44" ht="17">
      <c r="A432" s="63">
        <v>45448</v>
      </c>
      <c r="B432" s="238" t="s">
        <v>15</v>
      </c>
      <c r="C432" s="34" t="str" cm="1">
        <f t="array" ref="C43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32" s="238" t="s">
        <v>1020</v>
      </c>
      <c r="E432" s="238" t="s">
        <v>110</v>
      </c>
      <c r="F432" s="238" t="s">
        <v>173</v>
      </c>
      <c r="G432" s="238" t="s">
        <v>34</v>
      </c>
      <c r="H432" s="239">
        <v>45448</v>
      </c>
      <c r="I432" s="293"/>
      <c r="J432" s="239">
        <v>45449</v>
      </c>
      <c r="K432" s="239" t="s">
        <v>1737</v>
      </c>
      <c r="L432" s="297" t="s">
        <v>1738</v>
      </c>
      <c r="M432" s="70" t="s">
        <v>19</v>
      </c>
      <c r="N432" s="293"/>
      <c r="O432" s="293"/>
      <c r="P432" s="239" t="s">
        <v>19</v>
      </c>
      <c r="Q432" s="266"/>
      <c r="R432" s="238"/>
      <c r="S432" s="29"/>
      <c r="T432" s="223"/>
      <c r="U432" s="29"/>
      <c r="V432" s="29"/>
      <c r="W432" s="29"/>
      <c r="X432" s="27"/>
      <c r="Y432" s="238" t="s">
        <v>30</v>
      </c>
      <c r="Z432" s="238" t="s">
        <v>42</v>
      </c>
      <c r="AA432" s="238" t="s">
        <v>22</v>
      </c>
      <c r="AB432" s="238" t="s">
        <v>1736</v>
      </c>
      <c r="AC432" s="239">
        <v>45448</v>
      </c>
      <c r="AD432" s="293">
        <v>45448</v>
      </c>
      <c r="AE432" s="239">
        <v>45449</v>
      </c>
      <c r="AF432" s="239">
        <v>45450</v>
      </c>
      <c r="AG432" s="239"/>
      <c r="AH432" s="239">
        <v>45454</v>
      </c>
      <c r="AI432" s="238" t="s">
        <v>19</v>
      </c>
      <c r="AJ432" s="293"/>
      <c r="AK432" s="238"/>
      <c r="AL432" s="238"/>
      <c r="AM432" s="41" t="str">
        <f>VLOOKUP(Table2[[#This Row],[country]],Countrycode!A:B,2,FALSE)</f>
        <v>CHN</v>
      </c>
      <c r="AN432" s="34">
        <f>IF(ISBLANK(Table2[[#This Row],[Need_RRA]]), 2,(IF(Table2[[#This Row],[Need_RRA]]="No", 0, (IF(AND(Table2[[#This Row],[Need_RRA]]="Yes",  Table2[[#This Row],[RRA_pub_date]]=""),1, 0)))))</f>
        <v>0</v>
      </c>
      <c r="AO432" s="34">
        <f>IF(ISBLANK(Table2[[#This Row],[Need_EIS]]), 2,(IF(Table2[[#This Row],[Need_EIS]]="No", 0, (IF(AND(Table2[[#This Row],[Need_EIS]]="Yes",  Table2[[#This Row],[EIS_pub_date]]=""),1, 0)))))</f>
        <v>0</v>
      </c>
      <c r="AP432" s="34">
        <f>IF(ISBLANK(Table2[[#This Row],[Need_DON]]), 2,(IF(Table2[[#This Row],[Need_DON]]="No", 0, (IF(AND(Table2[[#This Row],[Need_DON]]="Yes",  Table2[[#This Row],[DON_pub_date]]=""),1, 0)))))</f>
        <v>0</v>
      </c>
      <c r="AQ432" s="34">
        <f>IF(ISBLANK(Table2[[#This Row],[Pending_question]]), 2,(IF(Table2[[#This Row],[Pending_question]]="Yes", 1, 0)))</f>
        <v>0</v>
      </c>
      <c r="AR432" s="225"/>
    </row>
    <row r="433" spans="1:44" ht="17">
      <c r="A433" s="63">
        <v>45451</v>
      </c>
      <c r="B433" s="238" t="s">
        <v>15</v>
      </c>
      <c r="C433" s="34" t="str" cm="1">
        <f t="array" ref="C43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33" s="238" t="s">
        <v>459</v>
      </c>
      <c r="E433" s="238" t="s">
        <v>122</v>
      </c>
      <c r="F433" s="238" t="s">
        <v>133</v>
      </c>
      <c r="G433" s="238" t="s">
        <v>34</v>
      </c>
      <c r="H433" s="239">
        <v>45451</v>
      </c>
      <c r="I433" s="238"/>
      <c r="J433" s="239">
        <v>45452</v>
      </c>
      <c r="K433" s="239"/>
      <c r="L433" s="354" t="s">
        <v>1739</v>
      </c>
      <c r="M433" s="70" t="s">
        <v>19</v>
      </c>
      <c r="N433" s="238" t="s">
        <v>19</v>
      </c>
      <c r="O433" s="238"/>
      <c r="P433" s="238" t="s">
        <v>19</v>
      </c>
      <c r="Q433" s="266"/>
      <c r="R433" s="238"/>
      <c r="S433" s="29"/>
      <c r="T433" s="223"/>
      <c r="U433" s="29"/>
      <c r="V433" s="29"/>
      <c r="W433" s="29"/>
      <c r="X433" s="27"/>
      <c r="Y433" s="238" t="s">
        <v>30</v>
      </c>
      <c r="Z433" s="238" t="s">
        <v>42</v>
      </c>
      <c r="AA433" s="238" t="s">
        <v>43</v>
      </c>
      <c r="AB433" s="238" t="s">
        <v>1740</v>
      </c>
      <c r="AC433" s="239">
        <v>45454</v>
      </c>
      <c r="AD433" s="239">
        <v>45453</v>
      </c>
      <c r="AE433" s="239">
        <v>45455</v>
      </c>
      <c r="AF433" s="238"/>
      <c r="AG433" s="238"/>
      <c r="AH433" s="239">
        <v>45457</v>
      </c>
      <c r="AI433" s="238" t="s">
        <v>19</v>
      </c>
      <c r="AJ433" s="239"/>
      <c r="AK433" s="238"/>
      <c r="AL433" s="238"/>
      <c r="AM433" s="41" t="str">
        <f>VLOOKUP(Table2[[#This Row],[country]],Countrycode!A:B,2,FALSE)</f>
        <v>BOL</v>
      </c>
      <c r="AN433" s="34">
        <f>IF(ISBLANK(Table2[[#This Row],[Need_RRA]]), 2,(IF(Table2[[#This Row],[Need_RRA]]="No", 0, (IF(AND(Table2[[#This Row],[Need_RRA]]="Yes",  Table2[[#This Row],[RRA_pub_date]]=""),1, 0)))))</f>
        <v>0</v>
      </c>
      <c r="AO433" s="34">
        <f>IF(ISBLANK(Table2[[#This Row],[Need_EIS]]), 2,(IF(Table2[[#This Row],[Need_EIS]]="No", 0, (IF(AND(Table2[[#This Row],[Need_EIS]]="Yes",  Table2[[#This Row],[EIS_pub_date]]=""),1, 0)))))</f>
        <v>0</v>
      </c>
      <c r="AP433" s="34">
        <f>IF(ISBLANK(Table2[[#This Row],[Need_DON]]), 2,(IF(Table2[[#This Row],[Need_DON]]="No", 0, (IF(AND(Table2[[#This Row],[Need_DON]]="Yes",  Table2[[#This Row],[DON_pub_date]]=""),1, 0)))))</f>
        <v>0</v>
      </c>
      <c r="AQ433" s="34">
        <f>IF(ISBLANK(Table2[[#This Row],[Pending_question]]), 2,(IF(Table2[[#This Row],[Pending_question]]="Yes", 1, 0)))</f>
        <v>0</v>
      </c>
      <c r="AR433" s="225"/>
    </row>
    <row r="434" spans="1:44" ht="17">
      <c r="A434" s="63">
        <v>45451</v>
      </c>
      <c r="B434" s="238" t="s">
        <v>15</v>
      </c>
      <c r="C434" s="34" t="str" cm="1">
        <f t="array" ref="C43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34" s="238" t="s">
        <v>1741</v>
      </c>
      <c r="E434" s="238" t="s">
        <v>1718</v>
      </c>
      <c r="F434" s="238" t="s">
        <v>311</v>
      </c>
      <c r="G434" s="238"/>
      <c r="H434" s="238"/>
      <c r="I434" s="238"/>
      <c r="J434" s="238"/>
      <c r="K434" s="238"/>
      <c r="L434" s="238"/>
      <c r="M434" s="70" t="s">
        <v>19</v>
      </c>
      <c r="N434" s="238"/>
      <c r="O434" s="238"/>
      <c r="P434" s="238" t="s">
        <v>19</v>
      </c>
      <c r="Q434" s="266"/>
      <c r="R434" s="238"/>
      <c r="S434" s="29"/>
      <c r="T434" s="223"/>
      <c r="U434" s="29"/>
      <c r="V434" s="29"/>
      <c r="W434" s="29"/>
      <c r="X434" s="27"/>
      <c r="Y434" s="238" t="s">
        <v>19</v>
      </c>
      <c r="Z434" s="238" t="s">
        <v>42</v>
      </c>
      <c r="AA434" s="238" t="s">
        <v>43</v>
      </c>
      <c r="AB434" s="238"/>
      <c r="AC434" s="238"/>
      <c r="AD434" s="239"/>
      <c r="AE434" s="238"/>
      <c r="AF434" s="238"/>
      <c r="AG434" s="238"/>
      <c r="AH434" s="238"/>
      <c r="AI434" s="238" t="s">
        <v>30</v>
      </c>
      <c r="AJ434" s="239">
        <v>45451</v>
      </c>
      <c r="AK434" s="239">
        <v>45457</v>
      </c>
      <c r="AL434" s="238" t="s">
        <v>1742</v>
      </c>
      <c r="AM434" s="41" t="str">
        <f>VLOOKUP(Table2[[#This Row],[country]],Countrycode!A:B,2,FALSE)</f>
        <v>MEX</v>
      </c>
      <c r="AN434" s="34">
        <f>IF(ISBLANK(Table2[[#This Row],[Need_RRA]]), 2,(IF(Table2[[#This Row],[Need_RRA]]="No", 0, (IF(AND(Table2[[#This Row],[Need_RRA]]="Yes",  Table2[[#This Row],[RRA_pub_date]]=""),1, 0)))))</f>
        <v>0</v>
      </c>
      <c r="AO434" s="34">
        <f>IF(ISBLANK(Table2[[#This Row],[Need_EIS]]), 2,(IF(Table2[[#This Row],[Need_EIS]]="No", 0, (IF(AND(Table2[[#This Row],[Need_EIS]]="Yes",  Table2[[#This Row],[EIS_pub_date]]=""),1, 0)))))</f>
        <v>0</v>
      </c>
      <c r="AP434" s="34">
        <f>IF(ISBLANK(Table2[[#This Row],[Need_DON]]), 2,(IF(Table2[[#This Row],[Need_DON]]="No", 0, (IF(AND(Table2[[#This Row],[Need_DON]]="Yes",  Table2[[#This Row],[DON_pub_date]]=""),1, 0)))))</f>
        <v>0</v>
      </c>
      <c r="AQ434" s="34">
        <f>IF(ISBLANK(Table2[[#This Row],[Pending_question]]), 2,(IF(Table2[[#This Row],[Pending_question]]="Yes", 1, 0)))</f>
        <v>0</v>
      </c>
      <c r="AR434" s="225"/>
    </row>
    <row r="435" spans="1:44" ht="17">
      <c r="A435" s="63">
        <v>45456</v>
      </c>
      <c r="B435" s="238" t="s">
        <v>15</v>
      </c>
      <c r="C435" s="34" t="str" cm="1">
        <f t="array" ref="C43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35" s="238" t="s">
        <v>1743</v>
      </c>
      <c r="E435" s="238" t="s">
        <v>128</v>
      </c>
      <c r="F435" s="238" t="s">
        <v>328</v>
      </c>
      <c r="G435" s="238" t="s">
        <v>34</v>
      </c>
      <c r="H435" s="239">
        <v>45456</v>
      </c>
      <c r="I435" s="293"/>
      <c r="J435" s="239"/>
      <c r="K435" s="239"/>
      <c r="L435" s="182"/>
      <c r="M435" s="70" t="s">
        <v>19</v>
      </c>
      <c r="N435" s="293"/>
      <c r="O435" s="293"/>
      <c r="P435" s="238" t="s">
        <v>30</v>
      </c>
      <c r="Q435" s="266">
        <v>1</v>
      </c>
      <c r="R435" s="238" t="s">
        <v>1744</v>
      </c>
      <c r="S435" s="150">
        <v>45468</v>
      </c>
      <c r="T435" s="59">
        <v>45469</v>
      </c>
      <c r="U435" s="59">
        <v>45504</v>
      </c>
      <c r="V435" s="29" t="s">
        <v>41</v>
      </c>
      <c r="W435" s="29" t="s">
        <v>1745</v>
      </c>
      <c r="X435" s="27" t="s">
        <v>51</v>
      </c>
      <c r="Y435" s="238" t="s">
        <v>19</v>
      </c>
      <c r="Z435" s="238"/>
      <c r="AD435" s="339"/>
      <c r="AE435" s="239"/>
      <c r="AF435" s="239"/>
      <c r="AG435" s="239"/>
      <c r="AH435" s="239"/>
      <c r="AI435" s="238" t="s">
        <v>19</v>
      </c>
      <c r="AJ435" s="275"/>
      <c r="AM435" s="41" t="str">
        <f>VLOOKUP(Table2[[#This Row],[country]],Countrycode!A:B,2,FALSE)</f>
        <v>NGA</v>
      </c>
      <c r="AN435" s="34">
        <f>IF(ISBLANK(Table2[[#This Row],[Need_RRA]]), 2,(IF(Table2[[#This Row],[Need_RRA]]="No", 0, (IF(AND(Table2[[#This Row],[Need_RRA]]="Yes",  Table2[[#This Row],[RRA_pub_date]]=""),1, 0)))))</f>
        <v>0</v>
      </c>
      <c r="AO435" s="34">
        <f>IF(ISBLANK(Table2[[#This Row],[Need_EIS]]), 2,(IF(Table2[[#This Row],[Need_EIS]]="No", 0, (IF(AND(Table2[[#This Row],[Need_EIS]]="Yes",  Table2[[#This Row],[EIS_pub_date]]=""),1, 0)))))</f>
        <v>0</v>
      </c>
      <c r="AP435" s="34">
        <f>IF(ISBLANK(Table2[[#This Row],[Need_DON]]), 2,(IF(Table2[[#This Row],[Need_DON]]="No", 0, (IF(AND(Table2[[#This Row],[Need_DON]]="Yes",  Table2[[#This Row],[DON_pub_date]]=""),1, 0)))))</f>
        <v>0</v>
      </c>
      <c r="AQ435" s="34">
        <f>IF(ISBLANK(Table2[[#This Row],[Pending_question]]), 2,(IF(Table2[[#This Row],[Pending_question]]="Yes", 1, 0)))</f>
        <v>0</v>
      </c>
      <c r="AR435" s="225"/>
    </row>
    <row r="436" spans="1:44" ht="15" customHeight="1">
      <c r="A436" s="63">
        <v>45457</v>
      </c>
      <c r="B436" s="238" t="s">
        <v>15</v>
      </c>
      <c r="C436" s="34" t="str" cm="1">
        <f t="array" ref="C43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36" s="238" t="s">
        <v>1570</v>
      </c>
      <c r="E436" s="238" t="s">
        <v>194</v>
      </c>
      <c r="F436" s="238" t="s">
        <v>397</v>
      </c>
      <c r="G436" s="238" t="s">
        <v>34</v>
      </c>
      <c r="H436" s="238"/>
      <c r="I436" s="238"/>
      <c r="J436" s="239">
        <v>45457</v>
      </c>
      <c r="K436" s="238" t="s">
        <v>1746</v>
      </c>
      <c r="L436" s="313" t="s">
        <v>1747</v>
      </c>
      <c r="M436" s="70" t="s">
        <v>19</v>
      </c>
      <c r="N436" s="238"/>
      <c r="O436" s="238"/>
      <c r="P436" s="238" t="s">
        <v>19</v>
      </c>
      <c r="Q436" s="266"/>
      <c r="R436" s="238"/>
      <c r="S436" s="238"/>
      <c r="T436" s="223"/>
      <c r="U436" s="29"/>
      <c r="V436" s="29"/>
      <c r="W436" s="29"/>
      <c r="X436" s="27"/>
      <c r="Y436" s="16" t="s">
        <v>30</v>
      </c>
      <c r="Z436" s="16" t="s">
        <v>42</v>
      </c>
      <c r="AA436" s="16" t="s">
        <v>43</v>
      </c>
      <c r="AB436" s="380" t="s">
        <v>1748</v>
      </c>
      <c r="AC436" s="63">
        <v>45450</v>
      </c>
      <c r="AD436" s="63">
        <v>45450</v>
      </c>
      <c r="AE436" s="59">
        <v>45453</v>
      </c>
      <c r="AF436" s="29"/>
      <c r="AG436" s="59">
        <v>45457</v>
      </c>
      <c r="AH436" s="85">
        <v>45460</v>
      </c>
      <c r="AI436" s="238" t="s">
        <v>19</v>
      </c>
      <c r="AJ436" s="139"/>
      <c r="AM436" s="41" t="str">
        <f>VLOOKUP(Table2[[#This Row],[country]],Countrycode!A:B,2,FALSE)</f>
        <v>UGA</v>
      </c>
      <c r="AN436" s="34">
        <f>IF(ISBLANK(Table2[[#This Row],[Need_RRA]]), 2,(IF(Table2[[#This Row],[Need_RRA]]="No", 0, (IF(AND(Table2[[#This Row],[Need_RRA]]="Yes",  Table2[[#This Row],[RRA_pub_date]]=""),1, 0)))))</f>
        <v>0</v>
      </c>
      <c r="AO436" s="34">
        <f>IF(ISBLANK(Table2[[#This Row],[Need_EIS]]), 2,(IF(Table2[[#This Row],[Need_EIS]]="No", 0, (IF(AND(Table2[[#This Row],[Need_EIS]]="Yes",  Table2[[#This Row],[EIS_pub_date]]=""),1, 0)))))</f>
        <v>0</v>
      </c>
      <c r="AP436" s="34">
        <f>IF(ISBLANK(Table2[[#This Row],[Need_DON]]), 2,(IF(Table2[[#This Row],[Need_DON]]="No", 0, (IF(AND(Table2[[#This Row],[Need_DON]]="Yes",  Table2[[#This Row],[DON_pub_date]]=""),1, 0)))))</f>
        <v>0</v>
      </c>
      <c r="AQ436" s="34">
        <f>IF(ISBLANK(Table2[[#This Row],[Pending_question]]), 2,(IF(Table2[[#This Row],[Pending_question]]="Yes", 1, 0)))</f>
        <v>0</v>
      </c>
      <c r="AR436" s="225"/>
    </row>
    <row r="437" spans="1:44" ht="15" customHeight="1">
      <c r="A437" s="63">
        <v>45462</v>
      </c>
      <c r="B437" s="16" t="s">
        <v>15</v>
      </c>
      <c r="C437" s="34" t="str" cm="1">
        <f t="array" ref="C43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37" s="32" t="s">
        <v>1749</v>
      </c>
      <c r="E437" s="16" t="s">
        <v>99</v>
      </c>
      <c r="F437" s="16" t="s">
        <v>39</v>
      </c>
      <c r="G437" s="16" t="s">
        <v>1082</v>
      </c>
      <c r="H437" s="63">
        <v>45462</v>
      </c>
      <c r="I437" s="29"/>
      <c r="J437" s="59">
        <v>45477</v>
      </c>
      <c r="K437" s="59" t="s">
        <v>1677</v>
      </c>
      <c r="L437" s="184" t="s">
        <v>1750</v>
      </c>
      <c r="M437" s="70" t="s">
        <v>19</v>
      </c>
      <c r="N437" s="54"/>
      <c r="O437" s="26"/>
      <c r="P437" s="16" t="s">
        <v>30</v>
      </c>
      <c r="Q437" s="88">
        <v>1</v>
      </c>
      <c r="R437" s="16" t="s">
        <v>1751</v>
      </c>
      <c r="S437" s="63">
        <v>45462</v>
      </c>
      <c r="T437" s="339">
        <v>45462</v>
      </c>
      <c r="U437" s="63">
        <v>45486</v>
      </c>
      <c r="V437" s="16" t="s">
        <v>34</v>
      </c>
      <c r="W437" s="16" t="s">
        <v>51</v>
      </c>
      <c r="Y437" s="54" t="s">
        <v>19</v>
      </c>
      <c r="Z437" s="29"/>
      <c r="AA437" s="29"/>
      <c r="AB437" s="54"/>
      <c r="AC437" s="29"/>
      <c r="AD437" s="59"/>
      <c r="AE437" s="59"/>
      <c r="AF437" s="59"/>
      <c r="AG437" s="59"/>
      <c r="AH437" s="85"/>
      <c r="AI437" s="54" t="s">
        <v>19</v>
      </c>
      <c r="AJ437" s="224"/>
      <c r="AK437" s="27"/>
      <c r="AL437" s="102" t="s">
        <v>1752</v>
      </c>
      <c r="AM437" s="41" t="str">
        <f>VLOOKUP(Table2[[#This Row],[country]],Countrycode!A:B,2,FALSE)</f>
        <v>MLX</v>
      </c>
      <c r="AN437" s="34">
        <f>IF(ISBLANK(Table2[[#This Row],[Need_RRA]]), 2,(IF(Table2[[#This Row],[Need_RRA]]="No", 0, (IF(AND(Table2[[#This Row],[Need_RRA]]="Yes",  Table2[[#This Row],[RRA_pub_date]]=""),1, 0)))))</f>
        <v>0</v>
      </c>
      <c r="AO437" s="34">
        <f>IF(ISBLANK(Table2[[#This Row],[Need_EIS]]), 2,(IF(Table2[[#This Row],[Need_EIS]]="No", 0, (IF(AND(Table2[[#This Row],[Need_EIS]]="Yes",  Table2[[#This Row],[EIS_pub_date]]=""),1, 0)))))</f>
        <v>0</v>
      </c>
      <c r="AP437" s="34">
        <f>IF(ISBLANK(Table2[[#This Row],[Need_DON]]), 2,(IF(Table2[[#This Row],[Need_DON]]="No", 0, (IF(AND(Table2[[#This Row],[Need_DON]]="Yes",  Table2[[#This Row],[DON_pub_date]]=""),1, 0)))))</f>
        <v>0</v>
      </c>
      <c r="AQ437" s="34">
        <f>IF(ISBLANK(Table2[[#This Row],[Pending_question]]), 2,(IF(Table2[[#This Row],[Pending_question]]="Yes", 1, 0)))</f>
        <v>0</v>
      </c>
      <c r="AR437" s="225"/>
    </row>
    <row r="438" spans="1:44" ht="15" customHeight="1">
      <c r="A438" s="63">
        <v>45476</v>
      </c>
      <c r="B438" s="29" t="s">
        <v>15</v>
      </c>
      <c r="C438" s="34" t="str" cm="1">
        <f t="array" ref="C43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38" s="27" t="s">
        <v>1233</v>
      </c>
      <c r="E438" s="70" t="s">
        <v>110</v>
      </c>
      <c r="F438" s="54" t="s">
        <v>173</v>
      </c>
      <c r="G438" s="29" t="s">
        <v>34</v>
      </c>
      <c r="H438" s="55">
        <v>45476</v>
      </c>
      <c r="I438" s="223"/>
      <c r="J438" s="59">
        <v>45477</v>
      </c>
      <c r="K438" s="59" t="s">
        <v>1753</v>
      </c>
      <c r="L438" s="104" t="s">
        <v>1754</v>
      </c>
      <c r="M438" s="70" t="s">
        <v>19</v>
      </c>
      <c r="N438" s="214"/>
      <c r="O438" s="215"/>
      <c r="P438" s="55" t="s">
        <v>19</v>
      </c>
      <c r="Q438" s="84"/>
      <c r="R438" s="54"/>
      <c r="S438" s="150"/>
      <c r="T438" s="223"/>
      <c r="U438" s="29"/>
      <c r="V438" s="29"/>
      <c r="W438" s="29"/>
      <c r="X438" s="27"/>
      <c r="Y438" s="54" t="s">
        <v>30</v>
      </c>
      <c r="Z438" s="29" t="s">
        <v>21</v>
      </c>
      <c r="AA438" s="29" t="s">
        <v>22</v>
      </c>
      <c r="AB438" s="54" t="s">
        <v>1755</v>
      </c>
      <c r="AC438" s="59">
        <v>45476</v>
      </c>
      <c r="AD438" s="223">
        <v>45477</v>
      </c>
      <c r="AE438" s="59">
        <v>45481</v>
      </c>
      <c r="AF438" s="59"/>
      <c r="AG438" s="59">
        <v>45488</v>
      </c>
      <c r="AH438" s="85">
        <v>45488</v>
      </c>
      <c r="AI438" s="54" t="s">
        <v>19</v>
      </c>
      <c r="AJ438" s="224"/>
      <c r="AK438" s="198"/>
      <c r="AL438" s="102"/>
      <c r="AM438" s="41" t="str">
        <f>VLOOKUP(Table2[[#This Row],[country]],Countrycode!A:B,2,FALSE)</f>
        <v>CHN</v>
      </c>
      <c r="AN438" s="34">
        <f>IF(ISBLANK(Table2[[#This Row],[Need_RRA]]), 2,(IF(Table2[[#This Row],[Need_RRA]]="No", 0, (IF(AND(Table2[[#This Row],[Need_RRA]]="Yes",  Table2[[#This Row],[RRA_pub_date]]=""),1, 0)))))</f>
        <v>0</v>
      </c>
      <c r="AO438" s="34">
        <f>IF(ISBLANK(Table2[[#This Row],[Need_EIS]]), 2,(IF(Table2[[#This Row],[Need_EIS]]="No", 0, (IF(AND(Table2[[#This Row],[Need_EIS]]="Yes",  Table2[[#This Row],[EIS_pub_date]]=""),1, 0)))))</f>
        <v>0</v>
      </c>
      <c r="AP438" s="34">
        <f>IF(ISBLANK(Table2[[#This Row],[Need_DON]]), 2,(IF(Table2[[#This Row],[Need_DON]]="No", 0, (IF(AND(Table2[[#This Row],[Need_DON]]="Yes",  Table2[[#This Row],[DON_pub_date]]=""),1, 0)))))</f>
        <v>0</v>
      </c>
      <c r="AQ438" s="34">
        <f>IF(ISBLANK(Table2[[#This Row],[Pending_question]]), 2,(IF(Table2[[#This Row],[Pending_question]]="Yes", 1, 0)))</f>
        <v>0</v>
      </c>
      <c r="AR438" s="225"/>
    </row>
    <row r="439" spans="1:44" ht="15" customHeight="1">
      <c r="A439" s="63">
        <v>45476</v>
      </c>
      <c r="B439" s="29" t="s">
        <v>15</v>
      </c>
      <c r="C439" s="34" t="str" cm="1">
        <f t="array" ref="C43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39" s="27" t="s">
        <v>1233</v>
      </c>
      <c r="E439" s="70" t="s">
        <v>104</v>
      </c>
      <c r="F439" s="54" t="s">
        <v>173</v>
      </c>
      <c r="G439" s="29" t="s">
        <v>34</v>
      </c>
      <c r="H439" s="55">
        <v>45476</v>
      </c>
      <c r="I439" s="223"/>
      <c r="J439" s="59">
        <v>45477</v>
      </c>
      <c r="K439" s="59" t="s">
        <v>1756</v>
      </c>
      <c r="L439" s="104" t="s">
        <v>1757</v>
      </c>
      <c r="M439" s="70" t="s">
        <v>19</v>
      </c>
      <c r="N439" s="214"/>
      <c r="O439" s="215"/>
      <c r="P439" s="55" t="s">
        <v>19</v>
      </c>
      <c r="Q439" s="84"/>
      <c r="R439" s="54"/>
      <c r="S439" s="150"/>
      <c r="T439" s="223"/>
      <c r="U439" s="29"/>
      <c r="V439" s="29"/>
      <c r="W439" s="29"/>
      <c r="X439" s="27"/>
      <c r="Y439" s="54" t="s">
        <v>30</v>
      </c>
      <c r="Z439" s="29" t="s">
        <v>21</v>
      </c>
      <c r="AA439" s="29" t="s">
        <v>22</v>
      </c>
      <c r="AB439" s="54" t="s">
        <v>1758</v>
      </c>
      <c r="AC439" s="59">
        <v>45476</v>
      </c>
      <c r="AD439" s="223">
        <v>45477</v>
      </c>
      <c r="AE439" s="59">
        <v>45481</v>
      </c>
      <c r="AF439" s="59">
        <v>45482</v>
      </c>
      <c r="AG439" s="59">
        <v>45491</v>
      </c>
      <c r="AH439" s="85">
        <v>45492</v>
      </c>
      <c r="AI439" s="54" t="s">
        <v>19</v>
      </c>
      <c r="AJ439" s="224"/>
      <c r="AK439" s="27"/>
      <c r="AL439" s="102"/>
      <c r="AM439" s="41" t="str">
        <f>VLOOKUP(Table2[[#This Row],[country]],Countrycode!A:B,2,FALSE)</f>
        <v>CHN</v>
      </c>
      <c r="AN439" s="34">
        <f>IF(ISBLANK(Table2[[#This Row],[Need_RRA]]), 2,(IF(Table2[[#This Row],[Need_RRA]]="No", 0, (IF(AND(Table2[[#This Row],[Need_RRA]]="Yes",  Table2[[#This Row],[RRA_pub_date]]=""),1, 0)))))</f>
        <v>0</v>
      </c>
      <c r="AO439" s="34">
        <f>IF(ISBLANK(Table2[[#This Row],[Need_EIS]]), 2,(IF(Table2[[#This Row],[Need_EIS]]="No", 0, (IF(AND(Table2[[#This Row],[Need_EIS]]="Yes",  Table2[[#This Row],[EIS_pub_date]]=""),1, 0)))))</f>
        <v>0</v>
      </c>
      <c r="AP439" s="34">
        <f>IF(ISBLANK(Table2[[#This Row],[Need_DON]]), 2,(IF(Table2[[#This Row],[Need_DON]]="No", 0, (IF(AND(Table2[[#This Row],[Need_DON]]="Yes",  Table2[[#This Row],[DON_pub_date]]=""),1, 0)))))</f>
        <v>0</v>
      </c>
      <c r="AQ439" s="34">
        <f>IF(ISBLANK(Table2[[#This Row],[Pending_question]]), 2,(IF(Table2[[#This Row],[Pending_question]]="Yes", 1, 0)))</f>
        <v>0</v>
      </c>
      <c r="AR439" s="225"/>
    </row>
    <row r="440" spans="1:44" ht="15" customHeight="1">
      <c r="A440" s="63">
        <v>45476</v>
      </c>
      <c r="B440" s="29" t="s">
        <v>15</v>
      </c>
      <c r="C440" s="34" t="str" cm="1">
        <f t="array" ref="C44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40" s="27" t="s">
        <v>1233</v>
      </c>
      <c r="E440" s="70" t="s">
        <v>136</v>
      </c>
      <c r="F440" s="54" t="s">
        <v>276</v>
      </c>
      <c r="G440" s="29" t="s">
        <v>34</v>
      </c>
      <c r="H440" s="55">
        <v>45476</v>
      </c>
      <c r="I440" s="223"/>
      <c r="J440" s="59"/>
      <c r="K440" s="59"/>
      <c r="L440" s="104"/>
      <c r="M440" s="70" t="s">
        <v>19</v>
      </c>
      <c r="N440" s="214"/>
      <c r="O440" s="215"/>
      <c r="P440" s="55" t="s">
        <v>19</v>
      </c>
      <c r="Q440" s="84"/>
      <c r="R440" s="54"/>
      <c r="S440" s="150"/>
      <c r="T440" s="223"/>
      <c r="U440" s="29"/>
      <c r="V440" s="29"/>
      <c r="W440" s="29"/>
      <c r="X440" s="27"/>
      <c r="Y440" s="54" t="s">
        <v>30</v>
      </c>
      <c r="Z440" s="29" t="s">
        <v>42</v>
      </c>
      <c r="AA440" s="29" t="s">
        <v>22</v>
      </c>
      <c r="AB440" s="54" t="s">
        <v>1759</v>
      </c>
      <c r="AC440" s="59">
        <v>45474</v>
      </c>
      <c r="AD440" s="223">
        <v>45476</v>
      </c>
      <c r="AE440" s="59">
        <v>45477</v>
      </c>
      <c r="AF440" s="59"/>
      <c r="AG440" s="59">
        <v>45487</v>
      </c>
      <c r="AH440" s="85">
        <v>45488</v>
      </c>
      <c r="AI440" s="54" t="s">
        <v>30</v>
      </c>
      <c r="AJ440" s="224">
        <v>45489</v>
      </c>
      <c r="AK440" s="226">
        <v>45495</v>
      </c>
      <c r="AL440" s="102"/>
      <c r="AM440" s="41" t="e">
        <f>VLOOKUP(Table2[[#This Row],[country]],Countrycode!A:B,2,FALSE)</f>
        <v>#N/A</v>
      </c>
      <c r="AN440" s="34">
        <f>IF(ISBLANK(Table2[[#This Row],[Need_RRA]]), 2,(IF(Table2[[#This Row],[Need_RRA]]="No", 0, (IF(AND(Table2[[#This Row],[Need_RRA]]="Yes",  Table2[[#This Row],[RRA_pub_date]]=""),1, 0)))))</f>
        <v>0</v>
      </c>
      <c r="AO440" s="34">
        <f>IF(ISBLANK(Table2[[#This Row],[Need_EIS]]), 2,(IF(Table2[[#This Row],[Need_EIS]]="No", 0, (IF(AND(Table2[[#This Row],[Need_EIS]]="Yes",  Table2[[#This Row],[EIS_pub_date]]=""),1, 0)))))</f>
        <v>0</v>
      </c>
      <c r="AP440" s="34">
        <f>IF(ISBLANK(Table2[[#This Row],[Need_DON]]), 2,(IF(Table2[[#This Row],[Need_DON]]="No", 0, (IF(AND(Table2[[#This Row],[Need_DON]]="Yes",  Table2[[#This Row],[DON_pub_date]]=""),1, 0)))))</f>
        <v>0</v>
      </c>
      <c r="AQ440" s="34">
        <f>IF(ISBLANK(Table2[[#This Row],[Pending_question]]), 2,(IF(Table2[[#This Row],[Pending_question]]="Yes", 1, 0)))</f>
        <v>0</v>
      </c>
      <c r="AR440" s="225"/>
    </row>
    <row r="441" spans="1:44" ht="15" customHeight="1">
      <c r="A441" s="63">
        <v>45481</v>
      </c>
      <c r="B441" s="29" t="s">
        <v>15</v>
      </c>
      <c r="C441" s="34" t="str" cm="1">
        <f t="array" ref="C44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41" s="27" t="s">
        <v>1760</v>
      </c>
      <c r="E441" s="70" t="s">
        <v>128</v>
      </c>
      <c r="F441" s="54" t="s">
        <v>319</v>
      </c>
      <c r="G441" s="29" t="s">
        <v>34</v>
      </c>
      <c r="H441" s="55"/>
      <c r="I441" s="293"/>
      <c r="J441" s="59">
        <v>45481</v>
      </c>
      <c r="K441" s="59" t="s">
        <v>1761</v>
      </c>
      <c r="L441" s="104" t="s">
        <v>1762</v>
      </c>
      <c r="M441" s="70" t="s">
        <v>19</v>
      </c>
      <c r="N441" s="214"/>
      <c r="O441" s="215"/>
      <c r="P441" s="55" t="s">
        <v>30</v>
      </c>
      <c r="Q441" s="84">
        <v>1</v>
      </c>
      <c r="R441" s="54" t="s">
        <v>1763</v>
      </c>
      <c r="S441" s="59">
        <v>45489</v>
      </c>
      <c r="T441" s="223">
        <v>45495</v>
      </c>
      <c r="U441" s="59">
        <v>45512</v>
      </c>
      <c r="V441" s="29" t="s">
        <v>1764</v>
      </c>
      <c r="W441" s="29" t="s">
        <v>32</v>
      </c>
      <c r="X441" s="27" t="s">
        <v>51</v>
      </c>
      <c r="Y441" s="54" t="s">
        <v>19</v>
      </c>
      <c r="Z441" s="29" t="s">
        <v>33</v>
      </c>
      <c r="AA441" s="29" t="s">
        <v>22</v>
      </c>
      <c r="AB441" s="54" t="s">
        <v>1765</v>
      </c>
      <c r="AC441" s="59">
        <v>45492</v>
      </c>
      <c r="AD441" s="223">
        <v>45493</v>
      </c>
      <c r="AE441" s="59"/>
      <c r="AF441" s="29"/>
      <c r="AG441" s="59"/>
      <c r="AH441" s="85"/>
      <c r="AI441" s="54" t="s">
        <v>31</v>
      </c>
      <c r="AJ441" s="224"/>
      <c r="AK441" s="27"/>
      <c r="AL441" s="102"/>
      <c r="AM441" s="41" t="str">
        <f>VLOOKUP(Table2[[#This Row],[country]],Countrycode!A:B,2,FALSE)</f>
        <v>MMR</v>
      </c>
      <c r="AN441" s="34">
        <f>IF(ISBLANK(Table2[[#This Row],[Need_RRA]]), 2,(IF(Table2[[#This Row],[Need_RRA]]="No", 0, (IF(AND(Table2[[#This Row],[Need_RRA]]="Yes",  Table2[[#This Row],[RRA_pub_date]]=""),1, 0)))))</f>
        <v>0</v>
      </c>
      <c r="AO441" s="34">
        <f>IF(ISBLANK(Table2[[#This Row],[Need_EIS]]), 2,(IF(Table2[[#This Row],[Need_EIS]]="No", 0, (IF(AND(Table2[[#This Row],[Need_EIS]]="Yes",  Table2[[#This Row],[EIS_pub_date]]=""),1, 0)))))</f>
        <v>0</v>
      </c>
      <c r="AP441" s="34">
        <f>IF(ISBLANK(Table2[[#This Row],[Need_DON]]), 2,(IF(Table2[[#This Row],[Need_DON]]="No", 0, (IF(AND(Table2[[#This Row],[Need_DON]]="Yes",  Table2[[#This Row],[DON_pub_date]]=""),1, 0)))))</f>
        <v>0</v>
      </c>
      <c r="AQ441" s="34">
        <f>IF(ISBLANK(Table2[[#This Row],[Pending_question]]), 2,(IF(Table2[[#This Row],[Pending_question]]="Yes", 1, 0)))</f>
        <v>0</v>
      </c>
      <c r="AR441" s="225"/>
    </row>
    <row r="442" spans="1:44" ht="15" customHeight="1">
      <c r="A442" s="63">
        <v>45484</v>
      </c>
      <c r="B442" s="29" t="s">
        <v>15</v>
      </c>
      <c r="C442" s="34" t="str" cm="1">
        <f t="array" ref="C44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42" s="27" t="s">
        <v>1766</v>
      </c>
      <c r="E442" s="67" t="s">
        <v>99</v>
      </c>
      <c r="F442" s="29" t="s">
        <v>159</v>
      </c>
      <c r="G442" s="29" t="s">
        <v>34</v>
      </c>
      <c r="H442" s="59">
        <v>45484</v>
      </c>
      <c r="I442" s="59">
        <v>45488</v>
      </c>
      <c r="J442" s="59">
        <v>45481</v>
      </c>
      <c r="K442" s="59" t="s">
        <v>1767</v>
      </c>
      <c r="L442" s="104" t="s">
        <v>1768</v>
      </c>
      <c r="M442" s="70" t="s">
        <v>19</v>
      </c>
      <c r="N442" s="223"/>
      <c r="O442" s="226"/>
      <c r="P442" s="59" t="s">
        <v>19</v>
      </c>
      <c r="Q442" s="84"/>
      <c r="R442" s="29"/>
      <c r="S442" s="150"/>
      <c r="T442" s="223"/>
      <c r="U442" s="29"/>
      <c r="V442" s="29"/>
      <c r="W442" s="29"/>
      <c r="X442" s="27"/>
      <c r="Y442" s="29" t="s">
        <v>30</v>
      </c>
      <c r="Z442" s="29" t="s">
        <v>42</v>
      </c>
      <c r="AA442" s="29" t="s">
        <v>22</v>
      </c>
      <c r="AB442" s="29" t="s">
        <v>1769</v>
      </c>
      <c r="AC442" s="59"/>
      <c r="AD442" s="223">
        <v>45480</v>
      </c>
      <c r="AE442" s="59">
        <v>45482</v>
      </c>
      <c r="AF442" s="59"/>
      <c r="AG442" s="59"/>
      <c r="AH442" s="85">
        <v>45490</v>
      </c>
      <c r="AI442" s="54" t="s">
        <v>19</v>
      </c>
      <c r="AJ442" s="224"/>
      <c r="AK442" s="27"/>
      <c r="AL442" s="102"/>
      <c r="AM442" s="41" t="str">
        <f>VLOOKUP(Table2[[#This Row],[country]],Countrycode!A:B,2,FALSE)</f>
        <v>KHM</v>
      </c>
      <c r="AN442" s="34">
        <f>IF(ISBLANK(Table2[[#This Row],[Need_RRA]]), 2,(IF(Table2[[#This Row],[Need_RRA]]="No", 0, (IF(AND(Table2[[#This Row],[Need_RRA]]="Yes",  Table2[[#This Row],[RRA_pub_date]]=""),1, 0)))))</f>
        <v>0</v>
      </c>
      <c r="AO442" s="34">
        <f>IF(ISBLANK(Table2[[#This Row],[Need_EIS]]), 2,(IF(Table2[[#This Row],[Need_EIS]]="No", 0, (IF(AND(Table2[[#This Row],[Need_EIS]]="Yes",  Table2[[#This Row],[EIS_pub_date]]=""),1, 0)))))</f>
        <v>0</v>
      </c>
      <c r="AP442" s="34">
        <f>IF(ISBLANK(Table2[[#This Row],[Need_DON]]), 2,(IF(Table2[[#This Row],[Need_DON]]="No", 0, (IF(AND(Table2[[#This Row],[Need_DON]]="Yes",  Table2[[#This Row],[DON_pub_date]]=""),1, 0)))))</f>
        <v>0</v>
      </c>
      <c r="AQ442" s="34">
        <f>IF(ISBLANK(Table2[[#This Row],[Pending_question]]), 2,(IF(Table2[[#This Row],[Pending_question]]="Yes", 1, 0)))</f>
        <v>0</v>
      </c>
      <c r="AR442" s="225"/>
    </row>
    <row r="443" spans="1:44" ht="15" customHeight="1">
      <c r="A443" s="63">
        <v>45486</v>
      </c>
      <c r="B443" s="16" t="s">
        <v>15</v>
      </c>
      <c r="C443" s="34" t="str" cm="1">
        <f t="array" ref="C44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43" s="32" t="s">
        <v>1233</v>
      </c>
      <c r="E443" s="16" t="s">
        <v>1770</v>
      </c>
      <c r="F443" s="16" t="s">
        <v>163</v>
      </c>
      <c r="G443" s="16" t="s">
        <v>34</v>
      </c>
      <c r="H443" s="63">
        <v>45486</v>
      </c>
      <c r="I443" s="339">
        <v>45491</v>
      </c>
      <c r="J443" s="451">
        <v>45486</v>
      </c>
      <c r="K443" s="63" t="s">
        <v>1771</v>
      </c>
      <c r="L443" s="182" t="s">
        <v>1772</v>
      </c>
      <c r="M443" s="70" t="s">
        <v>19</v>
      </c>
      <c r="N443" s="339"/>
      <c r="O443" s="339"/>
      <c r="P443" s="63" t="s">
        <v>19</v>
      </c>
      <c r="T443" s="339"/>
      <c r="Y443" s="16" t="s">
        <v>30</v>
      </c>
      <c r="Z443" s="16" t="s">
        <v>42</v>
      </c>
      <c r="AA443" s="16" t="s">
        <v>22</v>
      </c>
      <c r="AB443" s="16" t="s">
        <v>1773</v>
      </c>
      <c r="AC443" s="63">
        <v>45486</v>
      </c>
      <c r="AD443" s="339">
        <v>45486</v>
      </c>
      <c r="AE443" s="387">
        <v>45489</v>
      </c>
      <c r="AF443" s="63">
        <v>45489</v>
      </c>
      <c r="AG443" s="63">
        <v>45490</v>
      </c>
      <c r="AH443" s="81">
        <v>45491</v>
      </c>
      <c r="AI443" s="16" t="s">
        <v>19</v>
      </c>
      <c r="AJ443" s="275"/>
      <c r="AM443" s="16" t="str">
        <f>VLOOKUP(Table2[[#This Row],[country]],Countrycode!A:B,2,FALSE)</f>
        <v>CAN</v>
      </c>
      <c r="AN443" s="34">
        <f>IF(ISBLANK(Table2[[#This Row],[Need_RRA]]), 2,(IF(Table2[[#This Row],[Need_RRA]]="No", 0, (IF(AND(Table2[[#This Row],[Need_RRA]]="Yes",  Table2[[#This Row],[RRA_pub_date]]=""),1, 0)))))</f>
        <v>0</v>
      </c>
      <c r="AO443" s="34">
        <f>IF(ISBLANK(Table2[[#This Row],[Need_EIS]]), 2,(IF(Table2[[#This Row],[Need_EIS]]="No", 0, (IF(AND(Table2[[#This Row],[Need_EIS]]="Yes",  Table2[[#This Row],[EIS_pub_date]]=""),1, 0)))))</f>
        <v>0</v>
      </c>
      <c r="AP443" s="34">
        <f>IF(ISBLANK(Table2[[#This Row],[Need_DON]]), 2,(IF(Table2[[#This Row],[Need_DON]]="No", 0, (IF(AND(Table2[[#This Row],[Need_DON]]="Yes",  Table2[[#This Row],[DON_pub_date]]=""),1, 0)))))</f>
        <v>0</v>
      </c>
      <c r="AQ443" s="34">
        <f>IF(ISBLANK(Table2[[#This Row],[Pending_question]]), 2,(IF(Table2[[#This Row],[Pending_question]]="Yes", 1, 0)))</f>
        <v>0</v>
      </c>
      <c r="AR443" s="225"/>
    </row>
    <row r="444" spans="1:44" ht="15" customHeight="1">
      <c r="A444" s="63">
        <v>45487</v>
      </c>
      <c r="B444" s="16" t="s">
        <v>15</v>
      </c>
      <c r="C444" s="34" t="str" cm="1">
        <f t="array" ref="C44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44" s="27" t="s">
        <v>1774</v>
      </c>
      <c r="E444" s="70" t="s">
        <v>190</v>
      </c>
      <c r="F444" s="54" t="s">
        <v>143</v>
      </c>
      <c r="G444" s="29" t="s">
        <v>34</v>
      </c>
      <c r="H444" s="55">
        <v>45487</v>
      </c>
      <c r="I444" s="29"/>
      <c r="J444" s="59">
        <v>45486</v>
      </c>
      <c r="K444" s="29" t="s">
        <v>1775</v>
      </c>
      <c r="L444" s="313" t="s">
        <v>1776</v>
      </c>
      <c r="M444" s="70" t="s">
        <v>19</v>
      </c>
      <c r="N444" s="54"/>
      <c r="O444" s="26"/>
      <c r="P444" s="54" t="s">
        <v>19</v>
      </c>
      <c r="Q444" s="84"/>
      <c r="R444" s="54"/>
      <c r="S444" s="29"/>
      <c r="T444" s="59"/>
      <c r="U444" s="29"/>
      <c r="V444" s="29"/>
      <c r="W444" s="29"/>
      <c r="X444" s="27"/>
      <c r="Y444" s="54" t="s">
        <v>30</v>
      </c>
      <c r="Z444" s="29" t="s">
        <v>42</v>
      </c>
      <c r="AA444" s="29" t="s">
        <v>22</v>
      </c>
      <c r="AB444" s="54" t="s">
        <v>1777</v>
      </c>
      <c r="AC444" s="59">
        <v>45487</v>
      </c>
      <c r="AD444" s="59">
        <v>45487</v>
      </c>
      <c r="AE444" s="150">
        <v>45489</v>
      </c>
      <c r="AF444" s="29"/>
      <c r="AG444" s="29"/>
      <c r="AH444" s="85">
        <v>45492</v>
      </c>
      <c r="AI444" s="54" t="s">
        <v>19</v>
      </c>
      <c r="AJ444" s="139"/>
      <c r="AK444" s="27"/>
      <c r="AL444" s="102"/>
      <c r="AM444" s="41"/>
      <c r="AN444" s="34">
        <f>IF(ISBLANK(Table2[[#This Row],[Need_RRA]]), 2,(IF(Table2[[#This Row],[Need_RRA]]="No", 0, (IF(AND(Table2[[#This Row],[Need_RRA]]="Yes",  Table2[[#This Row],[RRA_pub_date]]=""),1, 0)))))</f>
        <v>0</v>
      </c>
      <c r="AO444" s="34">
        <f>IF(ISBLANK(Table2[[#This Row],[Need_EIS]]), 2,(IF(Table2[[#This Row],[Need_EIS]]="No", 0, (IF(AND(Table2[[#This Row],[Need_EIS]]="Yes",  Table2[[#This Row],[EIS_pub_date]]=""),1, 0)))))</f>
        <v>0</v>
      </c>
      <c r="AP444" s="34">
        <f>IF(ISBLANK(Table2[[#This Row],[Need_DON]]), 2,(IF(Table2[[#This Row],[Need_DON]]="No", 0, (IF(AND(Table2[[#This Row],[Need_DON]]="Yes",  Table2[[#This Row],[DON_pub_date]]=""),1, 0)))))</f>
        <v>0</v>
      </c>
      <c r="AQ444" s="34">
        <f>IF(ISBLANK(Table2[[#This Row],[Pending_question]]), 2,(IF(Table2[[#This Row],[Pending_question]]="Yes", 1, 0)))</f>
        <v>0</v>
      </c>
      <c r="AR444" s="225"/>
    </row>
    <row r="445" spans="1:44" ht="15" customHeight="1">
      <c r="A445" s="63">
        <v>45488</v>
      </c>
      <c r="B445" s="29" t="s">
        <v>15</v>
      </c>
      <c r="C445" s="34" t="str" cm="1">
        <f t="array" ref="C44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45" s="27" t="s">
        <v>1570</v>
      </c>
      <c r="E445" s="70" t="s">
        <v>205</v>
      </c>
      <c r="F445" s="54" t="s">
        <v>89</v>
      </c>
      <c r="G445" s="29" t="s">
        <v>34</v>
      </c>
      <c r="H445" s="55">
        <v>45488</v>
      </c>
      <c r="I445" s="223">
        <v>45495</v>
      </c>
      <c r="J445" s="59">
        <v>45484</v>
      </c>
      <c r="K445" s="59" t="s">
        <v>1778</v>
      </c>
      <c r="L445" s="104" t="s">
        <v>1779</v>
      </c>
      <c r="M445" s="70" t="s">
        <v>19</v>
      </c>
      <c r="N445" s="214"/>
      <c r="O445" s="215"/>
      <c r="P445" s="55" t="s">
        <v>19</v>
      </c>
      <c r="Q445" s="84"/>
      <c r="R445" s="54"/>
      <c r="S445" s="29"/>
      <c r="T445" s="223"/>
      <c r="U445" s="29"/>
      <c r="V445" s="29"/>
      <c r="W445" s="29"/>
      <c r="X445" s="27"/>
      <c r="Y445" s="54" t="s">
        <v>30</v>
      </c>
      <c r="Z445" s="29" t="s">
        <v>42</v>
      </c>
      <c r="AA445" s="29" t="s">
        <v>22</v>
      </c>
      <c r="AB445" s="54" t="s">
        <v>1780</v>
      </c>
      <c r="AC445" s="59">
        <v>45485</v>
      </c>
      <c r="AD445" s="223">
        <v>45488</v>
      </c>
      <c r="AE445" s="59">
        <v>45489</v>
      </c>
      <c r="AF445" s="59">
        <v>45489</v>
      </c>
      <c r="AG445" s="59">
        <v>45502</v>
      </c>
      <c r="AH445" s="85">
        <v>45504</v>
      </c>
      <c r="AI445" s="54" t="s">
        <v>19</v>
      </c>
      <c r="AJ445" s="224"/>
      <c r="AK445" s="27"/>
      <c r="AL445" s="102"/>
      <c r="AM445" s="41" t="str">
        <f>VLOOKUP(Table2[[#This Row],[country]],Countrycode!A:B,2,FALSE)</f>
        <v>FRA</v>
      </c>
      <c r="AN445" s="34">
        <f>IF(ISBLANK(Table2[[#This Row],[Need_RRA]]), 2,(IF(Table2[[#This Row],[Need_RRA]]="No", 0, (IF(AND(Table2[[#This Row],[Need_RRA]]="Yes",  Table2[[#This Row],[RRA_pub_date]]=""),1, 0)))))</f>
        <v>0</v>
      </c>
      <c r="AO445" s="34">
        <f>IF(ISBLANK(Table2[[#This Row],[Need_EIS]]), 2,(IF(Table2[[#This Row],[Need_EIS]]="No", 0, (IF(AND(Table2[[#This Row],[Need_EIS]]="Yes",  Table2[[#This Row],[EIS_pub_date]]=""),1, 0)))))</f>
        <v>0</v>
      </c>
      <c r="AP445" s="34">
        <f>IF(ISBLANK(Table2[[#This Row],[Need_DON]]), 2,(IF(Table2[[#This Row],[Need_DON]]="No", 0, (IF(AND(Table2[[#This Row],[Need_DON]]="Yes",  Table2[[#This Row],[DON_pub_date]]=""),1, 0)))))</f>
        <v>0</v>
      </c>
      <c r="AQ445" s="34">
        <f>IF(ISBLANK(Table2[[#This Row],[Pending_question]]), 2,(IF(Table2[[#This Row],[Pending_question]]="Yes", 1, 0)))</f>
        <v>0</v>
      </c>
      <c r="AR445" s="225"/>
    </row>
    <row r="446" spans="1:44" ht="15" customHeight="1">
      <c r="A446" s="63">
        <v>45488</v>
      </c>
      <c r="B446" s="29" t="s">
        <v>15</v>
      </c>
      <c r="C446" s="34" t="str" cm="1">
        <f t="array" ref="C44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46" s="27" t="s">
        <v>1570</v>
      </c>
      <c r="E446" s="70" t="s">
        <v>194</v>
      </c>
      <c r="F446" s="54" t="s">
        <v>251</v>
      </c>
      <c r="G446" s="29" t="s">
        <v>34</v>
      </c>
      <c r="H446" s="55">
        <v>45488</v>
      </c>
      <c r="I446" s="223">
        <v>45488</v>
      </c>
      <c r="J446" s="59">
        <v>45499</v>
      </c>
      <c r="K446" s="59" t="s">
        <v>1781</v>
      </c>
      <c r="L446" s="104" t="s">
        <v>1782</v>
      </c>
      <c r="M446" s="70" t="s">
        <v>19</v>
      </c>
      <c r="N446" s="214"/>
      <c r="O446" s="215"/>
      <c r="P446" s="55" t="s">
        <v>19</v>
      </c>
      <c r="Q446" s="84"/>
      <c r="R446" s="54"/>
      <c r="S446" s="29"/>
      <c r="T446" s="223"/>
      <c r="U446" s="29"/>
      <c r="V446" s="29"/>
      <c r="W446" s="29"/>
      <c r="X446" s="27"/>
      <c r="Y446" s="54" t="s">
        <v>30</v>
      </c>
      <c r="Z446" s="29" t="s">
        <v>42</v>
      </c>
      <c r="AA446" s="29" t="s">
        <v>43</v>
      </c>
      <c r="AB446" s="54" t="s">
        <v>1783</v>
      </c>
      <c r="AC446" s="59">
        <v>45488</v>
      </c>
      <c r="AD446" s="223">
        <v>45488</v>
      </c>
      <c r="AE446" s="59">
        <v>45490</v>
      </c>
      <c r="AF446" s="29"/>
      <c r="AG446" s="59"/>
      <c r="AH446" s="85">
        <v>45502</v>
      </c>
      <c r="AI446" s="54" t="s">
        <v>19</v>
      </c>
      <c r="AJ446" s="224"/>
      <c r="AK446" s="27"/>
      <c r="AL446" s="102"/>
      <c r="AM446" s="41" t="str">
        <f>VLOOKUP(Table2[[#This Row],[country]],Countrycode!A:B,2,FALSE)</f>
        <v>GMB</v>
      </c>
      <c r="AN446" s="34">
        <f>IF(ISBLANK(Table2[[#This Row],[Need_RRA]]), 2,(IF(Table2[[#This Row],[Need_RRA]]="No", 0, (IF(AND(Table2[[#This Row],[Need_RRA]]="Yes",  Table2[[#This Row],[RRA_pub_date]]=""),1, 0)))))</f>
        <v>0</v>
      </c>
      <c r="AO446" s="34">
        <f>IF(ISBLANK(Table2[[#This Row],[Need_EIS]]), 2,(IF(Table2[[#This Row],[Need_EIS]]="No", 0, (IF(AND(Table2[[#This Row],[Need_EIS]]="Yes",  Table2[[#This Row],[EIS_pub_date]]=""),1, 0)))))</f>
        <v>0</v>
      </c>
      <c r="AP446" s="34">
        <f>IF(ISBLANK(Table2[[#This Row],[Need_DON]]), 2,(IF(Table2[[#This Row],[Need_DON]]="No", 0, (IF(AND(Table2[[#This Row],[Need_DON]]="Yes",  Table2[[#This Row],[DON_pub_date]]=""),1, 0)))))</f>
        <v>0</v>
      </c>
      <c r="AQ446" s="34">
        <f>IF(ISBLANK(Table2[[#This Row],[Pending_question]]), 2,(IF(Table2[[#This Row],[Pending_question]]="Yes", 1, 0)))</f>
        <v>0</v>
      </c>
      <c r="AR446" s="225"/>
    </row>
    <row r="447" spans="1:44" ht="15" customHeight="1">
      <c r="A447" s="63">
        <v>45488</v>
      </c>
      <c r="B447" s="29" t="s">
        <v>15</v>
      </c>
      <c r="C447" s="284" t="str" cm="1">
        <f t="array" ref="C44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47" s="27" t="s">
        <v>1784</v>
      </c>
      <c r="E447" s="70" t="s">
        <v>99</v>
      </c>
      <c r="F447" s="54" t="s">
        <v>39</v>
      </c>
      <c r="G447" s="29" t="s">
        <v>1082</v>
      </c>
      <c r="H447" s="55">
        <v>45488</v>
      </c>
      <c r="I447" s="223"/>
      <c r="J447" s="59">
        <v>45477</v>
      </c>
      <c r="K447" s="59" t="s">
        <v>1677</v>
      </c>
      <c r="L447" s="313" t="s">
        <v>1750</v>
      </c>
      <c r="M447" s="70" t="s">
        <v>19</v>
      </c>
      <c r="N447" s="214"/>
      <c r="O447" s="215"/>
      <c r="P447" s="55" t="s">
        <v>30</v>
      </c>
      <c r="Q447" s="84">
        <v>1</v>
      </c>
      <c r="R447" s="54" t="s">
        <v>1785</v>
      </c>
      <c r="S447" s="59">
        <v>45485</v>
      </c>
      <c r="T447" s="59">
        <v>45488</v>
      </c>
      <c r="U447" s="59">
        <v>45497</v>
      </c>
      <c r="V447" s="29"/>
      <c r="W447" s="29" t="s">
        <v>51</v>
      </c>
      <c r="X447" s="27" t="s">
        <v>51</v>
      </c>
      <c r="Y447" s="54" t="s">
        <v>19</v>
      </c>
      <c r="Z447" s="29"/>
      <c r="AA447" s="29"/>
      <c r="AB447" s="54"/>
      <c r="AC447" s="59"/>
      <c r="AD447" s="223"/>
      <c r="AE447" s="150"/>
      <c r="AF447" s="29"/>
      <c r="AG447" s="29"/>
      <c r="AH447" s="27"/>
      <c r="AI447" s="54" t="s">
        <v>19</v>
      </c>
      <c r="AJ447" s="224"/>
      <c r="AK447" s="27"/>
      <c r="AL447" s="102" t="s">
        <v>1786</v>
      </c>
      <c r="AM447" s="41" t="str">
        <f>VLOOKUP(Table2[[#This Row],[country]],Countrycode!A:B,2,FALSE)</f>
        <v>MLX</v>
      </c>
      <c r="AN447" s="34">
        <f>IF(ISBLANK(Table2[[#This Row],[Need_RRA]]), 2,(IF(Table2[[#This Row],[Need_RRA]]="No", 0, (IF(AND(Table2[[#This Row],[Need_RRA]]="Yes",  Table2[[#This Row],[RRA_pub_date]]=""),1, 0)))))</f>
        <v>0</v>
      </c>
      <c r="AO447" s="34">
        <f>IF(ISBLANK(Table2[[#This Row],[Need_EIS]]), 2,(IF(Table2[[#This Row],[Need_EIS]]="No", 0, (IF(AND(Table2[[#This Row],[Need_EIS]]="Yes",  Table2[[#This Row],[EIS_pub_date]]=""),1, 0)))))</f>
        <v>0</v>
      </c>
      <c r="AP447" s="34">
        <f>IF(ISBLANK(Table2[[#This Row],[Need_DON]]), 2,(IF(Table2[[#This Row],[Need_DON]]="No", 0, (IF(AND(Table2[[#This Row],[Need_DON]]="Yes",  Table2[[#This Row],[DON_pub_date]]=""),1, 0)))))</f>
        <v>0</v>
      </c>
      <c r="AQ447" s="34">
        <f>IF(ISBLANK(Table2[[#This Row],[Pending_question]]), 2,(IF(Table2[[#This Row],[Pending_question]]="Yes", 1, 0)))</f>
        <v>0</v>
      </c>
      <c r="AR447" s="225"/>
    </row>
    <row r="448" spans="1:44" ht="15" customHeight="1">
      <c r="A448" s="63">
        <v>45489</v>
      </c>
      <c r="B448" s="29" t="s">
        <v>15</v>
      </c>
      <c r="C448" s="284" t="str" cm="1">
        <f t="array" ref="C44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48" s="27" t="s">
        <v>1787</v>
      </c>
      <c r="E448" s="70" t="s">
        <v>120</v>
      </c>
      <c r="F448" s="54" t="s">
        <v>274</v>
      </c>
      <c r="G448" s="29" t="s">
        <v>34</v>
      </c>
      <c r="H448" s="55">
        <v>45489</v>
      </c>
      <c r="I448" s="223">
        <v>45489</v>
      </c>
      <c r="J448" s="59">
        <v>45489</v>
      </c>
      <c r="K448" s="59" t="s">
        <v>1788</v>
      </c>
      <c r="L448" s="104" t="s">
        <v>1789</v>
      </c>
      <c r="M448" s="70" t="s">
        <v>19</v>
      </c>
      <c r="N448" s="214"/>
      <c r="O448" s="215"/>
      <c r="P448" s="55" t="s">
        <v>19</v>
      </c>
      <c r="Q448" s="84"/>
      <c r="R448" s="54"/>
      <c r="S448" s="29"/>
      <c r="T448" s="223"/>
      <c r="U448" s="29"/>
      <c r="V448" s="29"/>
      <c r="W448" s="29"/>
      <c r="X448" s="27"/>
      <c r="Y448" s="29" t="s">
        <v>30</v>
      </c>
      <c r="Z448" s="29" t="s">
        <v>42</v>
      </c>
      <c r="AA448" s="29" t="s">
        <v>22</v>
      </c>
      <c r="AB448" s="54" t="s">
        <v>1790</v>
      </c>
      <c r="AC448" s="59">
        <v>45503</v>
      </c>
      <c r="AD448" s="223">
        <v>45506</v>
      </c>
      <c r="AE448" s="150">
        <v>45506</v>
      </c>
      <c r="AF448" s="29"/>
      <c r="AG448" s="29"/>
      <c r="AH448" s="85">
        <v>45518</v>
      </c>
      <c r="AI448" s="54" t="s">
        <v>30</v>
      </c>
      <c r="AJ448" s="224">
        <v>45518</v>
      </c>
      <c r="AK448" s="85">
        <v>45527</v>
      </c>
      <c r="AL448" s="102"/>
      <c r="AM448" s="41" t="str">
        <f>VLOOKUP(Table2[[#This Row],[country]],Countrycode!A:B,2,FALSE)</f>
        <v>IND</v>
      </c>
      <c r="AN448" s="34">
        <f>IF(ISBLANK(Table2[[#This Row],[Need_RRA]]), 2,(IF(Table2[[#This Row],[Need_RRA]]="No", 0, (IF(AND(Table2[[#This Row],[Need_RRA]]="Yes",  Table2[[#This Row],[RRA_pub_date]]=""),1, 0)))))</f>
        <v>0</v>
      </c>
      <c r="AO448" s="34">
        <f>IF(ISBLANK(Table2[[#This Row],[Need_EIS]]), 2,(IF(Table2[[#This Row],[Need_EIS]]="No", 0, (IF(AND(Table2[[#This Row],[Need_EIS]]="Yes",  Table2[[#This Row],[EIS_pub_date]]=""),1, 0)))))</f>
        <v>0</v>
      </c>
      <c r="AP448" s="34">
        <f>IF(ISBLANK(Table2[[#This Row],[Need_DON]]), 2,(IF(Table2[[#This Row],[Need_DON]]="No", 0, (IF(AND(Table2[[#This Row],[Need_DON]]="Yes",  Table2[[#This Row],[DON_pub_date]]=""),1, 0)))))</f>
        <v>0</v>
      </c>
      <c r="AQ448" s="34">
        <f>IF(ISBLANK(Table2[[#This Row],[Pending_question]]), 2,(IF(Table2[[#This Row],[Pending_question]]="Yes", 1, 0)))</f>
        <v>0</v>
      </c>
      <c r="AR448" s="225"/>
    </row>
    <row r="449" spans="1:44" ht="15" customHeight="1">
      <c r="A449" s="63">
        <v>45490</v>
      </c>
      <c r="B449" s="29" t="s">
        <v>15</v>
      </c>
      <c r="C449" s="16" t="str" cm="1">
        <f t="array" ref="C44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49" s="32" t="s">
        <v>1791</v>
      </c>
      <c r="E449" s="16" t="s">
        <v>99</v>
      </c>
      <c r="F449" s="16" t="s">
        <v>403</v>
      </c>
      <c r="G449" s="16" t="s">
        <v>34</v>
      </c>
      <c r="H449" s="55">
        <v>45490</v>
      </c>
      <c r="I449" s="223">
        <v>45495</v>
      </c>
      <c r="J449" s="59">
        <v>45496</v>
      </c>
      <c r="K449" s="59" t="s">
        <v>1677</v>
      </c>
      <c r="L449" s="285" t="s">
        <v>1792</v>
      </c>
      <c r="M449" s="70" t="s">
        <v>19</v>
      </c>
      <c r="N449" s="214"/>
      <c r="O449" s="215"/>
      <c r="P449" s="55" t="s">
        <v>19</v>
      </c>
      <c r="Q449" s="84"/>
      <c r="R449" s="54"/>
      <c r="S449" s="29"/>
      <c r="T449" s="223"/>
      <c r="U449" s="29"/>
      <c r="V449" s="29"/>
      <c r="W449" s="29"/>
      <c r="X449" s="27"/>
      <c r="Y449" s="54" t="s">
        <v>30</v>
      </c>
      <c r="Z449" s="16" t="s">
        <v>21</v>
      </c>
      <c r="AA449" s="16" t="s">
        <v>22</v>
      </c>
      <c r="AB449" s="16" t="s">
        <v>1793</v>
      </c>
      <c r="AC449" s="59">
        <v>45489</v>
      </c>
      <c r="AD449" s="223">
        <v>45490</v>
      </c>
      <c r="AE449" s="150">
        <v>45491</v>
      </c>
      <c r="AF449" s="59">
        <v>45491</v>
      </c>
      <c r="AG449" s="59">
        <v>45496</v>
      </c>
      <c r="AH449" s="85">
        <v>45497</v>
      </c>
      <c r="AI449" s="16" t="s">
        <v>19</v>
      </c>
      <c r="AJ449" s="224"/>
      <c r="AK449" s="27"/>
      <c r="AL449" s="102"/>
      <c r="AM449" s="41" t="str">
        <f>VLOOKUP(Table2[[#This Row],[country]],Countrycode!A:B,2,FALSE)</f>
        <v>USA</v>
      </c>
      <c r="AN449" s="34">
        <f>IF(ISBLANK(Table2[[#This Row],[Need_RRA]]), 2,(IF(Table2[[#This Row],[Need_RRA]]="No", 0, (IF(AND(Table2[[#This Row],[Need_RRA]]="Yes",  Table2[[#This Row],[RRA_pub_date]]=""),1, 0)))))</f>
        <v>0</v>
      </c>
      <c r="AO449" s="34">
        <f>IF(ISBLANK(Table2[[#This Row],[Need_EIS]]), 2,(IF(Table2[[#This Row],[Need_EIS]]="No", 0, (IF(AND(Table2[[#This Row],[Need_EIS]]="Yes",  Table2[[#This Row],[EIS_pub_date]]=""),1, 0)))))</f>
        <v>0</v>
      </c>
      <c r="AP449" s="34">
        <f>IF(ISBLANK(Table2[[#This Row],[Need_DON]]), 2,(IF(Table2[[#This Row],[Need_DON]]="No", 0, (IF(AND(Table2[[#This Row],[Need_DON]]="Yes",  Table2[[#This Row],[DON_pub_date]]=""),1, 0)))))</f>
        <v>0</v>
      </c>
      <c r="AQ449" s="34">
        <f>IF(ISBLANK(Table2[[#This Row],[Pending_question]]), 2,(IF(Table2[[#This Row],[Pending_question]]="Yes", 1, 0)))</f>
        <v>0</v>
      </c>
      <c r="AR449" s="225"/>
    </row>
    <row r="450" spans="1:44" ht="15" customHeight="1">
      <c r="A450" s="63">
        <v>45491</v>
      </c>
      <c r="B450" s="30" t="s">
        <v>15</v>
      </c>
      <c r="C450" s="20" t="str" cm="1">
        <f t="array" ref="C45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50" s="31" t="s">
        <v>1421</v>
      </c>
      <c r="E450" s="238" t="s">
        <v>194</v>
      </c>
      <c r="F450" s="238" t="s">
        <v>411</v>
      </c>
      <c r="G450" s="238" t="s">
        <v>34</v>
      </c>
      <c r="H450" s="59"/>
      <c r="I450" s="223"/>
      <c r="J450" s="239"/>
      <c r="K450" s="239"/>
      <c r="L450" s="182"/>
      <c r="M450" s="213" t="s">
        <v>30</v>
      </c>
      <c r="N450" s="223" t="s">
        <v>1794</v>
      </c>
      <c r="O450" s="226">
        <v>45526</v>
      </c>
      <c r="P450" s="59" t="s">
        <v>19</v>
      </c>
      <c r="Q450" s="84"/>
      <c r="R450" s="29"/>
      <c r="S450" s="59"/>
      <c r="T450" s="223"/>
      <c r="U450" s="29"/>
      <c r="V450" s="29"/>
      <c r="W450" s="29"/>
      <c r="X450" s="27"/>
      <c r="Y450" s="29" t="s">
        <v>30</v>
      </c>
      <c r="Z450" s="29" t="s">
        <v>42</v>
      </c>
      <c r="AA450" s="29" t="s">
        <v>22</v>
      </c>
      <c r="AB450" s="29" t="s">
        <v>1795</v>
      </c>
      <c r="AC450" s="59">
        <v>45491</v>
      </c>
      <c r="AD450" s="223">
        <v>45494</v>
      </c>
      <c r="AE450" s="59"/>
      <c r="AF450" s="29"/>
      <c r="AG450" s="59"/>
      <c r="AH450" s="85">
        <v>45510</v>
      </c>
      <c r="AI450" s="29" t="s">
        <v>31</v>
      </c>
      <c r="AJ450" s="224"/>
      <c r="AK450" s="27"/>
      <c r="AL450" s="29"/>
      <c r="AM450" s="41" t="str">
        <f>VLOOKUP(Table2[[#This Row],[country]],Countrycode!A:B,2,FALSE)</f>
        <v>PSE</v>
      </c>
      <c r="AN450" s="34">
        <f>IF(ISBLANK(Table2[[#This Row],[Need_RRA]]), 2,(IF(Table2[[#This Row],[Need_RRA]]="No", 0, (IF(AND(Table2[[#This Row],[Need_RRA]]="Yes",  Table2[[#This Row],[RRA_pub_date]]=""),1, 0)))))</f>
        <v>0</v>
      </c>
      <c r="AO450" s="34">
        <f>IF(ISBLANK(Table2[[#This Row],[Need_EIS]]), 2,(IF(Table2[[#This Row],[Need_EIS]]="No", 0, (IF(AND(Table2[[#This Row],[Need_EIS]]="Yes",  Table2[[#This Row],[EIS_pub_date]]=""),1, 0)))))</f>
        <v>0</v>
      </c>
      <c r="AP450" s="34">
        <f>IF(ISBLANK(Table2[[#This Row],[Need_DON]]), 2,(IF(Table2[[#This Row],[Need_DON]]="No", 0, (IF(AND(Table2[[#This Row],[Need_DON]]="Yes",  Table2[[#This Row],[DON_pub_date]]=""),1, 0)))))</f>
        <v>0</v>
      </c>
      <c r="AQ450" s="34">
        <f>IF(ISBLANK(Table2[[#This Row],[Pending_question]]), 2,(IF(Table2[[#This Row],[Pending_question]]="Yes", 1, 0)))</f>
        <v>1</v>
      </c>
      <c r="AR450" s="225"/>
    </row>
    <row r="451" spans="1:44" ht="15" customHeight="1">
      <c r="A451" s="63">
        <v>45492</v>
      </c>
      <c r="B451" s="29" t="s">
        <v>15</v>
      </c>
      <c r="C451" s="20" t="str" cm="1">
        <f t="array" ref="C45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51" s="27" t="s">
        <v>1344</v>
      </c>
      <c r="E451" s="70" t="s">
        <v>172</v>
      </c>
      <c r="F451" s="54" t="s">
        <v>232</v>
      </c>
      <c r="G451" s="29" t="s">
        <v>34</v>
      </c>
      <c r="H451" s="55">
        <v>45492</v>
      </c>
      <c r="I451" s="223">
        <v>45516</v>
      </c>
      <c r="J451" s="59">
        <v>45209</v>
      </c>
      <c r="K451" s="59" t="s">
        <v>1796</v>
      </c>
      <c r="L451" s="351" t="s">
        <v>1797</v>
      </c>
      <c r="M451" s="70" t="s">
        <v>19</v>
      </c>
      <c r="N451" s="214"/>
      <c r="O451" s="215"/>
      <c r="P451" s="55" t="s">
        <v>30</v>
      </c>
      <c r="Q451" s="84">
        <v>1</v>
      </c>
      <c r="R451" s="54" t="s">
        <v>1798</v>
      </c>
      <c r="S451" s="59">
        <v>45476</v>
      </c>
      <c r="T451" s="59">
        <v>45476</v>
      </c>
      <c r="U451" s="59">
        <v>45544</v>
      </c>
      <c r="V451" s="29" t="s">
        <v>20</v>
      </c>
      <c r="W451" s="29" t="s">
        <v>32</v>
      </c>
      <c r="X451" s="27" t="s">
        <v>51</v>
      </c>
      <c r="Y451" s="54" t="s">
        <v>30</v>
      </c>
      <c r="Z451" s="29" t="s">
        <v>42</v>
      </c>
      <c r="AA451" s="29" t="s">
        <v>22</v>
      </c>
      <c r="AB451" s="54" t="s">
        <v>1799</v>
      </c>
      <c r="AC451" s="59">
        <v>45548</v>
      </c>
      <c r="AD451" s="223">
        <v>45552</v>
      </c>
      <c r="AE451" s="59">
        <v>45555</v>
      </c>
      <c r="AF451" s="59">
        <v>45558</v>
      </c>
      <c r="AG451" s="59">
        <v>45580</v>
      </c>
      <c r="AH451" s="85">
        <v>45586</v>
      </c>
      <c r="AI451" s="54" t="s">
        <v>30</v>
      </c>
      <c r="AJ451" s="224">
        <v>45587</v>
      </c>
      <c r="AK451" s="85">
        <v>45596</v>
      </c>
      <c r="AL451" s="102"/>
      <c r="AM451" s="41" t="str">
        <f>VLOOKUP(Table2[[#This Row],[country]],Countrycode!A:B,2,FALSE)</f>
        <v>ETH</v>
      </c>
      <c r="AN451" s="34">
        <f>IF(ISBLANK(Table2[[#This Row],[Need_RRA]]), 2,(IF(Table2[[#This Row],[Need_RRA]]="No", 0, (IF(AND(Table2[[#This Row],[Need_RRA]]="Yes",  Table2[[#This Row],[RRA_pub_date]]=""),1, 0)))))</f>
        <v>0</v>
      </c>
      <c r="AO451" s="34">
        <f>IF(ISBLANK(Table2[[#This Row],[Need_EIS]]), 2,(IF(Table2[[#This Row],[Need_EIS]]="No", 0, (IF(AND(Table2[[#This Row],[Need_EIS]]="Yes",  Table2[[#This Row],[EIS_pub_date]]=""),1, 0)))))</f>
        <v>0</v>
      </c>
      <c r="AP451" s="34">
        <f>IF(ISBLANK(Table2[[#This Row],[Need_DON]]), 2,(IF(Table2[[#This Row],[Need_DON]]="No", 0, (IF(AND(Table2[[#This Row],[Need_DON]]="Yes",  Table2[[#This Row],[DON_pub_date]]=""),1, 0)))))</f>
        <v>0</v>
      </c>
      <c r="AQ451" s="34">
        <f>IF(ISBLANK(Table2[[#This Row],[Pending_question]]), 2,(IF(Table2[[#This Row],[Pending_question]]="Yes", 1, 0)))</f>
        <v>0</v>
      </c>
      <c r="AR451" s="225"/>
    </row>
    <row r="452" spans="1:44" ht="15" customHeight="1">
      <c r="A452" s="63">
        <v>45501</v>
      </c>
      <c r="B452" s="29" t="s">
        <v>15</v>
      </c>
      <c r="C452" s="20" t="str" cm="1">
        <f t="array" ref="C45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52" s="27" t="s">
        <v>1800</v>
      </c>
      <c r="E452" s="70" t="s">
        <v>99</v>
      </c>
      <c r="F452" s="54" t="s">
        <v>403</v>
      </c>
      <c r="G452" s="29" t="s">
        <v>34</v>
      </c>
      <c r="H452" s="55">
        <v>45501</v>
      </c>
      <c r="I452" s="223"/>
      <c r="J452" s="59">
        <v>45496</v>
      </c>
      <c r="K452" s="59" t="s">
        <v>1677</v>
      </c>
      <c r="L452" s="285" t="s">
        <v>1792</v>
      </c>
      <c r="M452" s="70" t="s">
        <v>19</v>
      </c>
      <c r="N452" s="214"/>
      <c r="O452" s="215"/>
      <c r="P452" s="55" t="s">
        <v>19</v>
      </c>
      <c r="Q452" s="84"/>
      <c r="R452" s="54"/>
      <c r="S452" s="59"/>
      <c r="T452" s="223"/>
      <c r="U452" s="59"/>
      <c r="V452" s="29"/>
      <c r="W452" s="29"/>
      <c r="X452" s="27"/>
      <c r="Y452" s="54" t="s">
        <v>30</v>
      </c>
      <c r="Z452" s="29" t="s">
        <v>21</v>
      </c>
      <c r="AA452" s="29" t="s">
        <v>22</v>
      </c>
      <c r="AB452" s="54" t="s">
        <v>1801</v>
      </c>
      <c r="AC452" s="59">
        <v>45499</v>
      </c>
      <c r="AD452" s="223">
        <v>45501</v>
      </c>
      <c r="AE452" s="150">
        <v>45502</v>
      </c>
      <c r="AF452" s="59">
        <v>45502</v>
      </c>
      <c r="AG452" s="59">
        <v>45504</v>
      </c>
      <c r="AH452" s="85">
        <v>45504</v>
      </c>
      <c r="AI452" s="54" t="s">
        <v>19</v>
      </c>
      <c r="AJ452" s="224"/>
      <c r="AK452" s="27"/>
      <c r="AL452" s="102"/>
      <c r="AM452" s="41" t="str">
        <f>VLOOKUP(Table2[[#This Row],[country]],Countrycode!A:B,2,FALSE)</f>
        <v>USA</v>
      </c>
      <c r="AN452" s="34">
        <f>IF(ISBLANK(Table2[[#This Row],[Need_RRA]]), 2,(IF(Table2[[#This Row],[Need_RRA]]="No", 0, (IF(AND(Table2[[#This Row],[Need_RRA]]="Yes",  Table2[[#This Row],[RRA_pub_date]]=""),1, 0)))))</f>
        <v>0</v>
      </c>
      <c r="AO452" s="34">
        <f>IF(ISBLANK(Table2[[#This Row],[Need_EIS]]), 2,(IF(Table2[[#This Row],[Need_EIS]]="No", 0, (IF(AND(Table2[[#This Row],[Need_EIS]]="Yes",  Table2[[#This Row],[EIS_pub_date]]=""),1, 0)))))</f>
        <v>0</v>
      </c>
      <c r="AP452" s="34">
        <f>IF(ISBLANK(Table2[[#This Row],[Need_DON]]), 2,(IF(Table2[[#This Row],[Need_DON]]="No", 0, (IF(AND(Table2[[#This Row],[Need_DON]]="Yes",  Table2[[#This Row],[DON_pub_date]]=""),1, 0)))))</f>
        <v>0</v>
      </c>
      <c r="AQ452" s="34">
        <f>IF(ISBLANK(Table2[[#This Row],[Pending_question]]), 2,(IF(Table2[[#This Row],[Pending_question]]="Yes", 1, 0)))</f>
        <v>0</v>
      </c>
      <c r="AR452" s="225"/>
    </row>
    <row r="453" spans="1:44" ht="15" customHeight="1">
      <c r="A453" s="63">
        <v>45502</v>
      </c>
      <c r="B453" s="29" t="s">
        <v>15</v>
      </c>
      <c r="C453" s="20" t="str" cm="1">
        <f t="array" ref="C45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53" s="27" t="s">
        <v>1020</v>
      </c>
      <c r="E453" s="70" t="s">
        <v>667</v>
      </c>
      <c r="F453" s="54" t="s">
        <v>39</v>
      </c>
      <c r="G453" s="29" t="s">
        <v>660</v>
      </c>
      <c r="H453" s="55">
        <v>45502</v>
      </c>
      <c r="I453" s="223"/>
      <c r="J453" s="59"/>
      <c r="K453" s="59"/>
      <c r="L453" s="182"/>
      <c r="M453" s="70" t="s">
        <v>19</v>
      </c>
      <c r="N453" s="214"/>
      <c r="O453" s="215"/>
      <c r="P453" s="55" t="s">
        <v>19</v>
      </c>
      <c r="Q453" s="84"/>
      <c r="R453" s="54"/>
      <c r="S453" s="59"/>
      <c r="T453" s="223"/>
      <c r="U453" s="59"/>
      <c r="V453" s="29"/>
      <c r="W453" s="29"/>
      <c r="X453" s="27"/>
      <c r="Y453" s="54" t="s">
        <v>30</v>
      </c>
      <c r="Z453" s="29" t="s">
        <v>33</v>
      </c>
      <c r="AA453" s="29" t="s">
        <v>43</v>
      </c>
      <c r="AB453" s="54" t="s">
        <v>1802</v>
      </c>
      <c r="AC453" s="59">
        <v>45502</v>
      </c>
      <c r="AD453" s="223">
        <v>45503</v>
      </c>
      <c r="AE453" s="150">
        <v>45504</v>
      </c>
      <c r="AF453" s="59">
        <v>45511</v>
      </c>
      <c r="AG453" s="29"/>
      <c r="AH453" s="85">
        <v>45515</v>
      </c>
      <c r="AI453" s="54" t="s">
        <v>30</v>
      </c>
      <c r="AJ453" s="224">
        <v>45516</v>
      </c>
      <c r="AK453" s="85">
        <v>45526</v>
      </c>
      <c r="AL453" s="102"/>
      <c r="AM453" s="41" t="str">
        <f>VLOOKUP(Table2[[#This Row],[country]],Countrycode!A:B,2,FALSE)</f>
        <v>MLX</v>
      </c>
      <c r="AN453" s="34">
        <f>IF(ISBLANK(Table2[[#This Row],[Need_RRA]]), 2,(IF(Table2[[#This Row],[Need_RRA]]="No", 0, (IF(AND(Table2[[#This Row],[Need_RRA]]="Yes",  Table2[[#This Row],[RRA_pub_date]]=""),1, 0)))))</f>
        <v>0</v>
      </c>
      <c r="AO453" s="34">
        <f>IF(ISBLANK(Table2[[#This Row],[Need_EIS]]), 2,(IF(Table2[[#This Row],[Need_EIS]]="No", 0, (IF(AND(Table2[[#This Row],[Need_EIS]]="Yes",  Table2[[#This Row],[EIS_pub_date]]=""),1, 0)))))</f>
        <v>0</v>
      </c>
      <c r="AP453" s="34">
        <f>IF(ISBLANK(Table2[[#This Row],[Need_DON]]), 2,(IF(Table2[[#This Row],[Need_DON]]="No", 0, (IF(AND(Table2[[#This Row],[Need_DON]]="Yes",  Table2[[#This Row],[DON_pub_date]]=""),1, 0)))))</f>
        <v>0</v>
      </c>
      <c r="AQ453" s="34">
        <f>IF(ISBLANK(Table2[[#This Row],[Pending_question]]), 2,(IF(Table2[[#This Row],[Pending_question]]="Yes", 1, 0)))</f>
        <v>0</v>
      </c>
      <c r="AR453" s="225"/>
    </row>
    <row r="454" spans="1:44" ht="15" customHeight="1">
      <c r="A454" s="63">
        <v>45503</v>
      </c>
      <c r="B454" s="29" t="s">
        <v>15</v>
      </c>
      <c r="C454" s="20" t="str" cm="1">
        <f t="array" ref="C45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54" s="27" t="s">
        <v>1803</v>
      </c>
      <c r="E454" s="67" t="s">
        <v>190</v>
      </c>
      <c r="F454" s="29" t="s">
        <v>143</v>
      </c>
      <c r="G454" s="29" t="s">
        <v>34</v>
      </c>
      <c r="H454" s="59">
        <v>45503</v>
      </c>
      <c r="I454" s="223"/>
      <c r="J454" s="59"/>
      <c r="K454" s="59" t="s">
        <v>1804</v>
      </c>
      <c r="L454" s="285" t="s">
        <v>1180</v>
      </c>
      <c r="M454" s="70" t="s">
        <v>19</v>
      </c>
      <c r="N454" s="223"/>
      <c r="O454" s="226"/>
      <c r="P454" s="59" t="s">
        <v>19</v>
      </c>
      <c r="Q454" s="84"/>
      <c r="R454" s="29"/>
      <c r="S454" s="59"/>
      <c r="T454" s="223"/>
      <c r="U454" s="59"/>
      <c r="V454" s="29"/>
      <c r="W454" s="29"/>
      <c r="X454" s="27"/>
      <c r="Y454" s="29" t="s">
        <v>30</v>
      </c>
      <c r="Z454" s="29" t="s">
        <v>21</v>
      </c>
      <c r="AA454" s="29" t="s">
        <v>22</v>
      </c>
      <c r="AB454" s="29" t="s">
        <v>1805</v>
      </c>
      <c r="AC454" s="59">
        <v>45502</v>
      </c>
      <c r="AD454" s="59">
        <v>45502</v>
      </c>
      <c r="AE454" s="150">
        <v>45503</v>
      </c>
      <c r="AF454" s="29"/>
      <c r="AG454" s="29"/>
      <c r="AH454" s="85">
        <v>45511</v>
      </c>
      <c r="AI454" s="29" t="s">
        <v>31</v>
      </c>
      <c r="AJ454" s="224"/>
      <c r="AK454" s="27"/>
      <c r="AL454" s="102"/>
      <c r="AM454" s="41" t="str">
        <f>VLOOKUP(Table2[[#This Row],[country]],Countrycode!A:B,2,FALSE)</f>
        <v>BRA</v>
      </c>
      <c r="AN454" s="34">
        <f>IF(ISBLANK(Table2[[#This Row],[Need_RRA]]), 2,(IF(Table2[[#This Row],[Need_RRA]]="No", 0, (IF(AND(Table2[[#This Row],[Need_RRA]]="Yes",  Table2[[#This Row],[RRA_pub_date]]=""),1, 0)))))</f>
        <v>0</v>
      </c>
      <c r="AO454" s="34">
        <f>IF(ISBLANK(Table2[[#This Row],[Need_EIS]]), 2,(IF(Table2[[#This Row],[Need_EIS]]="No", 0, (IF(AND(Table2[[#This Row],[Need_EIS]]="Yes",  Table2[[#This Row],[EIS_pub_date]]=""),1, 0)))))</f>
        <v>0</v>
      </c>
      <c r="AP454" s="34">
        <f>IF(ISBLANK(Table2[[#This Row],[Need_DON]]), 2,(IF(Table2[[#This Row],[Need_DON]]="No", 0, (IF(AND(Table2[[#This Row],[Need_DON]]="Yes",  Table2[[#This Row],[DON_pub_date]]=""),1, 0)))))</f>
        <v>0</v>
      </c>
      <c r="AQ454" s="34">
        <f>IF(ISBLANK(Table2[[#This Row],[Pending_question]]), 2,(IF(Table2[[#This Row],[Pending_question]]="Yes", 1, 0)))</f>
        <v>0</v>
      </c>
      <c r="AR454" s="225"/>
    </row>
    <row r="455" spans="1:44" ht="15" customHeight="1">
      <c r="A455" s="63">
        <v>45503</v>
      </c>
      <c r="B455" s="29" t="s">
        <v>15</v>
      </c>
      <c r="C455" s="20" t="str" cm="1">
        <f t="array" ref="C45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55" s="27" t="s">
        <v>1806</v>
      </c>
      <c r="E455" s="67" t="s">
        <v>190</v>
      </c>
      <c r="F455" s="29" t="s">
        <v>39</v>
      </c>
      <c r="G455" s="29" t="s">
        <v>1082</v>
      </c>
      <c r="H455" s="133">
        <v>45503</v>
      </c>
      <c r="I455" s="223"/>
      <c r="J455" s="59"/>
      <c r="K455" s="59" t="s">
        <v>1804</v>
      </c>
      <c r="L455" s="285" t="s">
        <v>1776</v>
      </c>
      <c r="M455" s="70" t="s">
        <v>19</v>
      </c>
      <c r="N455" s="223"/>
      <c r="O455" s="226"/>
      <c r="P455" s="59" t="s">
        <v>30</v>
      </c>
      <c r="Q455" s="84">
        <v>2</v>
      </c>
      <c r="R455" s="29"/>
      <c r="S455" s="59">
        <v>45505</v>
      </c>
      <c r="T455" s="223">
        <v>45505</v>
      </c>
      <c r="U455" s="59">
        <v>45507</v>
      </c>
      <c r="V455" s="29" t="s">
        <v>34</v>
      </c>
      <c r="W455" s="29" t="s">
        <v>20</v>
      </c>
      <c r="X455" s="27" t="s">
        <v>51</v>
      </c>
      <c r="Y455" s="29" t="s">
        <v>30</v>
      </c>
      <c r="Z455" s="29" t="s">
        <v>33</v>
      </c>
      <c r="AA455" s="29" t="s">
        <v>22</v>
      </c>
      <c r="AB455" s="29" t="s">
        <v>1807</v>
      </c>
      <c r="AC455" s="59">
        <v>45507</v>
      </c>
      <c r="AD455" s="223">
        <v>45518</v>
      </c>
      <c r="AE455" s="29"/>
      <c r="AF455" s="29"/>
      <c r="AG455" s="29"/>
      <c r="AH455" s="85">
        <v>45519</v>
      </c>
      <c r="AI455" s="29" t="s">
        <v>30</v>
      </c>
      <c r="AJ455" s="224">
        <v>45520</v>
      </c>
      <c r="AK455" s="85">
        <v>45527</v>
      </c>
      <c r="AL455" s="102"/>
      <c r="AM455" s="41" t="str">
        <f>VLOOKUP(Table2[[#This Row],[country]],Countrycode!A:B,2,FALSE)</f>
        <v>MLX</v>
      </c>
      <c r="AN455" s="34">
        <f>IF(ISBLANK(Table2[[#This Row],[Need_RRA]]), 2,(IF(Table2[[#This Row],[Need_RRA]]="No", 0, (IF(AND(Table2[[#This Row],[Need_RRA]]="Yes",  Table2[[#This Row],[RRA_pub_date]]=""),1, 0)))))</f>
        <v>0</v>
      </c>
      <c r="AO455" s="34">
        <f>IF(ISBLANK(Table2[[#This Row],[Need_EIS]]), 2,(IF(Table2[[#This Row],[Need_EIS]]="No", 0, (IF(AND(Table2[[#This Row],[Need_EIS]]="Yes",  Table2[[#This Row],[EIS_pub_date]]=""),1, 0)))))</f>
        <v>0</v>
      </c>
      <c r="AP455" s="34">
        <f>IF(ISBLANK(Table2[[#This Row],[Need_DON]]), 2,(IF(Table2[[#This Row],[Need_DON]]="No", 0, (IF(AND(Table2[[#This Row],[Need_DON]]="Yes",  Table2[[#This Row],[DON_pub_date]]=""),1, 0)))))</f>
        <v>0</v>
      </c>
      <c r="AQ455" s="34">
        <f>IF(ISBLANK(Table2[[#This Row],[Pending_question]]), 2,(IF(Table2[[#This Row],[Pending_question]]="Yes", 1, 0)))</f>
        <v>0</v>
      </c>
      <c r="AR455" s="225"/>
    </row>
    <row r="456" spans="1:44" ht="15" customHeight="1">
      <c r="A456" s="63">
        <v>45504</v>
      </c>
      <c r="B456" s="29" t="s">
        <v>15</v>
      </c>
      <c r="C456" s="20" t="str" cm="1">
        <f t="array" ref="C45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56" s="27" t="s">
        <v>1791</v>
      </c>
      <c r="E456" s="67" t="s">
        <v>99</v>
      </c>
      <c r="F456" s="29" t="s">
        <v>159</v>
      </c>
      <c r="G456" s="29" t="s">
        <v>34</v>
      </c>
      <c r="H456" s="59">
        <v>45504</v>
      </c>
      <c r="I456" s="223"/>
      <c r="J456" s="59"/>
      <c r="K456" s="59"/>
      <c r="L456" s="104"/>
      <c r="M456" s="70" t="s">
        <v>19</v>
      </c>
      <c r="N456" s="223"/>
      <c r="O456" s="226"/>
      <c r="P456" s="59" t="s">
        <v>19</v>
      </c>
      <c r="Q456" s="84"/>
      <c r="R456" s="29"/>
      <c r="S456" s="29"/>
      <c r="T456" s="223"/>
      <c r="U456" s="29"/>
      <c r="V456" s="29"/>
      <c r="W456" s="29"/>
      <c r="X456" s="27"/>
      <c r="Y456" s="29" t="s">
        <v>30</v>
      </c>
      <c r="Z456" s="29" t="s">
        <v>21</v>
      </c>
      <c r="AA456" s="29" t="s">
        <v>22</v>
      </c>
      <c r="AB456" s="29" t="s">
        <v>1808</v>
      </c>
      <c r="AC456" s="59">
        <v>45504</v>
      </c>
      <c r="AD456" s="223">
        <v>45506</v>
      </c>
      <c r="AE456" s="59">
        <v>45506</v>
      </c>
      <c r="AF456" s="59">
        <v>45507</v>
      </c>
      <c r="AG456" s="59">
        <v>45511</v>
      </c>
      <c r="AH456" s="85">
        <v>45512</v>
      </c>
      <c r="AI456" s="29" t="s">
        <v>19</v>
      </c>
      <c r="AJ456" s="224"/>
      <c r="AK456" s="27"/>
      <c r="AL456" s="102"/>
      <c r="AM456" s="41" t="str">
        <f>VLOOKUP(Table2[[#This Row],[country]],Countrycode!A:B,2,FALSE)</f>
        <v>KHM</v>
      </c>
      <c r="AN456" s="34">
        <f>IF(ISBLANK(Table2[[#This Row],[Need_RRA]]), 2,(IF(Table2[[#This Row],[Need_RRA]]="No", 0, (IF(AND(Table2[[#This Row],[Need_RRA]]="Yes",  Table2[[#This Row],[RRA_pub_date]]=""),1, 0)))))</f>
        <v>0</v>
      </c>
      <c r="AO456" s="34">
        <f>IF(ISBLANK(Table2[[#This Row],[Need_EIS]]), 2,(IF(Table2[[#This Row],[Need_EIS]]="No", 0, (IF(AND(Table2[[#This Row],[Need_EIS]]="Yes",  Table2[[#This Row],[EIS_pub_date]]=""),1, 0)))))</f>
        <v>0</v>
      </c>
      <c r="AP456" s="34">
        <f>IF(ISBLANK(Table2[[#This Row],[Need_DON]]), 2,(IF(Table2[[#This Row],[Need_DON]]="No", 0, (IF(AND(Table2[[#This Row],[Need_DON]]="Yes",  Table2[[#This Row],[DON_pub_date]]=""),1, 0)))))</f>
        <v>0</v>
      </c>
      <c r="AQ456" s="34">
        <f>IF(ISBLANK(Table2[[#This Row],[Pending_question]]), 2,(IF(Table2[[#This Row],[Pending_question]]="Yes", 1, 0)))</f>
        <v>0</v>
      </c>
      <c r="AR456" s="225"/>
    </row>
    <row r="457" spans="1:44" ht="15" customHeight="1">
      <c r="A457" s="63">
        <v>45509</v>
      </c>
      <c r="B457" s="29" t="s">
        <v>15</v>
      </c>
      <c r="C457" s="20" t="str" cm="1">
        <f t="array" ref="C45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57" s="27" t="s">
        <v>1809</v>
      </c>
      <c r="E457" s="67" t="s">
        <v>176</v>
      </c>
      <c r="F457" s="29" t="s">
        <v>409</v>
      </c>
      <c r="G457" s="29" t="s">
        <v>34</v>
      </c>
      <c r="H457" s="29"/>
      <c r="I457" s="223"/>
      <c r="J457" s="59">
        <v>45509</v>
      </c>
      <c r="K457" s="59" t="s">
        <v>1810</v>
      </c>
      <c r="L457" s="182" t="s">
        <v>1811</v>
      </c>
      <c r="M457" s="70" t="s">
        <v>19</v>
      </c>
      <c r="N457" s="223"/>
      <c r="O457" s="226"/>
      <c r="P457" s="59" t="s">
        <v>30</v>
      </c>
      <c r="Q457" s="84">
        <v>1</v>
      </c>
      <c r="R457" s="29"/>
      <c r="S457" s="133">
        <v>45504</v>
      </c>
      <c r="T457" s="223">
        <v>45505</v>
      </c>
      <c r="U457" s="59">
        <v>45511</v>
      </c>
      <c r="V457" s="29" t="s">
        <v>20</v>
      </c>
      <c r="W457" s="29" t="s">
        <v>32</v>
      </c>
      <c r="X457" s="27" t="s">
        <v>51</v>
      </c>
      <c r="Y457" s="29" t="s">
        <v>19</v>
      </c>
      <c r="Z457" s="29"/>
      <c r="AA457" s="29"/>
      <c r="AB457" s="29"/>
      <c r="AC457" s="29"/>
      <c r="AD457" s="223"/>
      <c r="AE457" s="29"/>
      <c r="AF457" s="29"/>
      <c r="AG457" s="29"/>
      <c r="AH457" s="27"/>
      <c r="AI457" s="29" t="s">
        <v>19</v>
      </c>
      <c r="AJ457" s="224"/>
      <c r="AK457" s="27"/>
      <c r="AL457" s="102"/>
      <c r="AM457" s="41" t="str">
        <f>VLOOKUP(Table2[[#This Row],[country]],Countrycode!A:B,2,FALSE)</f>
        <v>VNM</v>
      </c>
      <c r="AN457" s="34">
        <f>IF(ISBLANK(Table2[[#This Row],[Need_RRA]]), 2,(IF(Table2[[#This Row],[Need_RRA]]="No", 0, (IF(AND(Table2[[#This Row],[Need_RRA]]="Yes",  Table2[[#This Row],[RRA_pub_date]]=""),1, 0)))))</f>
        <v>0</v>
      </c>
      <c r="AO457" s="34">
        <f>IF(ISBLANK(Table2[[#This Row],[Need_EIS]]), 2,(IF(Table2[[#This Row],[Need_EIS]]="No", 0, (IF(AND(Table2[[#This Row],[Need_EIS]]="Yes",  Table2[[#This Row],[EIS_pub_date]]=""),1, 0)))))</f>
        <v>0</v>
      </c>
      <c r="AP457" s="34">
        <f>IF(ISBLANK(Table2[[#This Row],[Need_DON]]), 2,(IF(Table2[[#This Row],[Need_DON]]="No", 0, (IF(AND(Table2[[#This Row],[Need_DON]]="Yes",  Table2[[#This Row],[DON_pub_date]]=""),1, 0)))))</f>
        <v>0</v>
      </c>
      <c r="AQ457" s="34">
        <f>IF(ISBLANK(Table2[[#This Row],[Pending_question]]), 2,(IF(Table2[[#This Row],[Pending_question]]="Yes", 1, 0)))</f>
        <v>0</v>
      </c>
      <c r="AR457" s="225"/>
    </row>
    <row r="458" spans="1:44" ht="15" customHeight="1">
      <c r="A458" s="63">
        <v>45511</v>
      </c>
      <c r="B458" s="29" t="s">
        <v>15</v>
      </c>
      <c r="C458" s="20" t="str" cm="1">
        <f t="array" ref="C45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58" s="27" t="s">
        <v>1292</v>
      </c>
      <c r="E458" s="67" t="s">
        <v>166</v>
      </c>
      <c r="F458" s="29" t="s">
        <v>173</v>
      </c>
      <c r="G458" s="29" t="s">
        <v>34</v>
      </c>
      <c r="H458" s="29"/>
      <c r="I458" s="223"/>
      <c r="J458" s="59">
        <v>45511</v>
      </c>
      <c r="K458" s="59" t="s">
        <v>1812</v>
      </c>
      <c r="L458" s="104" t="s">
        <v>1813</v>
      </c>
      <c r="M458" s="70" t="s">
        <v>19</v>
      </c>
      <c r="N458" s="223"/>
      <c r="O458" s="226"/>
      <c r="P458" s="59" t="s">
        <v>19</v>
      </c>
      <c r="Q458" s="84"/>
      <c r="R458" s="29"/>
      <c r="S458" s="29"/>
      <c r="T458" s="223"/>
      <c r="U458" s="29"/>
      <c r="V458" s="29"/>
      <c r="W458" s="29"/>
      <c r="X458" s="27"/>
      <c r="Y458" s="29" t="s">
        <v>30</v>
      </c>
      <c r="Z458" s="29" t="s">
        <v>42</v>
      </c>
      <c r="AA458" s="29" t="s">
        <v>22</v>
      </c>
      <c r="AB458" s="29" t="s">
        <v>1814</v>
      </c>
      <c r="AC458" s="59">
        <v>45516</v>
      </c>
      <c r="AD458" s="59">
        <v>45516</v>
      </c>
      <c r="AE458" s="59">
        <v>45517</v>
      </c>
      <c r="AF458" s="29"/>
      <c r="AG458" s="29"/>
      <c r="AH458" s="85">
        <v>45531</v>
      </c>
      <c r="AI458" s="29" t="s">
        <v>19</v>
      </c>
      <c r="AJ458" s="224"/>
      <c r="AK458" s="27"/>
      <c r="AL458" s="102"/>
      <c r="AM458" s="41" t="str">
        <f>VLOOKUP(Table2[[#This Row],[country]],Countrycode!A:B,2,FALSE)</f>
        <v>CHN</v>
      </c>
      <c r="AN458" s="34">
        <f>IF(ISBLANK(Table2[[#This Row],[Need_RRA]]), 2,(IF(Table2[[#This Row],[Need_RRA]]="No", 0, (IF(AND(Table2[[#This Row],[Need_RRA]]="Yes",  Table2[[#This Row],[RRA_pub_date]]=""),1, 0)))))</f>
        <v>0</v>
      </c>
      <c r="AO458" s="34">
        <f>IF(ISBLANK(Table2[[#This Row],[Need_EIS]]), 2,(IF(Table2[[#This Row],[Need_EIS]]="No", 0, (IF(AND(Table2[[#This Row],[Need_EIS]]="Yes",  Table2[[#This Row],[EIS_pub_date]]=""),1, 0)))))</f>
        <v>0</v>
      </c>
      <c r="AP458" s="34">
        <f>IF(ISBLANK(Table2[[#This Row],[Need_DON]]), 2,(IF(Table2[[#This Row],[Need_DON]]="No", 0, (IF(AND(Table2[[#This Row],[Need_DON]]="Yes",  Table2[[#This Row],[DON_pub_date]]=""),1, 0)))))</f>
        <v>0</v>
      </c>
      <c r="AQ458" s="34">
        <f>IF(ISBLANK(Table2[[#This Row],[Pending_question]]), 2,(IF(Table2[[#This Row],[Pending_question]]="Yes", 1, 0)))</f>
        <v>0</v>
      </c>
      <c r="AR458" s="225"/>
    </row>
    <row r="459" spans="1:44" ht="15" customHeight="1">
      <c r="A459" s="63">
        <v>45511</v>
      </c>
      <c r="B459" s="29" t="s">
        <v>15</v>
      </c>
      <c r="C459" s="20" t="str" cm="1">
        <f t="array" ref="C45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59" s="27" t="s">
        <v>1809</v>
      </c>
      <c r="E459" s="67" t="s">
        <v>203</v>
      </c>
      <c r="F459" s="29" t="s">
        <v>242</v>
      </c>
      <c r="G459" s="29" t="s">
        <v>34</v>
      </c>
      <c r="H459" s="29"/>
      <c r="I459" s="223"/>
      <c r="J459" s="59">
        <v>45511</v>
      </c>
      <c r="K459" s="59" t="s">
        <v>1815</v>
      </c>
      <c r="L459" s="104" t="s">
        <v>1816</v>
      </c>
      <c r="M459" s="70" t="s">
        <v>19</v>
      </c>
      <c r="N459" s="223"/>
      <c r="O459" s="226"/>
      <c r="P459" s="59" t="s">
        <v>19</v>
      </c>
      <c r="Q459" s="84"/>
      <c r="R459" s="29"/>
      <c r="S459" s="59"/>
      <c r="T459" s="59"/>
      <c r="U459" s="59"/>
      <c r="V459" s="29"/>
      <c r="W459" s="29"/>
      <c r="X459" s="27"/>
      <c r="Y459" s="29" t="s">
        <v>30</v>
      </c>
      <c r="Z459" s="29" t="s">
        <v>42</v>
      </c>
      <c r="AA459" s="29" t="s">
        <v>22</v>
      </c>
      <c r="AB459" s="29" t="s">
        <v>1817</v>
      </c>
      <c r="AC459" s="59">
        <v>45534</v>
      </c>
      <c r="AD459" s="223">
        <v>45534</v>
      </c>
      <c r="AE459" s="59">
        <v>45538</v>
      </c>
      <c r="AF459" s="29"/>
      <c r="AG459" s="29"/>
      <c r="AH459" s="85">
        <v>45568</v>
      </c>
      <c r="AI459" s="29" t="s">
        <v>19</v>
      </c>
      <c r="AJ459" s="224"/>
      <c r="AK459" s="27"/>
      <c r="AL459" s="102"/>
      <c r="AM459" s="41" t="str">
        <f>VLOOKUP(Table2[[#This Row],[country]],Countrycode!A:B,2,FALSE)</f>
        <v>GUF</v>
      </c>
      <c r="AN459" s="34">
        <f>IF(ISBLANK(Table2[[#This Row],[Need_RRA]]), 2,(IF(Table2[[#This Row],[Need_RRA]]="No", 0, (IF(AND(Table2[[#This Row],[Need_RRA]]="Yes",  Table2[[#This Row],[RRA_pub_date]]=""),1, 0)))))</f>
        <v>0</v>
      </c>
      <c r="AO459" s="34">
        <f>IF(ISBLANK(Table2[[#This Row],[Need_EIS]]), 2,(IF(Table2[[#This Row],[Need_EIS]]="No", 0, (IF(AND(Table2[[#This Row],[Need_EIS]]="Yes",  Table2[[#This Row],[EIS_pub_date]]=""),1, 0)))))</f>
        <v>0</v>
      </c>
      <c r="AP459" s="34">
        <f>IF(ISBLANK(Table2[[#This Row],[Need_DON]]), 2,(IF(Table2[[#This Row],[Need_DON]]="No", 0, (IF(AND(Table2[[#This Row],[Need_DON]]="Yes",  Table2[[#This Row],[DON_pub_date]]=""),1, 0)))))</f>
        <v>0</v>
      </c>
      <c r="AQ459" s="34">
        <f>IF(ISBLANK(Table2[[#This Row],[Pending_question]]), 2,(IF(Table2[[#This Row],[Pending_question]]="Yes", 1, 0)))</f>
        <v>0</v>
      </c>
      <c r="AR459" s="225"/>
    </row>
    <row r="460" spans="1:44" ht="15" customHeight="1">
      <c r="A460" s="63">
        <v>45513</v>
      </c>
      <c r="B460" s="29" t="s">
        <v>15</v>
      </c>
      <c r="C460" s="20" t="str" cm="1">
        <f t="array" ref="C46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60" s="27" t="s">
        <v>1818</v>
      </c>
      <c r="E460" s="70" t="s">
        <v>248</v>
      </c>
      <c r="F460" s="54" t="s">
        <v>261</v>
      </c>
      <c r="G460" s="29" t="s">
        <v>34</v>
      </c>
      <c r="H460" s="55">
        <v>45513</v>
      </c>
      <c r="I460" s="223"/>
      <c r="J460" s="59">
        <v>45516</v>
      </c>
      <c r="K460" s="59" t="s">
        <v>1819</v>
      </c>
      <c r="L460" s="104" t="s">
        <v>1820</v>
      </c>
      <c r="M460" s="70" t="s">
        <v>19</v>
      </c>
      <c r="N460" s="214"/>
      <c r="O460" s="215"/>
      <c r="P460" s="55" t="s">
        <v>19</v>
      </c>
      <c r="Q460" s="84"/>
      <c r="R460" s="54"/>
      <c r="S460" s="29"/>
      <c r="T460" s="223"/>
      <c r="U460" s="29"/>
      <c r="V460" s="29"/>
      <c r="W460" s="29"/>
      <c r="X460" s="27"/>
      <c r="Y460" s="54" t="s">
        <v>30</v>
      </c>
      <c r="Z460" s="29" t="s">
        <v>42</v>
      </c>
      <c r="AA460" s="29" t="s">
        <v>22</v>
      </c>
      <c r="AB460" s="54" t="s">
        <v>1821</v>
      </c>
      <c r="AC460" s="59">
        <v>45534</v>
      </c>
      <c r="AD460" s="223">
        <v>45534</v>
      </c>
      <c r="AE460" s="223">
        <v>45534</v>
      </c>
      <c r="AF460" s="59">
        <v>45535</v>
      </c>
      <c r="AG460" s="59">
        <v>45540</v>
      </c>
      <c r="AH460" s="59">
        <v>45541</v>
      </c>
      <c r="AI460" s="54" t="s">
        <v>31</v>
      </c>
      <c r="AJ460" s="224"/>
      <c r="AK460" s="27"/>
      <c r="AL460" s="102"/>
      <c r="AM460" s="41" t="str">
        <f>VLOOKUP(Table2[[#This Row],[country]],Countrycode!A:B,2,FALSE)</f>
        <v>GLP</v>
      </c>
      <c r="AN460" s="34">
        <f>IF(ISBLANK(Table2[[#This Row],[Need_RRA]]), 2,(IF(Table2[[#This Row],[Need_RRA]]="No", 0, (IF(AND(Table2[[#This Row],[Need_RRA]]="Yes",  Table2[[#This Row],[RRA_pub_date]]=""),1, 0)))))</f>
        <v>0</v>
      </c>
      <c r="AO460" s="34">
        <f>IF(ISBLANK(Table2[[#This Row],[Need_EIS]]), 2,(IF(Table2[[#This Row],[Need_EIS]]="No", 0, (IF(AND(Table2[[#This Row],[Need_EIS]]="Yes",  Table2[[#This Row],[EIS_pub_date]]=""),1, 0)))))</f>
        <v>0</v>
      </c>
      <c r="AP460" s="34">
        <f>IF(ISBLANK(Table2[[#This Row],[Need_DON]]), 2,(IF(Table2[[#This Row],[Need_DON]]="No", 0, (IF(AND(Table2[[#This Row],[Need_DON]]="Yes",  Table2[[#This Row],[DON_pub_date]]=""),1, 0)))))</f>
        <v>0</v>
      </c>
      <c r="AQ460" s="34">
        <f>IF(ISBLANK(Table2[[#This Row],[Pending_question]]), 2,(IF(Table2[[#This Row],[Pending_question]]="Yes", 1, 0)))</f>
        <v>0</v>
      </c>
      <c r="AR460" s="225"/>
    </row>
    <row r="461" spans="1:44" ht="15" customHeight="1">
      <c r="A461" s="63">
        <v>45513</v>
      </c>
      <c r="B461" s="29" t="s">
        <v>15</v>
      </c>
      <c r="C461" s="20" t="str" cm="1">
        <f t="array" ref="C46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61" s="27" t="s">
        <v>1791</v>
      </c>
      <c r="E461" s="70" t="s">
        <v>112</v>
      </c>
      <c r="F461" s="54" t="s">
        <v>403</v>
      </c>
      <c r="G461" s="29" t="s">
        <v>34</v>
      </c>
      <c r="H461" s="55">
        <v>45513</v>
      </c>
      <c r="I461" s="223"/>
      <c r="J461" s="59">
        <v>45513</v>
      </c>
      <c r="K461" s="59" t="s">
        <v>1822</v>
      </c>
      <c r="L461" s="104" t="s">
        <v>1823</v>
      </c>
      <c r="M461" s="70" t="s">
        <v>19</v>
      </c>
      <c r="N461" s="214"/>
      <c r="O461" s="215"/>
      <c r="P461" s="55" t="s">
        <v>19</v>
      </c>
      <c r="Q461" s="84"/>
      <c r="R461" s="54"/>
      <c r="S461" s="29"/>
      <c r="T461" s="223"/>
      <c r="U461" s="29"/>
      <c r="V461" s="29"/>
      <c r="W461" s="29"/>
      <c r="X461" s="27"/>
      <c r="Y461" s="54" t="s">
        <v>30</v>
      </c>
      <c r="Z461" s="29" t="s">
        <v>42</v>
      </c>
      <c r="AA461" s="29" t="s">
        <v>22</v>
      </c>
      <c r="AB461" s="54" t="s">
        <v>1824</v>
      </c>
      <c r="AC461" s="59">
        <v>45513</v>
      </c>
      <c r="AD461" s="223">
        <v>45513</v>
      </c>
      <c r="AE461" s="59">
        <v>45516</v>
      </c>
      <c r="AF461" s="59">
        <v>45517</v>
      </c>
      <c r="AG461" s="59">
        <v>45518</v>
      </c>
      <c r="AH461" s="85">
        <v>45518</v>
      </c>
      <c r="AI461" s="54" t="s">
        <v>19</v>
      </c>
      <c r="AJ461" s="224"/>
      <c r="AK461" s="27"/>
      <c r="AL461" s="102"/>
      <c r="AM461" s="41" t="str">
        <f>VLOOKUP(Table2[[#This Row],[country]],Countrycode!A:B,2,FALSE)</f>
        <v>USA</v>
      </c>
      <c r="AN461" s="34">
        <f>IF(ISBLANK(Table2[[#This Row],[Need_RRA]]), 2,(IF(Table2[[#This Row],[Need_RRA]]="No", 0, (IF(AND(Table2[[#This Row],[Need_RRA]]="Yes",  Table2[[#This Row],[RRA_pub_date]]=""),1, 0)))))</f>
        <v>0</v>
      </c>
      <c r="AO461" s="34">
        <f>IF(ISBLANK(Table2[[#This Row],[Need_EIS]]), 2,(IF(Table2[[#This Row],[Need_EIS]]="No", 0, (IF(AND(Table2[[#This Row],[Need_EIS]]="Yes",  Table2[[#This Row],[EIS_pub_date]]=""),1, 0)))))</f>
        <v>0</v>
      </c>
      <c r="AP461" s="34">
        <f>IF(ISBLANK(Table2[[#This Row],[Need_DON]]), 2,(IF(Table2[[#This Row],[Need_DON]]="No", 0, (IF(AND(Table2[[#This Row],[Need_DON]]="Yes",  Table2[[#This Row],[DON_pub_date]]=""),1, 0)))))</f>
        <v>0</v>
      </c>
      <c r="AQ461" s="34">
        <f>IF(ISBLANK(Table2[[#This Row],[Pending_question]]), 2,(IF(Table2[[#This Row],[Pending_question]]="Yes", 1, 0)))</f>
        <v>0</v>
      </c>
      <c r="AR461" s="225"/>
    </row>
    <row r="462" spans="1:44" ht="15" customHeight="1">
      <c r="A462" s="63">
        <v>45520</v>
      </c>
      <c r="B462" s="29" t="s">
        <v>15</v>
      </c>
      <c r="C462" s="20" t="str" cm="1">
        <f t="array" ref="C46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62" s="27" t="s">
        <v>1825</v>
      </c>
      <c r="E462" s="67" t="s">
        <v>667</v>
      </c>
      <c r="F462" s="29" t="s">
        <v>382</v>
      </c>
      <c r="G462" s="29" t="s">
        <v>34</v>
      </c>
      <c r="H462" s="59">
        <v>45520</v>
      </c>
      <c r="I462" s="223"/>
      <c r="J462" s="59">
        <v>45522</v>
      </c>
      <c r="K462" s="59" t="s">
        <v>1826</v>
      </c>
      <c r="L462" s="182" t="s">
        <v>1827</v>
      </c>
      <c r="M462" s="70" t="s">
        <v>19</v>
      </c>
      <c r="N462" s="223"/>
      <c r="O462" s="226"/>
      <c r="P462" s="59" t="s">
        <v>19</v>
      </c>
      <c r="Q462" s="84"/>
      <c r="R462" s="29"/>
      <c r="S462" s="29"/>
      <c r="T462" s="223"/>
      <c r="U462" s="29"/>
      <c r="V462" s="29"/>
      <c r="W462" s="29"/>
      <c r="X462" s="27"/>
      <c r="Y462" s="29" t="s">
        <v>30</v>
      </c>
      <c r="Z462" s="29" t="s">
        <v>42</v>
      </c>
      <c r="AA462" s="29" t="s">
        <v>22</v>
      </c>
      <c r="AB462" s="29" t="s">
        <v>1828</v>
      </c>
      <c r="AC462" s="59">
        <v>45520</v>
      </c>
      <c r="AD462" s="223">
        <v>45524</v>
      </c>
      <c r="AE462" s="59">
        <v>45525</v>
      </c>
      <c r="AF462" s="59">
        <v>45525</v>
      </c>
      <c r="AG462" s="59">
        <v>45526</v>
      </c>
      <c r="AH462" s="85">
        <v>45526</v>
      </c>
      <c r="AI462" s="29" t="s">
        <v>30</v>
      </c>
      <c r="AJ462" s="224">
        <v>45530</v>
      </c>
      <c r="AK462" s="85">
        <v>45534</v>
      </c>
      <c r="AL462" s="102"/>
      <c r="AM462" s="41" t="str">
        <f>VLOOKUP(Table2[[#This Row],[country]],Countrycode!A:B,2,FALSE)</f>
        <v>SWE</v>
      </c>
      <c r="AN462" s="34">
        <f>IF(ISBLANK(Table2[[#This Row],[Need_RRA]]), 2,(IF(Table2[[#This Row],[Need_RRA]]="No", 0, (IF(AND(Table2[[#This Row],[Need_RRA]]="Yes",  Table2[[#This Row],[RRA_pub_date]]=""),1, 0)))))</f>
        <v>0</v>
      </c>
      <c r="AO462" s="34">
        <f>IF(ISBLANK(Table2[[#This Row],[Need_EIS]]), 2,(IF(Table2[[#This Row],[Need_EIS]]="No", 0, (IF(AND(Table2[[#This Row],[Need_EIS]]="Yes",  Table2[[#This Row],[EIS_pub_date]]=""),1, 0)))))</f>
        <v>0</v>
      </c>
      <c r="AP462" s="34">
        <f>IF(ISBLANK(Table2[[#This Row],[Need_DON]]), 2,(IF(Table2[[#This Row],[Need_DON]]="No", 0, (IF(AND(Table2[[#This Row],[Need_DON]]="Yes",  Table2[[#This Row],[DON_pub_date]]=""),1, 0)))))</f>
        <v>0</v>
      </c>
      <c r="AQ462" s="34">
        <f>IF(ISBLANK(Table2[[#This Row],[Pending_question]]), 2,(IF(Table2[[#This Row],[Pending_question]]="Yes", 1, 0)))</f>
        <v>0</v>
      </c>
      <c r="AR462" s="225"/>
    </row>
    <row r="463" spans="1:44" ht="15" customHeight="1">
      <c r="A463" s="63">
        <v>45523</v>
      </c>
      <c r="B463" s="29" t="s">
        <v>15</v>
      </c>
      <c r="C463" s="16" t="str" cm="1">
        <f t="array" ref="C46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63" s="27" t="s">
        <v>1829</v>
      </c>
      <c r="E463" s="67" t="s">
        <v>254</v>
      </c>
      <c r="F463" s="29" t="s">
        <v>274</v>
      </c>
      <c r="G463" s="29" t="s">
        <v>34</v>
      </c>
      <c r="H463" s="54"/>
      <c r="I463" s="223"/>
      <c r="J463" s="59">
        <v>45523</v>
      </c>
      <c r="K463" s="59" t="s">
        <v>1830</v>
      </c>
      <c r="L463" s="104" t="s">
        <v>1831</v>
      </c>
      <c r="M463" s="213" t="s">
        <v>19</v>
      </c>
      <c r="N463" s="223" t="s">
        <v>1832</v>
      </c>
      <c r="O463" s="226"/>
      <c r="P463" s="59" t="s">
        <v>19</v>
      </c>
      <c r="Q463" s="84"/>
      <c r="R463" s="29"/>
      <c r="S463" s="59"/>
      <c r="T463" s="59"/>
      <c r="U463" s="59"/>
      <c r="V463" s="29"/>
      <c r="W463" s="29"/>
      <c r="X463" s="27"/>
      <c r="Y463" s="29" t="s">
        <v>30</v>
      </c>
      <c r="Z463" s="29" t="s">
        <v>42</v>
      </c>
      <c r="AA463" s="29" t="s">
        <v>22</v>
      </c>
      <c r="AB463" s="29" t="s">
        <v>1833</v>
      </c>
      <c r="AC463" s="59">
        <v>45548</v>
      </c>
      <c r="AD463" s="59">
        <v>45548</v>
      </c>
      <c r="AE463" s="59">
        <v>45548</v>
      </c>
      <c r="AF463" s="29"/>
      <c r="AG463" s="29"/>
      <c r="AH463" s="85">
        <v>45649</v>
      </c>
      <c r="AI463" s="29" t="s">
        <v>30</v>
      </c>
      <c r="AJ463" s="224">
        <v>45663</v>
      </c>
      <c r="AK463" s="85">
        <v>45686</v>
      </c>
      <c r="AL463" s="102" t="s">
        <v>1834</v>
      </c>
      <c r="AM463" s="41" t="str">
        <f>VLOOKUP(Table2[[#This Row],[country]],Countrycode!A:B,2,FALSE)</f>
        <v>IND</v>
      </c>
      <c r="AN463" s="34">
        <f>IF(ISBLANK(Table2[[#This Row],[Need_RRA]]), 2,(IF(Table2[[#This Row],[Need_RRA]]="No", 0, (IF(AND(Table2[[#This Row],[Need_RRA]]="Yes",  Table2[[#This Row],[RRA_pub_date]]=""),1, 0)))))</f>
        <v>0</v>
      </c>
      <c r="AO463" s="34">
        <f>IF(ISBLANK(Table2[[#This Row],[Need_EIS]]), 2,(IF(Table2[[#This Row],[Need_EIS]]="No", 0, (IF(AND(Table2[[#This Row],[Need_EIS]]="Yes",  Table2[[#This Row],[EIS_pub_date]]=""),1, 0)))))</f>
        <v>0</v>
      </c>
      <c r="AP463" s="34">
        <f>IF(ISBLANK(Table2[[#This Row],[Need_DON]]), 2,(IF(Table2[[#This Row],[Need_DON]]="No", 0, (IF(AND(Table2[[#This Row],[Need_DON]]="Yes",  Table2[[#This Row],[DON_pub_date]]=""),1, 0)))))</f>
        <v>0</v>
      </c>
      <c r="AQ463" s="34">
        <f>IF(ISBLANK(Table2[[#This Row],[Pending_question]]), 2,(IF(Table2[[#This Row],[Pending_question]]="Yes", 1, 0)))</f>
        <v>0</v>
      </c>
      <c r="AR463" s="225"/>
    </row>
    <row r="464" spans="1:44" ht="15" customHeight="1">
      <c r="A464" s="63">
        <v>45523</v>
      </c>
      <c r="B464" s="29" t="s">
        <v>15</v>
      </c>
      <c r="C464" s="20" t="str" cm="1">
        <f t="array" ref="C46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64" s="27" t="s">
        <v>1316</v>
      </c>
      <c r="E464" s="67" t="s">
        <v>1835</v>
      </c>
      <c r="F464" s="29" t="s">
        <v>403</v>
      </c>
      <c r="G464" s="29" t="s">
        <v>34</v>
      </c>
      <c r="H464" s="59">
        <v>45523</v>
      </c>
      <c r="I464" s="223"/>
      <c r="J464" s="59">
        <v>45524</v>
      </c>
      <c r="K464" s="59" t="s">
        <v>1836</v>
      </c>
      <c r="L464" s="104" t="s">
        <v>1837</v>
      </c>
      <c r="M464" s="70" t="s">
        <v>19</v>
      </c>
      <c r="N464" s="223"/>
      <c r="O464" s="226"/>
      <c r="P464" s="59" t="s">
        <v>19</v>
      </c>
      <c r="Q464" s="84"/>
      <c r="R464" s="29"/>
      <c r="S464" s="29"/>
      <c r="T464" s="223"/>
      <c r="U464" s="29"/>
      <c r="V464" s="29"/>
      <c r="W464" s="29"/>
      <c r="X464" s="27"/>
      <c r="Y464" s="29" t="s">
        <v>30</v>
      </c>
      <c r="Z464" s="29" t="s">
        <v>42</v>
      </c>
      <c r="AA464" s="29" t="s">
        <v>22</v>
      </c>
      <c r="AB464" s="29" t="s">
        <v>1838</v>
      </c>
      <c r="AC464" s="59">
        <v>45522</v>
      </c>
      <c r="AD464" s="223">
        <v>45522</v>
      </c>
      <c r="AE464" s="59">
        <v>45523</v>
      </c>
      <c r="AF464" s="29"/>
      <c r="AG464" s="59">
        <v>45525</v>
      </c>
      <c r="AH464" s="85">
        <v>45526</v>
      </c>
      <c r="AI464" s="29" t="s">
        <v>19</v>
      </c>
      <c r="AJ464" s="224"/>
      <c r="AK464" s="27"/>
      <c r="AL464" s="102"/>
      <c r="AM464" s="41" t="str">
        <f>VLOOKUP(Table2[[#This Row],[country]],Countrycode!A:B,2,FALSE)</f>
        <v>USA</v>
      </c>
      <c r="AN464" s="34">
        <f>IF(ISBLANK(Table2[[#This Row],[Need_RRA]]), 2,(IF(Table2[[#This Row],[Need_RRA]]="No", 0, (IF(AND(Table2[[#This Row],[Need_RRA]]="Yes",  Table2[[#This Row],[RRA_pub_date]]=""),1, 0)))))</f>
        <v>0</v>
      </c>
      <c r="AO464" s="34">
        <f>IF(ISBLANK(Table2[[#This Row],[Need_EIS]]), 2,(IF(Table2[[#This Row],[Need_EIS]]="No", 0, (IF(AND(Table2[[#This Row],[Need_EIS]]="Yes",  Table2[[#This Row],[EIS_pub_date]]=""),1, 0)))))</f>
        <v>0</v>
      </c>
      <c r="AP464" s="34">
        <f>IF(ISBLANK(Table2[[#This Row],[Need_DON]]), 2,(IF(Table2[[#This Row],[Need_DON]]="No", 0, (IF(AND(Table2[[#This Row],[Need_DON]]="Yes",  Table2[[#This Row],[DON_pub_date]]=""),1, 0)))))</f>
        <v>0</v>
      </c>
      <c r="AQ464" s="34">
        <f>IF(ISBLANK(Table2[[#This Row],[Pending_question]]), 2,(IF(Table2[[#This Row],[Pending_question]]="Yes", 1, 0)))</f>
        <v>0</v>
      </c>
      <c r="AR464" s="225"/>
    </row>
    <row r="465" spans="1:44" ht="15" customHeight="1">
      <c r="A465" s="63">
        <v>45523</v>
      </c>
      <c r="B465" s="29" t="s">
        <v>15</v>
      </c>
      <c r="C465" s="20" t="str" cm="1">
        <f t="array" ref="C46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65" s="27" t="s">
        <v>1839</v>
      </c>
      <c r="E465" s="67" t="s">
        <v>233</v>
      </c>
      <c r="F465" s="29" t="s">
        <v>409</v>
      </c>
      <c r="G465" s="29" t="s">
        <v>34</v>
      </c>
      <c r="H465" s="59">
        <v>45523</v>
      </c>
      <c r="I465" s="223"/>
      <c r="J465" s="59">
        <v>45524</v>
      </c>
      <c r="K465" s="243" t="s">
        <v>1840</v>
      </c>
      <c r="L465" s="182" t="s">
        <v>1841</v>
      </c>
      <c r="M465" s="70" t="s">
        <v>19</v>
      </c>
      <c r="N465" s="223"/>
      <c r="O465" s="226"/>
      <c r="P465" s="59" t="s">
        <v>19</v>
      </c>
      <c r="Q465" s="84"/>
      <c r="R465" s="29"/>
      <c r="S465" s="29"/>
      <c r="T465" s="223"/>
      <c r="U465" s="29"/>
      <c r="V465" s="29"/>
      <c r="W465" s="29"/>
      <c r="X465" s="27"/>
      <c r="Y465" s="29" t="s">
        <v>30</v>
      </c>
      <c r="Z465" s="29" t="s">
        <v>42</v>
      </c>
      <c r="AA465" s="29" t="s">
        <v>22</v>
      </c>
      <c r="AB465" s="29" t="s">
        <v>1842</v>
      </c>
      <c r="AC465" s="59">
        <v>45523</v>
      </c>
      <c r="AD465" s="59">
        <v>45524</v>
      </c>
      <c r="AE465" s="59">
        <v>45525</v>
      </c>
      <c r="AF465" s="29"/>
      <c r="AG465" s="59">
        <v>45527</v>
      </c>
      <c r="AH465" s="85">
        <v>45528</v>
      </c>
      <c r="AI465" s="29" t="s">
        <v>30</v>
      </c>
      <c r="AJ465" s="224">
        <v>45533</v>
      </c>
      <c r="AK465" s="85">
        <v>45539</v>
      </c>
      <c r="AL465" s="102"/>
      <c r="AM465" s="41" t="str">
        <f>VLOOKUP(Table2[[#This Row],[country]],Countrycode!A:B,2,FALSE)</f>
        <v>VNM</v>
      </c>
      <c r="AN465" s="34">
        <f>IF(ISBLANK(Table2[[#This Row],[Need_RRA]]), 2,(IF(Table2[[#This Row],[Need_RRA]]="No", 0, (IF(AND(Table2[[#This Row],[Need_RRA]]="Yes",  Table2[[#This Row],[RRA_pub_date]]=""),1, 0)))))</f>
        <v>0</v>
      </c>
      <c r="AO465" s="34">
        <f>IF(ISBLANK(Table2[[#This Row],[Need_EIS]]), 2,(IF(Table2[[#This Row],[Need_EIS]]="No", 0, (IF(AND(Table2[[#This Row],[Need_EIS]]="Yes",  Table2[[#This Row],[EIS_pub_date]]=""),1, 0)))))</f>
        <v>0</v>
      </c>
      <c r="AP465" s="34">
        <f>IF(ISBLANK(Table2[[#This Row],[Need_DON]]), 2,(IF(Table2[[#This Row],[Need_DON]]="No", 0, (IF(AND(Table2[[#This Row],[Need_DON]]="Yes",  Table2[[#This Row],[DON_pub_date]]=""),1, 0)))))</f>
        <v>0</v>
      </c>
      <c r="AQ465" s="34">
        <f>IF(ISBLANK(Table2[[#This Row],[Pending_question]]), 2,(IF(Table2[[#This Row],[Pending_question]]="Yes", 1, 0)))</f>
        <v>0</v>
      </c>
      <c r="AR465" s="225"/>
    </row>
    <row r="466" spans="1:44" ht="15" customHeight="1">
      <c r="A466" s="63">
        <v>45525</v>
      </c>
      <c r="B466" s="29" t="s">
        <v>15</v>
      </c>
      <c r="C466" s="20" t="str" cm="1">
        <f t="array" ref="C46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66" s="27" t="s">
        <v>1843</v>
      </c>
      <c r="E466" s="70" t="s">
        <v>99</v>
      </c>
      <c r="F466" s="54" t="s">
        <v>159</v>
      </c>
      <c r="G466" s="29" t="s">
        <v>34</v>
      </c>
      <c r="H466" s="54"/>
      <c r="I466" s="223"/>
      <c r="J466" s="59">
        <v>45525</v>
      </c>
      <c r="K466" s="59" t="s">
        <v>1844</v>
      </c>
      <c r="L466" s="285" t="s">
        <v>1845</v>
      </c>
      <c r="M466" s="70" t="s">
        <v>19</v>
      </c>
      <c r="N466" s="214"/>
      <c r="O466" s="215"/>
      <c r="P466" s="55" t="s">
        <v>1846</v>
      </c>
      <c r="Q466" s="84"/>
      <c r="R466" s="54"/>
      <c r="S466" s="29"/>
      <c r="T466" s="223"/>
      <c r="U466" s="29"/>
      <c r="V466" s="29"/>
      <c r="W466" s="29"/>
      <c r="X466" s="27"/>
      <c r="Y466" s="54" t="s">
        <v>30</v>
      </c>
      <c r="Z466" s="29" t="s">
        <v>1847</v>
      </c>
      <c r="AA466" s="29" t="s">
        <v>22</v>
      </c>
      <c r="AB466" s="54" t="s">
        <v>1848</v>
      </c>
      <c r="AC466" s="59">
        <v>45525</v>
      </c>
      <c r="AD466" s="59">
        <v>45525</v>
      </c>
      <c r="AE466" s="59">
        <v>45526</v>
      </c>
      <c r="AF466" s="29"/>
      <c r="AG466" s="29"/>
      <c r="AH466" s="85">
        <v>45530</v>
      </c>
      <c r="AI466" s="54" t="s">
        <v>30</v>
      </c>
      <c r="AJ466" s="224">
        <v>45533</v>
      </c>
      <c r="AK466" s="85">
        <v>45537</v>
      </c>
      <c r="AL466" s="102"/>
      <c r="AM466" s="41" t="str">
        <f>VLOOKUP(Table2[[#This Row],[country]],Countrycode!A:B,2,FALSE)</f>
        <v>KHM</v>
      </c>
      <c r="AN466" s="34">
        <f>IF(ISBLANK(Table2[[#This Row],[Need_RRA]]), 2,(IF(Table2[[#This Row],[Need_RRA]]="No", 0, (IF(AND(Table2[[#This Row],[Need_RRA]]="Yes",  Table2[[#This Row],[RRA_pub_date]]=""),1, 0)))))</f>
        <v>0</v>
      </c>
      <c r="AO466" s="34">
        <f>IF(ISBLANK(Table2[[#This Row],[Need_EIS]]), 2,(IF(Table2[[#This Row],[Need_EIS]]="No", 0, (IF(AND(Table2[[#This Row],[Need_EIS]]="Yes",  Table2[[#This Row],[EIS_pub_date]]=""),1, 0)))))</f>
        <v>0</v>
      </c>
      <c r="AP466" s="34">
        <f>IF(ISBLANK(Table2[[#This Row],[Need_DON]]), 2,(IF(Table2[[#This Row],[Need_DON]]="No", 0, (IF(AND(Table2[[#This Row],[Need_DON]]="Yes",  Table2[[#This Row],[DON_pub_date]]=""),1, 0)))))</f>
        <v>0</v>
      </c>
      <c r="AQ466" s="34">
        <f>IF(ISBLANK(Table2[[#This Row],[Pending_question]]), 2,(IF(Table2[[#This Row],[Pending_question]]="Yes", 1, 0)))</f>
        <v>0</v>
      </c>
      <c r="AR466" s="225"/>
    </row>
    <row r="467" spans="1:44" ht="15" customHeight="1">
      <c r="A467" s="63">
        <v>45531</v>
      </c>
      <c r="B467" s="29" t="s">
        <v>15</v>
      </c>
      <c r="C467" s="20" t="str" cm="1">
        <f t="array" ref="C46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67" s="27" t="s">
        <v>1839</v>
      </c>
      <c r="E467" s="67" t="s">
        <v>667</v>
      </c>
      <c r="F467" s="29" t="s">
        <v>386</v>
      </c>
      <c r="G467" s="29" t="s">
        <v>34</v>
      </c>
      <c r="H467" s="29"/>
      <c r="I467" s="223"/>
      <c r="J467" s="59"/>
      <c r="K467" s="59"/>
      <c r="L467" s="104"/>
      <c r="M467" s="70" t="s">
        <v>19</v>
      </c>
      <c r="N467" s="223"/>
      <c r="O467" s="226"/>
      <c r="P467" s="59" t="s">
        <v>19</v>
      </c>
      <c r="Q467" s="84"/>
      <c r="R467" s="29"/>
      <c r="S467" s="29"/>
      <c r="T467" s="223"/>
      <c r="U467" s="29"/>
      <c r="V467" s="29"/>
      <c r="W467" s="29"/>
      <c r="X467" s="27"/>
      <c r="Y467" s="29" t="s">
        <v>30</v>
      </c>
      <c r="Z467" s="29" t="s">
        <v>42</v>
      </c>
      <c r="AA467" s="29" t="s">
        <v>22</v>
      </c>
      <c r="AB467" s="29"/>
      <c r="AC467" s="59">
        <v>45531</v>
      </c>
      <c r="AD467" s="59">
        <v>45531</v>
      </c>
      <c r="AE467" s="29"/>
      <c r="AF467" s="29"/>
      <c r="AG467" s="29"/>
      <c r="AH467" s="85">
        <v>45534</v>
      </c>
      <c r="AI467" s="29" t="s">
        <v>19</v>
      </c>
      <c r="AJ467" s="224"/>
      <c r="AK467" s="27"/>
      <c r="AL467" s="102"/>
      <c r="AM467" s="41" t="str">
        <f>VLOOKUP(Table2[[#This Row],[country]],Countrycode!A:B,2,FALSE)</f>
        <v>THA</v>
      </c>
      <c r="AN467" s="34">
        <f>IF(ISBLANK(Table2[[#This Row],[Need_RRA]]), 2,(IF(Table2[[#This Row],[Need_RRA]]="No", 0, (IF(AND(Table2[[#This Row],[Need_RRA]]="Yes",  Table2[[#This Row],[RRA_pub_date]]=""),1, 0)))))</f>
        <v>0</v>
      </c>
      <c r="AO467" s="34">
        <f>IF(ISBLANK(Table2[[#This Row],[Need_EIS]]), 2,(IF(Table2[[#This Row],[Need_EIS]]="No", 0, (IF(AND(Table2[[#This Row],[Need_EIS]]="Yes",  Table2[[#This Row],[EIS_pub_date]]=""),1, 0)))))</f>
        <v>0</v>
      </c>
      <c r="AP467" s="34">
        <f>IF(ISBLANK(Table2[[#This Row],[Need_DON]]), 2,(IF(Table2[[#This Row],[Need_DON]]="No", 0, (IF(AND(Table2[[#This Row],[Need_DON]]="Yes",  Table2[[#This Row],[DON_pub_date]]=""),1, 0)))))</f>
        <v>0</v>
      </c>
      <c r="AQ467" s="34">
        <f>IF(ISBLANK(Table2[[#This Row],[Pending_question]]), 2,(IF(Table2[[#This Row],[Pending_question]]="Yes", 1, 0)))</f>
        <v>0</v>
      </c>
      <c r="AR467" s="225"/>
    </row>
    <row r="468" spans="1:44" ht="15" customHeight="1">
      <c r="A468" s="63">
        <v>45533</v>
      </c>
      <c r="B468" s="29" t="s">
        <v>15</v>
      </c>
      <c r="C468" s="20" t="str" cm="1">
        <f t="array" ref="C46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68" s="27" t="s">
        <v>1791</v>
      </c>
      <c r="E468" s="70" t="s">
        <v>110</v>
      </c>
      <c r="F468" s="54" t="s">
        <v>256</v>
      </c>
      <c r="G468" s="29" t="s">
        <v>34</v>
      </c>
      <c r="H468" s="55">
        <v>45533</v>
      </c>
      <c r="I468" s="223"/>
      <c r="J468" s="59">
        <v>45545</v>
      </c>
      <c r="K468" s="63" t="s">
        <v>1849</v>
      </c>
      <c r="L468" s="285" t="s">
        <v>1850</v>
      </c>
      <c r="M468" s="70" t="s">
        <v>19</v>
      </c>
      <c r="N468" s="214"/>
      <c r="O468" s="215"/>
      <c r="P468" s="55" t="s">
        <v>19</v>
      </c>
      <c r="Q468" s="84"/>
      <c r="R468" s="54"/>
      <c r="S468" s="29"/>
      <c r="T468" s="223"/>
      <c r="U468" s="29"/>
      <c r="V468" s="29"/>
      <c r="W468" s="29"/>
      <c r="X468" s="27"/>
      <c r="Y468" s="54" t="s">
        <v>30</v>
      </c>
      <c r="Z468" s="29" t="s">
        <v>42</v>
      </c>
      <c r="AA468" s="29" t="s">
        <v>43</v>
      </c>
      <c r="AB468" s="54" t="s">
        <v>1851</v>
      </c>
      <c r="AC468" s="59">
        <v>45530</v>
      </c>
      <c r="AD468" s="223">
        <v>45533</v>
      </c>
      <c r="AE468" s="59">
        <v>45534</v>
      </c>
      <c r="AF468" s="59">
        <v>45535</v>
      </c>
      <c r="AG468" s="59">
        <v>45545</v>
      </c>
      <c r="AH468" s="59">
        <v>45545</v>
      </c>
      <c r="AI468" s="54" t="s">
        <v>30</v>
      </c>
      <c r="AJ468" s="224">
        <v>45547</v>
      </c>
      <c r="AK468" s="85">
        <v>45555</v>
      </c>
      <c r="AL468" s="102"/>
      <c r="AM468" s="41" t="str">
        <f>VLOOKUP(Table2[[#This Row],[country]],Countrycode!A:B,2,FALSE)</f>
        <v>GHA</v>
      </c>
      <c r="AN468" s="34">
        <f>IF(ISBLANK(Table2[[#This Row],[Need_RRA]]), 2,(IF(Table2[[#This Row],[Need_RRA]]="No", 0, (IF(AND(Table2[[#This Row],[Need_RRA]]="Yes",  Table2[[#This Row],[RRA_pub_date]]=""),1, 0)))))</f>
        <v>0</v>
      </c>
      <c r="AO468" s="34">
        <f>IF(ISBLANK(Table2[[#This Row],[Need_EIS]]), 2,(IF(Table2[[#This Row],[Need_EIS]]="No", 0, (IF(AND(Table2[[#This Row],[Need_EIS]]="Yes",  Table2[[#This Row],[EIS_pub_date]]=""),1, 0)))))</f>
        <v>0</v>
      </c>
      <c r="AP468" s="34">
        <f>IF(ISBLANK(Table2[[#This Row],[Need_DON]]), 2,(IF(Table2[[#This Row],[Need_DON]]="No", 0, (IF(AND(Table2[[#This Row],[Need_DON]]="Yes",  Table2[[#This Row],[DON_pub_date]]=""),1, 0)))))</f>
        <v>0</v>
      </c>
      <c r="AQ468" s="34">
        <f>IF(ISBLANK(Table2[[#This Row],[Pending_question]]), 2,(IF(Table2[[#This Row],[Pending_question]]="Yes", 1, 0)))</f>
        <v>0</v>
      </c>
      <c r="AR468" s="225"/>
    </row>
    <row r="469" spans="1:44" ht="15" customHeight="1">
      <c r="A469" s="63">
        <v>45538</v>
      </c>
      <c r="B469" s="29" t="s">
        <v>15</v>
      </c>
      <c r="C469" s="20" t="str" cm="1">
        <f t="array" ref="C46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69" s="27" t="s">
        <v>1852</v>
      </c>
      <c r="E469" s="67" t="s">
        <v>128</v>
      </c>
      <c r="F469" s="29" t="s">
        <v>39</v>
      </c>
      <c r="G469" s="29" t="s">
        <v>93</v>
      </c>
      <c r="H469" s="54"/>
      <c r="I469" s="223"/>
      <c r="J469" s="55"/>
      <c r="K469" s="59"/>
      <c r="L469" s="104"/>
      <c r="M469" s="70" t="s">
        <v>19</v>
      </c>
      <c r="N469" s="223"/>
      <c r="O469" s="226"/>
      <c r="P469" s="59" t="s">
        <v>30</v>
      </c>
      <c r="Q469" s="84">
        <v>6</v>
      </c>
      <c r="R469" s="29" t="s">
        <v>1853</v>
      </c>
      <c r="S469" s="59"/>
      <c r="T469" s="59">
        <v>45538</v>
      </c>
      <c r="U469" s="59">
        <v>45559</v>
      </c>
      <c r="V469" s="29" t="s">
        <v>34</v>
      </c>
      <c r="W469" s="29" t="s">
        <v>34</v>
      </c>
      <c r="X469" s="27" t="s">
        <v>41</v>
      </c>
      <c r="Y469" s="29" t="s">
        <v>19</v>
      </c>
      <c r="Z469" s="29"/>
      <c r="AA469" s="29"/>
      <c r="AB469" s="29"/>
      <c r="AC469" s="29"/>
      <c r="AD469" s="223"/>
      <c r="AE469" s="29"/>
      <c r="AF469" s="29"/>
      <c r="AG469" s="29"/>
      <c r="AH469" s="27"/>
      <c r="AI469" s="29" t="s">
        <v>19</v>
      </c>
      <c r="AJ469" s="224"/>
      <c r="AK469" s="198"/>
      <c r="AL469" s="102"/>
      <c r="AM469" s="41" t="str">
        <f>VLOOKUP(Table2[[#This Row],[country]],Countrycode!A:B,2,FALSE)</f>
        <v>MLX</v>
      </c>
      <c r="AN469" s="34">
        <f>IF(ISBLANK(Table2[[#This Row],[Need_RRA]]), 2,(IF(Table2[[#This Row],[Need_RRA]]="No", 0, (IF(AND(Table2[[#This Row],[Need_RRA]]="Yes",  Table2[[#This Row],[RRA_pub_date]]=""),1, 0)))))</f>
        <v>0</v>
      </c>
      <c r="AO469" s="34">
        <f>IF(ISBLANK(Table2[[#This Row],[Need_EIS]]), 2,(IF(Table2[[#This Row],[Need_EIS]]="No", 0, (IF(AND(Table2[[#This Row],[Need_EIS]]="Yes",  Table2[[#This Row],[EIS_pub_date]]=""),1, 0)))))</f>
        <v>0</v>
      </c>
      <c r="AP469" s="34">
        <f>IF(ISBLANK(Table2[[#This Row],[Need_DON]]), 2,(IF(Table2[[#This Row],[Need_DON]]="No", 0, (IF(AND(Table2[[#This Row],[Need_DON]]="Yes",  Table2[[#This Row],[DON_pub_date]]=""),1, 0)))))</f>
        <v>0</v>
      </c>
      <c r="AQ469" s="34">
        <f>IF(ISBLANK(Table2[[#This Row],[Pending_question]]), 2,(IF(Table2[[#This Row],[Pending_question]]="Yes", 1, 0)))</f>
        <v>0</v>
      </c>
      <c r="AR469" s="225"/>
    </row>
    <row r="470" spans="1:44" ht="15" customHeight="1">
      <c r="A470" s="63">
        <v>45544</v>
      </c>
      <c r="B470" s="29" t="s">
        <v>15</v>
      </c>
      <c r="C470" s="20" t="str" cm="1">
        <f t="array" ref="C47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70" s="27" t="s">
        <v>1854</v>
      </c>
      <c r="E470" s="67" t="s">
        <v>99</v>
      </c>
      <c r="F470" s="29" t="s">
        <v>403</v>
      </c>
      <c r="G470" s="29" t="s">
        <v>34</v>
      </c>
      <c r="H470" s="59">
        <v>45544</v>
      </c>
      <c r="I470" s="223"/>
      <c r="J470" s="59">
        <v>45541</v>
      </c>
      <c r="K470" s="29" t="s">
        <v>1677</v>
      </c>
      <c r="L470" s="104" t="s">
        <v>1792</v>
      </c>
      <c r="M470" s="70" t="s">
        <v>19</v>
      </c>
      <c r="N470" s="223"/>
      <c r="O470" s="226"/>
      <c r="P470" s="59" t="s">
        <v>19</v>
      </c>
      <c r="Q470" s="84"/>
      <c r="R470" s="29"/>
      <c r="S470" s="29"/>
      <c r="T470" s="223"/>
      <c r="U470" s="29"/>
      <c r="V470" s="29"/>
      <c r="W470" s="29"/>
      <c r="X470" s="27"/>
      <c r="Y470" s="29" t="s">
        <v>30</v>
      </c>
      <c r="Z470" s="29" t="s">
        <v>42</v>
      </c>
      <c r="AA470" s="29" t="s">
        <v>22</v>
      </c>
      <c r="AB470" s="29" t="s">
        <v>1855</v>
      </c>
      <c r="AC470" s="59">
        <v>45541</v>
      </c>
      <c r="AD470" s="223">
        <v>45543</v>
      </c>
      <c r="AE470" s="59">
        <v>45544</v>
      </c>
      <c r="AF470" s="29"/>
      <c r="AG470" s="29"/>
      <c r="AH470" s="85">
        <v>45547</v>
      </c>
      <c r="AI470" s="29" t="s">
        <v>19</v>
      </c>
      <c r="AJ470" s="224"/>
      <c r="AK470" s="27"/>
      <c r="AL470" s="102"/>
      <c r="AM470" s="41" t="str">
        <f>VLOOKUP(Table2[[#This Row],[country]],Countrycode!A:B,2,FALSE)</f>
        <v>USA</v>
      </c>
      <c r="AN470" s="34">
        <f>IF(ISBLANK(Table2[[#This Row],[Need_RRA]]), 2,(IF(Table2[[#This Row],[Need_RRA]]="No", 0, (IF(AND(Table2[[#This Row],[Need_RRA]]="Yes",  Table2[[#This Row],[RRA_pub_date]]=""),1, 0)))))</f>
        <v>0</v>
      </c>
      <c r="AO470" s="34">
        <f>IF(ISBLANK(Table2[[#This Row],[Need_EIS]]), 2,(IF(Table2[[#This Row],[Need_EIS]]="No", 0, (IF(AND(Table2[[#This Row],[Need_EIS]]="Yes",  Table2[[#This Row],[EIS_pub_date]]=""),1, 0)))))</f>
        <v>0</v>
      </c>
      <c r="AP470" s="34">
        <f>IF(ISBLANK(Table2[[#This Row],[Need_DON]]), 2,(IF(Table2[[#This Row],[Need_DON]]="No", 0, (IF(AND(Table2[[#This Row],[Need_DON]]="Yes",  Table2[[#This Row],[DON_pub_date]]=""),1, 0)))))</f>
        <v>0</v>
      </c>
      <c r="AQ470" s="34">
        <f>IF(ISBLANK(Table2[[#This Row],[Pending_question]]), 2,(IF(Table2[[#This Row],[Pending_question]]="Yes", 1, 0)))</f>
        <v>0</v>
      </c>
      <c r="AR470" s="225"/>
    </row>
    <row r="471" spans="1:44" ht="15" customHeight="1">
      <c r="A471" s="63">
        <v>45546</v>
      </c>
      <c r="B471" s="29" t="s">
        <v>15</v>
      </c>
      <c r="C471" s="20" t="str" cm="1">
        <f t="array" ref="C47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71" s="27" t="s">
        <v>1856</v>
      </c>
      <c r="E471" s="67" t="s">
        <v>110</v>
      </c>
      <c r="F471" s="29" t="s">
        <v>173</v>
      </c>
      <c r="G471" s="29" t="s">
        <v>34</v>
      </c>
      <c r="H471" s="59">
        <v>45546</v>
      </c>
      <c r="I471" s="59">
        <v>45546</v>
      </c>
      <c r="J471" s="59">
        <v>45547</v>
      </c>
      <c r="K471" s="59" t="s">
        <v>1857</v>
      </c>
      <c r="L471" s="104" t="s">
        <v>1858</v>
      </c>
      <c r="M471" s="70" t="s">
        <v>19</v>
      </c>
      <c r="N471" s="223"/>
      <c r="O471" s="226"/>
      <c r="P471" s="59" t="s">
        <v>19</v>
      </c>
      <c r="Q471" s="84"/>
      <c r="R471" s="29"/>
      <c r="S471" s="29"/>
      <c r="T471" s="223"/>
      <c r="U471" s="29"/>
      <c r="V471" s="29"/>
      <c r="W471" s="29"/>
      <c r="X471" s="27"/>
      <c r="Y471" s="29" t="s">
        <v>30</v>
      </c>
      <c r="Z471" s="29" t="s">
        <v>42</v>
      </c>
      <c r="AA471" s="29" t="s">
        <v>22</v>
      </c>
      <c r="AB471" s="29" t="s">
        <v>1859</v>
      </c>
      <c r="AC471" s="59">
        <v>45546</v>
      </c>
      <c r="AD471" s="59">
        <v>45546</v>
      </c>
      <c r="AE471" s="59">
        <v>45547</v>
      </c>
      <c r="AF471" s="59">
        <v>45548</v>
      </c>
      <c r="AG471" s="59">
        <v>45554</v>
      </c>
      <c r="AH471" s="85">
        <v>45555</v>
      </c>
      <c r="AI471" s="29" t="s">
        <v>19</v>
      </c>
      <c r="AJ471" s="224"/>
      <c r="AK471" s="27"/>
      <c r="AL471" s="102"/>
      <c r="AM471" s="41" t="str">
        <f>VLOOKUP(Table2[[#This Row],[country]],Countrycode!A:B,2,FALSE)</f>
        <v>CHN</v>
      </c>
      <c r="AN471" s="34">
        <f>IF(ISBLANK(Table2[[#This Row],[Need_RRA]]), 2,(IF(Table2[[#This Row],[Need_RRA]]="No", 0, (IF(AND(Table2[[#This Row],[Need_RRA]]="Yes",  Table2[[#This Row],[RRA_pub_date]]=""),1, 0)))))</f>
        <v>0</v>
      </c>
      <c r="AO471" s="34">
        <f>IF(ISBLANK(Table2[[#This Row],[Need_EIS]]), 2,(IF(Table2[[#This Row],[Need_EIS]]="No", 0, (IF(AND(Table2[[#This Row],[Need_EIS]]="Yes",  Table2[[#This Row],[EIS_pub_date]]=""),1, 0)))))</f>
        <v>0</v>
      </c>
      <c r="AP471" s="34">
        <f>IF(ISBLANK(Table2[[#This Row],[Need_DON]]), 2,(IF(Table2[[#This Row],[Need_DON]]="No", 0, (IF(AND(Table2[[#This Row],[Need_DON]]="Yes",  Table2[[#This Row],[DON_pub_date]]=""),1, 0)))))</f>
        <v>0</v>
      </c>
      <c r="AQ471" s="34">
        <f>IF(ISBLANK(Table2[[#This Row],[Pending_question]]), 2,(IF(Table2[[#This Row],[Pending_question]]="Yes", 1, 0)))</f>
        <v>0</v>
      </c>
      <c r="AR471" s="225"/>
    </row>
    <row r="472" spans="1:44" ht="15" customHeight="1">
      <c r="A472" s="63">
        <v>45547</v>
      </c>
      <c r="B472" s="29" t="s">
        <v>15</v>
      </c>
      <c r="C472" s="20" t="str" cm="1">
        <f t="array" ref="C47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72" s="27" t="s">
        <v>1860</v>
      </c>
      <c r="E472" s="70" t="s">
        <v>190</v>
      </c>
      <c r="F472" s="54" t="s">
        <v>267</v>
      </c>
      <c r="G472" s="29" t="s">
        <v>34</v>
      </c>
      <c r="H472" s="55">
        <v>45547</v>
      </c>
      <c r="I472" s="223"/>
      <c r="J472" s="59">
        <v>45545</v>
      </c>
      <c r="K472" s="59" t="s">
        <v>1861</v>
      </c>
      <c r="L472" s="104" t="s">
        <v>1862</v>
      </c>
      <c r="M472" s="70" t="s">
        <v>30</v>
      </c>
      <c r="N472" s="214" t="s">
        <v>1863</v>
      </c>
      <c r="O472" s="215">
        <v>45547</v>
      </c>
      <c r="P472" s="55" t="s">
        <v>19</v>
      </c>
      <c r="Q472" s="84"/>
      <c r="R472" s="54"/>
      <c r="S472" s="29"/>
      <c r="T472" s="223"/>
      <c r="U472" s="29"/>
      <c r="V472" s="29"/>
      <c r="W472" s="29"/>
      <c r="X472" s="27"/>
      <c r="Y472" s="54" t="s">
        <v>30</v>
      </c>
      <c r="Z472" s="29" t="s">
        <v>42</v>
      </c>
      <c r="AA472" s="29" t="s">
        <v>22</v>
      </c>
      <c r="AB472" s="55" t="s">
        <v>1864</v>
      </c>
      <c r="AC472" s="59">
        <v>45546</v>
      </c>
      <c r="AD472" s="223">
        <v>45546</v>
      </c>
      <c r="AE472" s="59">
        <v>45547</v>
      </c>
      <c r="AF472" s="29"/>
      <c r="AG472" s="29"/>
      <c r="AH472" s="85">
        <v>45551</v>
      </c>
      <c r="AI472" s="54" t="s">
        <v>19</v>
      </c>
      <c r="AJ472" s="224"/>
      <c r="AK472" s="27"/>
      <c r="AL472" s="102"/>
      <c r="AM472" s="41" t="str">
        <f>VLOOKUP(Table2[[#This Row],[country]],Countrycode!A:B,2,FALSE)</f>
        <v>GUY</v>
      </c>
      <c r="AN472" s="34">
        <f>IF(ISBLANK(Table2[[#This Row],[Need_RRA]]), 2,(IF(Table2[[#This Row],[Need_RRA]]="No", 0, (IF(AND(Table2[[#This Row],[Need_RRA]]="Yes",  Table2[[#This Row],[RRA_pub_date]]=""),1, 0)))))</f>
        <v>0</v>
      </c>
      <c r="AO472" s="34">
        <f>IF(ISBLANK(Table2[[#This Row],[Need_EIS]]), 2,(IF(Table2[[#This Row],[Need_EIS]]="No", 0, (IF(AND(Table2[[#This Row],[Need_EIS]]="Yes",  Table2[[#This Row],[EIS_pub_date]]=""),1, 0)))))</f>
        <v>0</v>
      </c>
      <c r="AP472" s="34">
        <f>IF(ISBLANK(Table2[[#This Row],[Need_DON]]), 2,(IF(Table2[[#This Row],[Need_DON]]="No", 0, (IF(AND(Table2[[#This Row],[Need_DON]]="Yes",  Table2[[#This Row],[DON_pub_date]]=""),1, 0)))))</f>
        <v>0</v>
      </c>
      <c r="AQ472" s="34">
        <f>IF(ISBLANK(Table2[[#This Row],[Pending_question]]), 2,(IF(Table2[[#This Row],[Pending_question]]="Yes", 1, 0)))</f>
        <v>1</v>
      </c>
      <c r="AR472" s="225"/>
    </row>
    <row r="473" spans="1:44" ht="15" customHeight="1">
      <c r="A473" s="63">
        <v>45552</v>
      </c>
      <c r="B473" s="29" t="s">
        <v>15</v>
      </c>
      <c r="C473" s="284" t="str" cm="1">
        <f t="array" ref="C47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73" s="27" t="s">
        <v>1865</v>
      </c>
      <c r="E473" s="67" t="s">
        <v>248</v>
      </c>
      <c r="F473" s="29" t="s">
        <v>119</v>
      </c>
      <c r="G473" s="29" t="s">
        <v>34</v>
      </c>
      <c r="H473" s="59">
        <v>45552</v>
      </c>
      <c r="I473" s="223"/>
      <c r="J473" s="59">
        <v>45551</v>
      </c>
      <c r="K473" s="59" t="s">
        <v>1866</v>
      </c>
      <c r="L473" s="285" t="s">
        <v>1867</v>
      </c>
      <c r="M473" s="283" t="s">
        <v>19</v>
      </c>
      <c r="N473" s="223"/>
      <c r="O473" s="226"/>
      <c r="P473" s="59" t="s">
        <v>19</v>
      </c>
      <c r="Q473" s="84"/>
      <c r="R473" s="29"/>
      <c r="S473" s="59"/>
      <c r="T473" s="59"/>
      <c r="U473" s="59"/>
      <c r="V473" s="29"/>
      <c r="W473" s="29"/>
      <c r="X473" s="27"/>
      <c r="Y473" s="29" t="s">
        <v>30</v>
      </c>
      <c r="Z473" s="29" t="s">
        <v>42</v>
      </c>
      <c r="AA473" s="29" t="s">
        <v>22</v>
      </c>
      <c r="AB473" s="29" t="s">
        <v>1868</v>
      </c>
      <c r="AC473" s="59">
        <v>45553</v>
      </c>
      <c r="AD473" s="59">
        <v>45554</v>
      </c>
      <c r="AE473" s="59">
        <v>45555</v>
      </c>
      <c r="AF473" s="29"/>
      <c r="AG473" s="29"/>
      <c r="AH473" s="85">
        <v>45560</v>
      </c>
      <c r="AI473" s="29" t="s">
        <v>30</v>
      </c>
      <c r="AJ473" s="224">
        <v>45562</v>
      </c>
      <c r="AK473" s="226">
        <v>45568</v>
      </c>
      <c r="AL473" s="102"/>
      <c r="AM473" s="41" t="str">
        <f>VLOOKUP(Table2[[#This Row],[country]],Countrycode!A:B,2,FALSE)</f>
        <v>BRB</v>
      </c>
      <c r="AN473" s="34">
        <f>IF(ISBLANK(Table2[[#This Row],[Need_RRA]]), 2,(IF(Table2[[#This Row],[Need_RRA]]="No", 0, (IF(AND(Table2[[#This Row],[Need_RRA]]="Yes",  Table2[[#This Row],[RRA_pub_date]]=""),1, 0)))))</f>
        <v>0</v>
      </c>
      <c r="AO473" s="34">
        <f>IF(ISBLANK(Table2[[#This Row],[Need_EIS]]), 2,(IF(Table2[[#This Row],[Need_EIS]]="No", 0, (IF(AND(Table2[[#This Row],[Need_EIS]]="Yes",  Table2[[#This Row],[EIS_pub_date]]=""),1, 0)))))</f>
        <v>0</v>
      </c>
      <c r="AP473" s="34">
        <f>IF(ISBLANK(Table2[[#This Row],[Need_DON]]), 2,(IF(Table2[[#This Row],[Need_DON]]="No", 0, (IF(AND(Table2[[#This Row],[Need_DON]]="Yes",  Table2[[#This Row],[DON_pub_date]]=""),1, 0)))))</f>
        <v>0</v>
      </c>
      <c r="AQ473" s="34">
        <f>IF(ISBLANK(Table2[[#This Row],[Pending_question]]), 2,(IF(Table2[[#This Row],[Pending_question]]="Yes", 1, 0)))</f>
        <v>0</v>
      </c>
      <c r="AR473" s="225"/>
    </row>
    <row r="474" spans="1:44" ht="15" customHeight="1">
      <c r="A474" s="63">
        <v>45554</v>
      </c>
      <c r="B474" s="29" t="s">
        <v>15</v>
      </c>
      <c r="C474" s="20" t="str" cm="1">
        <f t="array" ref="C47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74" s="27" t="s">
        <v>1316</v>
      </c>
      <c r="E474" s="67" t="s">
        <v>180</v>
      </c>
      <c r="F474" s="29" t="s">
        <v>363</v>
      </c>
      <c r="G474" s="29" t="s">
        <v>34</v>
      </c>
      <c r="H474" s="59">
        <v>45554</v>
      </c>
      <c r="I474" s="223">
        <v>45547</v>
      </c>
      <c r="J474" s="59">
        <v>45543</v>
      </c>
      <c r="K474" s="59" t="s">
        <v>852</v>
      </c>
      <c r="L474" s="182" t="s">
        <v>1869</v>
      </c>
      <c r="M474" s="67" t="s">
        <v>19</v>
      </c>
      <c r="N474" s="223"/>
      <c r="O474" s="226"/>
      <c r="P474" s="59" t="s">
        <v>19</v>
      </c>
      <c r="Q474" s="84"/>
      <c r="R474" s="29"/>
      <c r="S474" s="59"/>
      <c r="T474" s="59"/>
      <c r="U474" s="59"/>
      <c r="V474" s="29"/>
      <c r="W474" s="29"/>
      <c r="X474" s="27"/>
      <c r="Y474" s="29" t="s">
        <v>30</v>
      </c>
      <c r="Z474" s="29" t="s">
        <v>42</v>
      </c>
      <c r="AA474" s="29" t="s">
        <v>22</v>
      </c>
      <c r="AB474" s="29" t="s">
        <v>1870</v>
      </c>
      <c r="AC474" s="59">
        <v>45544</v>
      </c>
      <c r="AD474" s="59">
        <v>45544</v>
      </c>
      <c r="AE474" s="59">
        <v>45545</v>
      </c>
      <c r="AF474" s="29"/>
      <c r="AG474" s="29"/>
      <c r="AH474" s="85">
        <v>45559</v>
      </c>
      <c r="AI474" s="29" t="s">
        <v>30</v>
      </c>
      <c r="AJ474" s="224">
        <v>45559</v>
      </c>
      <c r="AK474" s="224">
        <v>45567</v>
      </c>
      <c r="AL474" s="102"/>
      <c r="AM474" s="41" t="str">
        <f>VLOOKUP(Table2[[#This Row],[country]],Countrycode!A:B,2,FALSE)</f>
        <v>SAU</v>
      </c>
      <c r="AN474" s="34">
        <f>IF(ISBLANK(Table2[[#This Row],[Need_RRA]]), 2,(IF(Table2[[#This Row],[Need_RRA]]="No", 0, (IF(AND(Table2[[#This Row],[Need_RRA]]="Yes",  Table2[[#This Row],[RRA_pub_date]]=""),1, 0)))))</f>
        <v>0</v>
      </c>
      <c r="AO474" s="34">
        <f>IF(ISBLANK(Table2[[#This Row],[Need_EIS]]), 2,(IF(Table2[[#This Row],[Need_EIS]]="No", 0, (IF(AND(Table2[[#This Row],[Need_EIS]]="Yes",  Table2[[#This Row],[EIS_pub_date]]=""),1, 0)))))</f>
        <v>0</v>
      </c>
      <c r="AP474" s="34">
        <f>IF(ISBLANK(Table2[[#This Row],[Need_DON]]), 2,(IF(Table2[[#This Row],[Need_DON]]="No", 0, (IF(AND(Table2[[#This Row],[Need_DON]]="Yes",  Table2[[#This Row],[DON_pub_date]]=""),1, 0)))))</f>
        <v>0</v>
      </c>
      <c r="AQ474" s="34">
        <f>IF(ISBLANK(Table2[[#This Row],[Pending_question]]), 2,(IF(Table2[[#This Row],[Pending_question]]="Yes", 1, 0)))</f>
        <v>0</v>
      </c>
      <c r="AR474" s="225"/>
    </row>
    <row r="475" spans="1:44" ht="15" customHeight="1">
      <c r="A475" s="63">
        <v>45561</v>
      </c>
      <c r="B475" s="29" t="s">
        <v>15</v>
      </c>
      <c r="C475" s="16" t="str" cm="1">
        <f t="array" ref="C47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75" s="27" t="s">
        <v>1447</v>
      </c>
      <c r="E475" s="67" t="s">
        <v>194</v>
      </c>
      <c r="F475" s="29" t="s">
        <v>377</v>
      </c>
      <c r="G475" s="29" t="s">
        <v>34</v>
      </c>
      <c r="H475" s="59"/>
      <c r="I475" s="223"/>
      <c r="J475" s="59">
        <v>45561</v>
      </c>
      <c r="K475" s="59" t="s">
        <v>1871</v>
      </c>
      <c r="L475" s="104" t="s">
        <v>1872</v>
      </c>
      <c r="M475" s="283" t="s">
        <v>19</v>
      </c>
      <c r="N475" s="223"/>
      <c r="O475" s="226"/>
      <c r="P475" s="59" t="s">
        <v>19</v>
      </c>
      <c r="Q475" s="84"/>
      <c r="R475" s="29"/>
      <c r="S475" s="29"/>
      <c r="T475" s="223"/>
      <c r="U475" s="29"/>
      <c r="V475" s="29"/>
      <c r="W475" s="29"/>
      <c r="X475" s="27"/>
      <c r="Y475" s="29" t="s">
        <v>30</v>
      </c>
      <c r="Z475" s="29" t="s">
        <v>42</v>
      </c>
      <c r="AA475" s="29" t="s">
        <v>22</v>
      </c>
      <c r="AB475" s="29" t="s">
        <v>1873</v>
      </c>
      <c r="AC475" s="59">
        <v>45560</v>
      </c>
      <c r="AD475" s="59">
        <v>45562</v>
      </c>
      <c r="AE475" s="59"/>
      <c r="AF475" s="29"/>
      <c r="AG475" s="29"/>
      <c r="AH475" s="85">
        <v>45575</v>
      </c>
      <c r="AI475" s="29" t="s">
        <v>19</v>
      </c>
      <c r="AJ475" s="224"/>
      <c r="AK475" s="198"/>
      <c r="AL475" s="102"/>
      <c r="AM475" s="41" t="str">
        <f>VLOOKUP(Table2[[#This Row],[country]],Countrycode!A:B,2,FALSE)</f>
        <v>ESP</v>
      </c>
      <c r="AN475" s="34">
        <f>IF(ISBLANK(Table2[[#This Row],[Need_RRA]]), 2,(IF(Table2[[#This Row],[Need_RRA]]="No", 0, (IF(AND(Table2[[#This Row],[Need_RRA]]="Yes",  Table2[[#This Row],[RRA_pub_date]]=""),1, 0)))))</f>
        <v>0</v>
      </c>
      <c r="AO475" s="34">
        <f>IF(ISBLANK(Table2[[#This Row],[Need_EIS]]), 2,(IF(Table2[[#This Row],[Need_EIS]]="No", 0, (IF(AND(Table2[[#This Row],[Need_EIS]]="Yes",  Table2[[#This Row],[EIS_pub_date]]=""),1, 0)))))</f>
        <v>0</v>
      </c>
      <c r="AP475" s="34">
        <f>IF(ISBLANK(Table2[[#This Row],[Need_DON]]), 2,(IF(Table2[[#This Row],[Need_DON]]="No", 0, (IF(AND(Table2[[#This Row],[Need_DON]]="Yes",  Table2[[#This Row],[DON_pub_date]]=""),1, 0)))))</f>
        <v>0</v>
      </c>
      <c r="AQ475" s="34">
        <f>IF(ISBLANK(Table2[[#This Row],[Pending_question]]), 2,(IF(Table2[[#This Row],[Pending_question]]="Yes", 1, 0)))</f>
        <v>0</v>
      </c>
      <c r="AR475" s="225"/>
    </row>
    <row r="476" spans="1:44" ht="15" customHeight="1">
      <c r="A476" s="63">
        <v>45562</v>
      </c>
      <c r="B476" s="29" t="s">
        <v>15</v>
      </c>
      <c r="C476" s="284" t="str" cm="1">
        <f t="array" ref="C47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76" s="27" t="s">
        <v>1874</v>
      </c>
      <c r="E476" s="70" t="s">
        <v>174</v>
      </c>
      <c r="F476" s="54" t="s">
        <v>352</v>
      </c>
      <c r="G476" s="29" t="s">
        <v>34</v>
      </c>
      <c r="H476" s="55">
        <v>45562</v>
      </c>
      <c r="I476" s="59">
        <v>45564</v>
      </c>
      <c r="J476" s="59">
        <v>45563</v>
      </c>
      <c r="K476" s="59" t="s">
        <v>1875</v>
      </c>
      <c r="L476" s="104" t="s">
        <v>1876</v>
      </c>
      <c r="M476" s="213" t="s">
        <v>19</v>
      </c>
      <c r="N476" s="214"/>
      <c r="O476" s="215"/>
      <c r="P476" s="55" t="s">
        <v>30</v>
      </c>
      <c r="Q476" s="84">
        <v>1</v>
      </c>
      <c r="R476" s="54"/>
      <c r="S476" s="59">
        <v>45564</v>
      </c>
      <c r="T476" s="59">
        <v>45564</v>
      </c>
      <c r="U476" s="59">
        <v>45565</v>
      </c>
      <c r="V476" s="29" t="s">
        <v>41</v>
      </c>
      <c r="W476" s="29" t="s">
        <v>20</v>
      </c>
      <c r="X476" s="27" t="s">
        <v>51</v>
      </c>
      <c r="Y476" s="54" t="s">
        <v>30</v>
      </c>
      <c r="Z476" s="29" t="s">
        <v>42</v>
      </c>
      <c r="AA476" s="29" t="s">
        <v>43</v>
      </c>
      <c r="AB476" s="54" t="s">
        <v>1877</v>
      </c>
      <c r="AC476" s="59">
        <v>45562</v>
      </c>
      <c r="AD476" s="59">
        <v>45563</v>
      </c>
      <c r="AE476" s="59">
        <v>45563</v>
      </c>
      <c r="AF476" s="59">
        <v>45563</v>
      </c>
      <c r="AG476" s="29"/>
      <c r="AH476" s="85">
        <v>45564</v>
      </c>
      <c r="AI476" s="54" t="s">
        <v>30</v>
      </c>
      <c r="AJ476" s="224">
        <v>45564</v>
      </c>
      <c r="AK476" s="226">
        <v>45565</v>
      </c>
      <c r="AL476" s="102"/>
      <c r="AM476" s="41" t="str">
        <f>VLOOKUP(Table2[[#This Row],[country]],Countrycode!A:B,2,FALSE)</f>
        <v>RWA</v>
      </c>
      <c r="AN476" s="34">
        <f>IF(ISBLANK(Table2[[#This Row],[Need_RRA]]), 2,(IF(Table2[[#This Row],[Need_RRA]]="No", 0, (IF(AND(Table2[[#This Row],[Need_RRA]]="Yes",  Table2[[#This Row],[RRA_pub_date]]=""),1, 0)))))</f>
        <v>0</v>
      </c>
      <c r="AO476" s="34">
        <f>IF(ISBLANK(Table2[[#This Row],[Need_EIS]]), 2,(IF(Table2[[#This Row],[Need_EIS]]="No", 0, (IF(AND(Table2[[#This Row],[Need_EIS]]="Yes",  Table2[[#This Row],[EIS_pub_date]]=""),1, 0)))))</f>
        <v>0</v>
      </c>
      <c r="AP476" s="34">
        <f>IF(ISBLANK(Table2[[#This Row],[Need_DON]]), 2,(IF(Table2[[#This Row],[Need_DON]]="No", 0, (IF(AND(Table2[[#This Row],[Need_DON]]="Yes",  Table2[[#This Row],[DON_pub_date]]=""),1, 0)))))</f>
        <v>0</v>
      </c>
      <c r="AQ476" s="34">
        <f>IF(ISBLANK(Table2[[#This Row],[Pending_question]]), 2,(IF(Table2[[#This Row],[Pending_question]]="Yes", 1, 0)))</f>
        <v>0</v>
      </c>
      <c r="AR476" s="225"/>
    </row>
    <row r="477" spans="1:44" ht="15" customHeight="1">
      <c r="A477" s="63">
        <v>45563</v>
      </c>
      <c r="B477" s="29" t="s">
        <v>15</v>
      </c>
      <c r="C477" s="34" t="str" cm="1">
        <f t="array" ref="C47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77" s="27" t="s">
        <v>1878</v>
      </c>
      <c r="E477" s="70" t="s">
        <v>174</v>
      </c>
      <c r="F477" s="54" t="s">
        <v>352</v>
      </c>
      <c r="G477" s="29" t="s">
        <v>34</v>
      </c>
      <c r="H477" s="54"/>
      <c r="I477" s="59">
        <v>45562</v>
      </c>
      <c r="J477" s="59">
        <v>45563</v>
      </c>
      <c r="K477" s="59" t="s">
        <v>1875</v>
      </c>
      <c r="L477" s="104" t="s">
        <v>1876</v>
      </c>
      <c r="M477" s="121"/>
      <c r="N477" s="55"/>
      <c r="O477" s="71"/>
      <c r="P477" s="55" t="s">
        <v>30</v>
      </c>
      <c r="Q477" s="84">
        <v>2</v>
      </c>
      <c r="R477" s="54" t="s">
        <v>1879</v>
      </c>
      <c r="S477" s="59">
        <v>45614</v>
      </c>
      <c r="T477" s="59">
        <v>45614</v>
      </c>
      <c r="U477" s="150">
        <v>45618</v>
      </c>
      <c r="V477" s="29" t="s">
        <v>20</v>
      </c>
      <c r="W477" s="29" t="s">
        <v>51</v>
      </c>
      <c r="X477" s="27" t="s">
        <v>51</v>
      </c>
      <c r="Y477" s="54" t="s">
        <v>19</v>
      </c>
      <c r="Z477" s="29" t="s">
        <v>34</v>
      </c>
      <c r="AA477" s="29"/>
      <c r="AB477" s="54"/>
      <c r="AC477" s="29"/>
      <c r="AD477" s="59"/>
      <c r="AE477" s="29"/>
      <c r="AF477" s="29"/>
      <c r="AG477" s="29"/>
      <c r="AH477" s="27"/>
      <c r="AI477" s="54" t="s">
        <v>19</v>
      </c>
      <c r="AJ477" s="139"/>
      <c r="AK477" s="27"/>
      <c r="AL477" s="102"/>
      <c r="AM477" s="41" t="str">
        <f>VLOOKUP(Table2[[#This Row],[country]],Countrycode!A:B,2,FALSE)</f>
        <v>RWA</v>
      </c>
      <c r="AN477" s="34">
        <f>IF(ISBLANK(Table2[[#This Row],[Need_RRA]]), 2,(IF(Table2[[#This Row],[Need_RRA]]="No", 0, (IF(AND(Table2[[#This Row],[Need_RRA]]="Yes",  Table2[[#This Row],[RRA_pub_date]]=""),1, 0)))))</f>
        <v>0</v>
      </c>
      <c r="AO477" s="34">
        <f>IF(ISBLANK(Table2[[#This Row],[Need_EIS]]), 2,(IF(Table2[[#This Row],[Need_EIS]]="No", 0, (IF(AND(Table2[[#This Row],[Need_EIS]]="Yes",  Table2[[#This Row],[EIS_pub_date]]=""),1, 0)))))</f>
        <v>0</v>
      </c>
      <c r="AP477" s="34">
        <f>IF(ISBLANK(Table2[[#This Row],[Need_DON]]), 2,(IF(Table2[[#This Row],[Need_DON]]="No", 0, (IF(AND(Table2[[#This Row],[Need_DON]]="Yes",  Table2[[#This Row],[DON_pub_date]]=""),1, 0)))))</f>
        <v>0</v>
      </c>
      <c r="AQ477" s="34">
        <f>IF(ISBLANK(Table2[[#This Row],[Pending_question]]), 2,(IF(Table2[[#This Row],[Pending_question]]="Yes", 1, 0)))</f>
        <v>2</v>
      </c>
      <c r="AR477" s="43"/>
    </row>
    <row r="478" spans="1:44" ht="15" customHeight="1">
      <c r="A478" s="63">
        <v>45563</v>
      </c>
      <c r="B478" s="29" t="s">
        <v>15</v>
      </c>
      <c r="C478" s="34" t="str" cm="1">
        <f t="array" ref="C47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78" s="27" t="s">
        <v>1741</v>
      </c>
      <c r="E478" s="70" t="s">
        <v>174</v>
      </c>
      <c r="F478" s="54" t="s">
        <v>352</v>
      </c>
      <c r="G478" s="29" t="s">
        <v>34</v>
      </c>
      <c r="H478" s="54"/>
      <c r="I478" s="214"/>
      <c r="J478" s="59">
        <v>45563</v>
      </c>
      <c r="K478" s="59" t="s">
        <v>1875</v>
      </c>
      <c r="L478" s="104" t="s">
        <v>1876</v>
      </c>
      <c r="M478" s="213" t="s">
        <v>19</v>
      </c>
      <c r="N478" s="214"/>
      <c r="O478" s="215"/>
      <c r="P478" s="55" t="s">
        <v>19</v>
      </c>
      <c r="Q478" s="84"/>
      <c r="R478" s="54"/>
      <c r="S478" s="29"/>
      <c r="T478" s="223"/>
      <c r="U478" s="29"/>
      <c r="V478" s="29"/>
      <c r="W478" s="29"/>
      <c r="X478" s="27"/>
      <c r="Y478" s="54" t="s">
        <v>19</v>
      </c>
      <c r="Z478" s="29"/>
      <c r="AA478" s="29"/>
      <c r="AC478" s="29"/>
      <c r="AD478" s="339"/>
      <c r="AE478" s="29"/>
      <c r="AF478" s="29"/>
      <c r="AG478" s="29"/>
      <c r="AH478" s="29"/>
      <c r="AI478" s="54" t="s">
        <v>30</v>
      </c>
      <c r="AJ478" s="224">
        <v>45572</v>
      </c>
      <c r="AK478" s="226">
        <v>45576</v>
      </c>
      <c r="AL478" s="102"/>
      <c r="AM478" s="41" t="str">
        <f>VLOOKUP(Table2[[#This Row],[country]],Countrycode!A:B,2,FALSE)</f>
        <v>RWA</v>
      </c>
      <c r="AN478" s="34">
        <f>IF(ISBLANK(Table2[[#This Row],[Need_RRA]]), 2,(IF(Table2[[#This Row],[Need_RRA]]="No", 0, (IF(AND(Table2[[#This Row],[Need_RRA]]="Yes",  Table2[[#This Row],[RRA_pub_date]]=""),1, 0)))))</f>
        <v>0</v>
      </c>
      <c r="AO478" s="34">
        <f>IF(ISBLANK(Table2[[#This Row],[Need_EIS]]), 2,(IF(Table2[[#This Row],[Need_EIS]]="No", 0, (IF(AND(Table2[[#This Row],[Need_EIS]]="Yes",  Table2[[#This Row],[EIS_pub_date]]=""),1, 0)))))</f>
        <v>0</v>
      </c>
      <c r="AP478" s="34">
        <f>IF(ISBLANK(Table2[[#This Row],[Need_DON]]), 2,(IF(Table2[[#This Row],[Need_DON]]="No", 0, (IF(AND(Table2[[#This Row],[Need_DON]]="Yes",  Table2[[#This Row],[DON_pub_date]]=""),1, 0)))))</f>
        <v>0</v>
      </c>
      <c r="AQ478" s="34">
        <f>IF(ISBLANK(Table2[[#This Row],[Pending_question]]), 2,(IF(Table2[[#This Row],[Pending_question]]="Yes", 1, 0)))</f>
        <v>0</v>
      </c>
      <c r="AR478" s="225"/>
    </row>
    <row r="479" spans="1:44" ht="15" customHeight="1">
      <c r="A479" s="63">
        <v>45567</v>
      </c>
      <c r="B479" s="29" t="s">
        <v>15</v>
      </c>
      <c r="C479" s="34" t="str" cm="1">
        <f t="array" ref="C47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79" s="27" t="s">
        <v>1880</v>
      </c>
      <c r="E479" s="67" t="s">
        <v>667</v>
      </c>
      <c r="F479" s="29" t="s">
        <v>274</v>
      </c>
      <c r="G479" s="29" t="s">
        <v>34</v>
      </c>
      <c r="H479" s="59">
        <v>45567</v>
      </c>
      <c r="I479" s="223"/>
      <c r="J479" s="59">
        <v>45559</v>
      </c>
      <c r="K479" s="59" t="s">
        <v>1881</v>
      </c>
      <c r="L479" s="104" t="s">
        <v>1882</v>
      </c>
      <c r="M479" s="283"/>
      <c r="N479" s="223" t="s">
        <v>1883</v>
      </c>
      <c r="O479" s="226"/>
      <c r="P479" s="59" t="s">
        <v>19</v>
      </c>
      <c r="Q479" s="84"/>
      <c r="R479" s="29"/>
      <c r="S479" s="29"/>
      <c r="T479" s="223"/>
      <c r="U479" s="29"/>
      <c r="V479" s="29"/>
      <c r="W479" s="29"/>
      <c r="X479" s="27"/>
      <c r="Y479" s="29" t="s">
        <v>19</v>
      </c>
      <c r="Z479" s="29" t="s">
        <v>42</v>
      </c>
      <c r="AA479" s="29" t="s">
        <v>22</v>
      </c>
      <c r="AB479" s="29" t="s">
        <v>1884</v>
      </c>
      <c r="AC479" s="59">
        <v>45566</v>
      </c>
      <c r="AD479" s="223">
        <v>45567</v>
      </c>
      <c r="AE479" s="59">
        <v>45569</v>
      </c>
      <c r="AF479" s="59">
        <v>45569</v>
      </c>
      <c r="AG479" s="59">
        <v>45587</v>
      </c>
      <c r="AH479" s="27"/>
      <c r="AI479" s="29" t="s">
        <v>19</v>
      </c>
      <c r="AJ479" s="224"/>
      <c r="AK479" s="27"/>
      <c r="AL479" s="102"/>
      <c r="AM479" s="41" t="str">
        <f>VLOOKUP(Table2[[#This Row],[country]],Countrycode!A:B,2,FALSE)</f>
        <v>IND</v>
      </c>
      <c r="AN479" s="34">
        <f>IF(ISBLANK(Table2[[#This Row],[Need_RRA]]), 2,(IF(Table2[[#This Row],[Need_RRA]]="No", 0, (IF(AND(Table2[[#This Row],[Need_RRA]]="Yes",  Table2[[#This Row],[RRA_pub_date]]=""),1, 0)))))</f>
        <v>0</v>
      </c>
      <c r="AO479" s="34">
        <f>IF(ISBLANK(Table2[[#This Row],[Need_EIS]]), 2,(IF(Table2[[#This Row],[Need_EIS]]="No", 0, (IF(AND(Table2[[#This Row],[Need_EIS]]="Yes",  Table2[[#This Row],[EIS_pub_date]]=""),1, 0)))))</f>
        <v>0</v>
      </c>
      <c r="AP479" s="34">
        <f>IF(ISBLANK(Table2[[#This Row],[Need_DON]]), 2,(IF(Table2[[#This Row],[Need_DON]]="No", 0, (IF(AND(Table2[[#This Row],[Need_DON]]="Yes",  Table2[[#This Row],[DON_pub_date]]=""),1, 0)))))</f>
        <v>0</v>
      </c>
      <c r="AQ479" s="34">
        <f>IF(ISBLANK(Table2[[#This Row],[Pending_question]]), 2,(IF(Table2[[#This Row],[Pending_question]]="Yes", 1, 0)))</f>
        <v>2</v>
      </c>
      <c r="AR479" s="225"/>
    </row>
    <row r="480" spans="1:44" ht="15" customHeight="1">
      <c r="A480" s="63">
        <v>45569</v>
      </c>
      <c r="B480" s="29" t="s">
        <v>15</v>
      </c>
      <c r="C480" s="34" t="str" cm="1">
        <f t="array" ref="C48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80" s="27" t="s">
        <v>1843</v>
      </c>
      <c r="E480" s="67" t="s">
        <v>99</v>
      </c>
      <c r="F480" s="29" t="s">
        <v>39</v>
      </c>
      <c r="G480" s="29" t="s">
        <v>1082</v>
      </c>
      <c r="H480" s="59"/>
      <c r="I480" s="223"/>
      <c r="J480" s="59"/>
      <c r="K480" s="59"/>
      <c r="L480" s="104"/>
      <c r="M480" s="283"/>
      <c r="N480" s="223"/>
      <c r="O480" s="226"/>
      <c r="P480" s="59" t="s">
        <v>30</v>
      </c>
      <c r="Q480" s="84">
        <v>1</v>
      </c>
      <c r="R480" s="29" t="s">
        <v>1885</v>
      </c>
      <c r="S480" s="59">
        <v>45569</v>
      </c>
      <c r="T480" s="59">
        <v>45573</v>
      </c>
      <c r="U480" s="59">
        <v>45603</v>
      </c>
      <c r="V480" s="29" t="s">
        <v>34</v>
      </c>
      <c r="W480" s="29" t="s">
        <v>32</v>
      </c>
      <c r="X480" s="27" t="s">
        <v>34</v>
      </c>
      <c r="Y480" s="29" t="s">
        <v>19</v>
      </c>
      <c r="Z480" s="29"/>
      <c r="AA480" s="29"/>
      <c r="AB480" s="29"/>
      <c r="AC480" s="29"/>
      <c r="AD480" s="223"/>
      <c r="AE480" s="29"/>
      <c r="AF480" s="29"/>
      <c r="AG480" s="29"/>
      <c r="AH480" s="27"/>
      <c r="AI480" s="29" t="s">
        <v>19</v>
      </c>
      <c r="AJ480" s="224"/>
      <c r="AK480" s="198"/>
      <c r="AL480" s="102"/>
      <c r="AM480" s="41" t="str">
        <f>VLOOKUP(Table2[[#This Row],[country]],Countrycode!A:B,2,FALSE)</f>
        <v>MLX</v>
      </c>
      <c r="AN480" s="34">
        <f>IF(ISBLANK(Table2[[#This Row],[Need_RRA]]), 2,(IF(Table2[[#This Row],[Need_RRA]]="No", 0, (IF(AND(Table2[[#This Row],[Need_RRA]]="Yes",  Table2[[#This Row],[RRA_pub_date]]=""),1, 0)))))</f>
        <v>0</v>
      </c>
      <c r="AO480" s="34">
        <f>IF(ISBLANK(Table2[[#This Row],[Need_EIS]]), 2,(IF(Table2[[#This Row],[Need_EIS]]="No", 0, (IF(AND(Table2[[#This Row],[Need_EIS]]="Yes",  Table2[[#This Row],[EIS_pub_date]]=""),1, 0)))))</f>
        <v>0</v>
      </c>
      <c r="AP480" s="34">
        <f>IF(ISBLANK(Table2[[#This Row],[Need_DON]]), 2,(IF(Table2[[#This Row],[Need_DON]]="No", 0, (IF(AND(Table2[[#This Row],[Need_DON]]="Yes",  Table2[[#This Row],[DON_pub_date]]=""),1, 0)))))</f>
        <v>0</v>
      </c>
      <c r="AQ480" s="34">
        <f>IF(ISBLANK(Table2[[#This Row],[Pending_question]]), 2,(IF(Table2[[#This Row],[Pending_question]]="Yes", 1, 0)))</f>
        <v>2</v>
      </c>
      <c r="AR480" s="225"/>
    </row>
    <row r="481" spans="1:44" ht="15" customHeight="1">
      <c r="A481" s="63">
        <v>45571</v>
      </c>
      <c r="B481" s="29" t="s">
        <v>15</v>
      </c>
      <c r="C481" s="34" t="str" cm="1">
        <f t="array" ref="C48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81" s="27" t="s">
        <v>1352</v>
      </c>
      <c r="E481" s="70" t="s">
        <v>99</v>
      </c>
      <c r="F481" s="54" t="s">
        <v>403</v>
      </c>
      <c r="G481" s="29" t="s">
        <v>34</v>
      </c>
      <c r="H481" s="55">
        <v>45571</v>
      </c>
      <c r="I481" s="223">
        <v>45581</v>
      </c>
      <c r="J481" s="59">
        <v>45569</v>
      </c>
      <c r="K481" s="59" t="s">
        <v>1886</v>
      </c>
      <c r="L481" s="104" t="s">
        <v>1792</v>
      </c>
      <c r="M481" s="213" t="s">
        <v>19</v>
      </c>
      <c r="N481" s="214"/>
      <c r="O481" s="215"/>
      <c r="P481" s="55" t="s">
        <v>19</v>
      </c>
      <c r="Q481" s="84"/>
      <c r="R481" s="54"/>
      <c r="S481" s="29"/>
      <c r="T481" s="223"/>
      <c r="U481" s="29"/>
      <c r="V481" s="29"/>
      <c r="W481" s="29"/>
      <c r="X481" s="27"/>
      <c r="Y481" s="54" t="s">
        <v>30</v>
      </c>
      <c r="Z481" s="29" t="s">
        <v>42</v>
      </c>
      <c r="AA481" s="29" t="s">
        <v>22</v>
      </c>
      <c r="AB481" s="54" t="s">
        <v>1887</v>
      </c>
      <c r="AC481" s="59">
        <v>45569</v>
      </c>
      <c r="AD481" s="223">
        <v>45571</v>
      </c>
      <c r="AE481" s="59">
        <v>45572</v>
      </c>
      <c r="AF481" s="59">
        <v>45572</v>
      </c>
      <c r="AG481" s="59">
        <v>45581</v>
      </c>
      <c r="AH481" s="85">
        <v>45583</v>
      </c>
      <c r="AI481" s="54" t="s">
        <v>19</v>
      </c>
      <c r="AJ481" s="224"/>
      <c r="AK481" s="27"/>
      <c r="AL481" s="102"/>
      <c r="AM481" s="41" t="str">
        <f>VLOOKUP(Table2[[#This Row],[country]],Countrycode!A:B,2,FALSE)</f>
        <v>USA</v>
      </c>
      <c r="AN481" s="34">
        <f>IF(ISBLANK(Table2[[#This Row],[Need_RRA]]), 2,(IF(Table2[[#This Row],[Need_RRA]]="No", 0, (IF(AND(Table2[[#This Row],[Need_RRA]]="Yes",  Table2[[#This Row],[RRA_pub_date]]=""),1, 0)))))</f>
        <v>0</v>
      </c>
      <c r="AO481" s="34">
        <f>IF(ISBLANK(Table2[[#This Row],[Need_EIS]]), 2,(IF(Table2[[#This Row],[Need_EIS]]="No", 0, (IF(AND(Table2[[#This Row],[Need_EIS]]="Yes",  Table2[[#This Row],[EIS_pub_date]]=""),1, 0)))))</f>
        <v>0</v>
      </c>
      <c r="AP481" s="34">
        <f>IF(ISBLANK(Table2[[#This Row],[Need_DON]]), 2,(IF(Table2[[#This Row],[Need_DON]]="No", 0, (IF(AND(Table2[[#This Row],[Need_DON]]="Yes",  Table2[[#This Row],[DON_pub_date]]=""),1, 0)))))</f>
        <v>0</v>
      </c>
      <c r="AQ481" s="34">
        <f>IF(ISBLANK(Table2[[#This Row],[Pending_question]]), 2,(IF(Table2[[#This Row],[Pending_question]]="Yes", 1, 0)))</f>
        <v>0</v>
      </c>
      <c r="AR481" s="225"/>
    </row>
    <row r="482" spans="1:44" ht="15" customHeight="1">
      <c r="A482" s="63">
        <v>45572</v>
      </c>
      <c r="B482" s="29" t="s">
        <v>15</v>
      </c>
      <c r="C482" s="34" t="str" cm="1">
        <f t="array" ref="C48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82" s="27" t="s">
        <v>1888</v>
      </c>
      <c r="E482" s="67" t="s">
        <v>166</v>
      </c>
      <c r="F482" s="29" t="s">
        <v>265</v>
      </c>
      <c r="G482" s="29" t="s">
        <v>34</v>
      </c>
      <c r="H482" s="59">
        <v>45572</v>
      </c>
      <c r="I482" s="223"/>
      <c r="J482" s="59">
        <v>45575</v>
      </c>
      <c r="K482" s="59" t="s">
        <v>1889</v>
      </c>
      <c r="L482" s="104" t="s">
        <v>1890</v>
      </c>
      <c r="M482" s="283" t="s">
        <v>19</v>
      </c>
      <c r="N482" s="223"/>
      <c r="O482" s="226"/>
      <c r="P482" s="59" t="s">
        <v>19</v>
      </c>
      <c r="Q482" s="84"/>
      <c r="R482" s="29"/>
      <c r="S482" s="29"/>
      <c r="T482" s="223"/>
      <c r="U482" s="29"/>
      <c r="V482" s="29"/>
      <c r="W482" s="29"/>
      <c r="X482" s="27"/>
      <c r="Y482" s="29" t="s">
        <v>30</v>
      </c>
      <c r="Z482" s="29" t="s">
        <v>42</v>
      </c>
      <c r="AA482" s="29" t="s">
        <v>22</v>
      </c>
      <c r="AB482" s="29" t="s">
        <v>1891</v>
      </c>
      <c r="AC482" s="59">
        <v>45572</v>
      </c>
      <c r="AD482" s="59">
        <v>45582</v>
      </c>
      <c r="AE482" s="59">
        <v>45586</v>
      </c>
      <c r="AF482" s="29"/>
      <c r="AG482" s="29"/>
      <c r="AH482" s="85">
        <v>45597</v>
      </c>
      <c r="AI482" s="29" t="s">
        <v>31</v>
      </c>
      <c r="AJ482" s="224"/>
      <c r="AK482" s="27"/>
      <c r="AL482" s="102"/>
      <c r="AM482" s="41" t="str">
        <f>VLOOKUP(Table2[[#This Row],[country]],Countrycode!A:B,2,FALSE)</f>
        <v>GIN</v>
      </c>
      <c r="AN482" s="34">
        <f>IF(ISBLANK(Table2[[#This Row],[Need_RRA]]), 2,(IF(Table2[[#This Row],[Need_RRA]]="No", 0, (IF(AND(Table2[[#This Row],[Need_RRA]]="Yes",  Table2[[#This Row],[RRA_pub_date]]=""),1, 0)))))</f>
        <v>0</v>
      </c>
      <c r="AO482" s="34">
        <f>IF(ISBLANK(Table2[[#This Row],[Need_EIS]]), 2,(IF(Table2[[#This Row],[Need_EIS]]="No", 0, (IF(AND(Table2[[#This Row],[Need_EIS]]="Yes",  Table2[[#This Row],[EIS_pub_date]]=""),1, 0)))))</f>
        <v>0</v>
      </c>
      <c r="AP482" s="34">
        <f>IF(ISBLANK(Table2[[#This Row],[Need_DON]]), 2,(IF(Table2[[#This Row],[Need_DON]]="No", 0, (IF(AND(Table2[[#This Row],[Need_DON]]="Yes",  Table2[[#This Row],[DON_pub_date]]=""),1, 0)))))</f>
        <v>0</v>
      </c>
      <c r="AQ482" s="34">
        <f>IF(ISBLANK(Table2[[#This Row],[Pending_question]]), 2,(IF(Table2[[#This Row],[Pending_question]]="Yes", 1, 0)))</f>
        <v>0</v>
      </c>
      <c r="AR482" s="225"/>
    </row>
    <row r="483" spans="1:44" ht="15" customHeight="1">
      <c r="A483" s="63">
        <v>45575</v>
      </c>
      <c r="B483" s="29" t="s">
        <v>15</v>
      </c>
      <c r="C483" s="34" t="str" cm="1">
        <f t="array" ref="C48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83" s="27" t="s">
        <v>1248</v>
      </c>
      <c r="E483" s="67" t="s">
        <v>110</v>
      </c>
      <c r="F483" s="29" t="s">
        <v>173</v>
      </c>
      <c r="G483" s="29" t="s">
        <v>34</v>
      </c>
      <c r="H483" s="59">
        <v>45575</v>
      </c>
      <c r="I483" s="223"/>
      <c r="J483" s="59"/>
      <c r="K483" s="59"/>
      <c r="L483" s="104"/>
      <c r="M483" s="283"/>
      <c r="N483" s="223"/>
      <c r="O483" s="226"/>
      <c r="P483" s="59" t="s">
        <v>19</v>
      </c>
      <c r="Q483" s="84"/>
      <c r="R483" s="29"/>
      <c r="S483" s="29"/>
      <c r="T483" s="223"/>
      <c r="U483" s="29"/>
      <c r="V483" s="29"/>
      <c r="W483" s="29"/>
      <c r="X483" s="27"/>
      <c r="Y483" s="29" t="s">
        <v>30</v>
      </c>
      <c r="Z483" s="29" t="s">
        <v>21</v>
      </c>
      <c r="AA483" s="29" t="s">
        <v>22</v>
      </c>
      <c r="AB483" s="29" t="s">
        <v>1892</v>
      </c>
      <c r="AC483" s="59">
        <v>45574</v>
      </c>
      <c r="AD483" s="223">
        <v>45575</v>
      </c>
      <c r="AE483" s="59">
        <v>45575</v>
      </c>
      <c r="AF483" s="59">
        <v>45576</v>
      </c>
      <c r="AG483" s="59">
        <v>45580</v>
      </c>
      <c r="AH483" s="85">
        <v>45581</v>
      </c>
      <c r="AI483" s="29" t="s">
        <v>19</v>
      </c>
      <c r="AJ483" s="224"/>
      <c r="AK483" s="27"/>
      <c r="AL483" s="102"/>
      <c r="AM483" s="41" t="str">
        <f>VLOOKUP(Table2[[#This Row],[country]],Countrycode!A:B,2,FALSE)</f>
        <v>CHN</v>
      </c>
      <c r="AN483" s="34">
        <f>IF(ISBLANK(Table2[[#This Row],[Need_RRA]]), 2,(IF(Table2[[#This Row],[Need_RRA]]="No", 0, (IF(AND(Table2[[#This Row],[Need_RRA]]="Yes",  Table2[[#This Row],[RRA_pub_date]]=""),1, 0)))))</f>
        <v>0</v>
      </c>
      <c r="AO483" s="34">
        <f>IF(ISBLANK(Table2[[#This Row],[Need_EIS]]), 2,(IF(Table2[[#This Row],[Need_EIS]]="No", 0, (IF(AND(Table2[[#This Row],[Need_EIS]]="Yes",  Table2[[#This Row],[EIS_pub_date]]=""),1, 0)))))</f>
        <v>0</v>
      </c>
      <c r="AP483" s="34">
        <f>IF(ISBLANK(Table2[[#This Row],[Need_DON]]), 2,(IF(Table2[[#This Row],[Need_DON]]="No", 0, (IF(AND(Table2[[#This Row],[Need_DON]]="Yes",  Table2[[#This Row],[DON_pub_date]]=""),1, 0)))))</f>
        <v>0</v>
      </c>
      <c r="AQ483" s="34">
        <f>IF(ISBLANK(Table2[[#This Row],[Pending_question]]), 2,(IF(Table2[[#This Row],[Pending_question]]="Yes", 1, 0)))</f>
        <v>2</v>
      </c>
      <c r="AR483" s="225"/>
    </row>
    <row r="484" spans="1:44" ht="15" customHeight="1">
      <c r="A484" s="63">
        <v>45579</v>
      </c>
      <c r="B484" s="29" t="s">
        <v>15</v>
      </c>
      <c r="C484" s="34" t="str" cm="1">
        <f t="array" ref="C48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84" s="27" t="s">
        <v>1741</v>
      </c>
      <c r="E484" s="67" t="s">
        <v>174</v>
      </c>
      <c r="F484" s="29" t="s">
        <v>352</v>
      </c>
      <c r="G484" s="29"/>
      <c r="H484" s="29"/>
      <c r="I484" s="223"/>
      <c r="J484" s="59"/>
      <c r="K484" s="59"/>
      <c r="L484" s="104"/>
      <c r="M484" s="283"/>
      <c r="N484" s="223"/>
      <c r="O484" s="226"/>
      <c r="P484" s="59" t="s">
        <v>19</v>
      </c>
      <c r="Q484" s="84"/>
      <c r="R484" s="29"/>
      <c r="S484" s="29"/>
      <c r="T484" s="223"/>
      <c r="U484" s="29"/>
      <c r="V484" s="29"/>
      <c r="W484" s="29"/>
      <c r="X484" s="27"/>
      <c r="Y484" s="29" t="s">
        <v>19</v>
      </c>
      <c r="Z484" s="29"/>
      <c r="AA484" s="29"/>
      <c r="AB484" s="29"/>
      <c r="AC484" s="29"/>
      <c r="AD484" s="223"/>
      <c r="AE484" s="29"/>
      <c r="AF484" s="29"/>
      <c r="AG484" s="29"/>
      <c r="AH484" s="27"/>
      <c r="AI484" s="29" t="s">
        <v>30</v>
      </c>
      <c r="AJ484" s="224">
        <v>45579</v>
      </c>
      <c r="AK484" s="85">
        <v>45583</v>
      </c>
      <c r="AL484" s="102"/>
      <c r="AM484" s="41" t="str">
        <f>VLOOKUP(Table2[[#This Row],[country]],Countrycode!A:B,2,FALSE)</f>
        <v>RWA</v>
      </c>
      <c r="AN484" s="34">
        <f>IF(ISBLANK(Table2[[#This Row],[Need_RRA]]), 2,(IF(Table2[[#This Row],[Need_RRA]]="No", 0, (IF(AND(Table2[[#This Row],[Need_RRA]]="Yes",  Table2[[#This Row],[RRA_pub_date]]=""),1, 0)))))</f>
        <v>0</v>
      </c>
      <c r="AO484" s="34">
        <f>IF(ISBLANK(Table2[[#This Row],[Need_EIS]]), 2,(IF(Table2[[#This Row],[Need_EIS]]="No", 0, (IF(AND(Table2[[#This Row],[Need_EIS]]="Yes",  Table2[[#This Row],[EIS_pub_date]]=""),1, 0)))))</f>
        <v>0</v>
      </c>
      <c r="AP484" s="34">
        <f>IF(ISBLANK(Table2[[#This Row],[Need_DON]]), 2,(IF(Table2[[#This Row],[Need_DON]]="No", 0, (IF(AND(Table2[[#This Row],[Need_DON]]="Yes",  Table2[[#This Row],[DON_pub_date]]=""),1, 0)))))</f>
        <v>0</v>
      </c>
      <c r="AQ484" s="34">
        <f>IF(ISBLANK(Table2[[#This Row],[Pending_question]]), 2,(IF(Table2[[#This Row],[Pending_question]]="Yes", 1, 0)))</f>
        <v>2</v>
      </c>
      <c r="AR484" s="225"/>
    </row>
    <row r="485" spans="1:44" ht="15" customHeight="1">
      <c r="A485" s="63">
        <v>45586</v>
      </c>
      <c r="B485" s="29" t="s">
        <v>15</v>
      </c>
      <c r="C485" s="34" t="str" cm="1">
        <f t="array" ref="C48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85" s="27" t="s">
        <v>635</v>
      </c>
      <c r="E485" s="67" t="s">
        <v>667</v>
      </c>
      <c r="F485" s="29" t="s">
        <v>255</v>
      </c>
      <c r="G485" s="29" t="s">
        <v>34</v>
      </c>
      <c r="H485" s="59">
        <v>45586</v>
      </c>
      <c r="I485" s="223"/>
      <c r="J485" s="59">
        <v>45590</v>
      </c>
      <c r="K485" s="59" t="s">
        <v>1893</v>
      </c>
      <c r="L485" s="104" t="s">
        <v>1894</v>
      </c>
      <c r="M485" s="283"/>
      <c r="N485" s="223"/>
      <c r="O485" s="226"/>
      <c r="P485" s="59" t="s">
        <v>19</v>
      </c>
      <c r="Q485" s="84"/>
      <c r="R485" s="29"/>
      <c r="S485" s="29"/>
      <c r="T485" s="223"/>
      <c r="U485" s="29"/>
      <c r="V485" s="29"/>
      <c r="W485" s="29"/>
      <c r="X485" s="27"/>
      <c r="Y485" s="29" t="s">
        <v>30</v>
      </c>
      <c r="Z485" s="29" t="s">
        <v>42</v>
      </c>
      <c r="AA485" s="29" t="s">
        <v>22</v>
      </c>
      <c r="AB485" s="29"/>
      <c r="AC485" s="59">
        <v>45586</v>
      </c>
      <c r="AD485" s="223">
        <v>45588</v>
      </c>
      <c r="AE485" s="59">
        <v>45589</v>
      </c>
      <c r="AF485" s="59">
        <v>45589</v>
      </c>
      <c r="AG485" s="59">
        <v>45590</v>
      </c>
      <c r="AH485" s="85">
        <v>45590</v>
      </c>
      <c r="AI485" s="29" t="s">
        <v>19</v>
      </c>
      <c r="AJ485" s="224"/>
      <c r="AK485" s="27"/>
      <c r="AL485" s="102"/>
      <c r="AM485" s="41" t="str">
        <f>VLOOKUP(Table2[[#This Row],[country]],Countrycode!A:B,2,FALSE)</f>
        <v>DEU</v>
      </c>
      <c r="AN485" s="34">
        <f>IF(ISBLANK(Table2[[#This Row],[Need_RRA]]), 2,(IF(Table2[[#This Row],[Need_RRA]]="No", 0, (IF(AND(Table2[[#This Row],[Need_RRA]]="Yes",  Table2[[#This Row],[RRA_pub_date]]=""),1, 0)))))</f>
        <v>0</v>
      </c>
      <c r="AO485" s="34">
        <f>IF(ISBLANK(Table2[[#This Row],[Need_EIS]]), 2,(IF(Table2[[#This Row],[Need_EIS]]="No", 0, (IF(AND(Table2[[#This Row],[Need_EIS]]="Yes",  Table2[[#This Row],[EIS_pub_date]]=""),1, 0)))))</f>
        <v>0</v>
      </c>
      <c r="AP485" s="34">
        <f>IF(ISBLANK(Table2[[#This Row],[Need_DON]]), 2,(IF(Table2[[#This Row],[Need_DON]]="No", 0, (IF(AND(Table2[[#This Row],[Need_DON]]="Yes",  Table2[[#This Row],[DON_pub_date]]=""),1, 0)))))</f>
        <v>0</v>
      </c>
      <c r="AQ485" s="34">
        <f>IF(ISBLANK(Table2[[#This Row],[Pending_question]]), 2,(IF(Table2[[#This Row],[Pending_question]]="Yes", 1, 0)))</f>
        <v>2</v>
      </c>
      <c r="AR485" s="225"/>
    </row>
    <row r="486" spans="1:44" ht="15" customHeight="1">
      <c r="A486" s="63">
        <v>45586</v>
      </c>
      <c r="B486" s="29" t="s">
        <v>15</v>
      </c>
      <c r="C486" s="34" t="str" cm="1">
        <f t="array" ref="C48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86" s="27" t="s">
        <v>1895</v>
      </c>
      <c r="E486" s="67" t="s">
        <v>136</v>
      </c>
      <c r="F486" s="29" t="s">
        <v>93</v>
      </c>
      <c r="G486" s="29" t="s">
        <v>93</v>
      </c>
      <c r="H486" s="29"/>
      <c r="I486" s="223"/>
      <c r="J486" s="59"/>
      <c r="K486" s="59"/>
      <c r="L486" s="104"/>
      <c r="M486" s="283"/>
      <c r="N486" s="223"/>
      <c r="O486" s="226"/>
      <c r="P486" s="59" t="s">
        <v>30</v>
      </c>
      <c r="Q486" s="84">
        <v>3</v>
      </c>
      <c r="R486" s="29" t="s">
        <v>1896</v>
      </c>
      <c r="S486" s="59">
        <v>45586</v>
      </c>
      <c r="T486" s="223">
        <v>45594</v>
      </c>
      <c r="U486" s="59">
        <v>45615</v>
      </c>
      <c r="V486" s="29"/>
      <c r="W486" s="29"/>
      <c r="X486" s="27" t="s">
        <v>32</v>
      </c>
      <c r="Y486" s="29" t="s">
        <v>19</v>
      </c>
      <c r="Z486" s="29"/>
      <c r="AA486" s="29"/>
      <c r="AB486" s="29"/>
      <c r="AC486" s="29"/>
      <c r="AD486" s="223"/>
      <c r="AE486" s="29"/>
      <c r="AF486" s="29"/>
      <c r="AG486" s="29"/>
      <c r="AH486" s="27"/>
      <c r="AI486" s="29" t="s">
        <v>19</v>
      </c>
      <c r="AJ486" s="224"/>
      <c r="AK486" s="27"/>
      <c r="AL486" s="102"/>
      <c r="AM486" s="41" t="e">
        <f>VLOOKUP(Table2[[#This Row],[country]],Countrycode!A:B,2,FALSE)</f>
        <v>#N/A</v>
      </c>
      <c r="AN486" s="34">
        <f>IF(ISBLANK(Table2[[#This Row],[Need_RRA]]), 2,(IF(Table2[[#This Row],[Need_RRA]]="No", 0, (IF(AND(Table2[[#This Row],[Need_RRA]]="Yes",  Table2[[#This Row],[RRA_pub_date]]=""),1, 0)))))</f>
        <v>0</v>
      </c>
      <c r="AO486" s="34">
        <f>IF(ISBLANK(Table2[[#This Row],[Need_EIS]]), 2,(IF(Table2[[#This Row],[Need_EIS]]="No", 0, (IF(AND(Table2[[#This Row],[Need_EIS]]="Yes",  Table2[[#This Row],[EIS_pub_date]]=""),1, 0)))))</f>
        <v>0</v>
      </c>
      <c r="AP486" s="34">
        <f>IF(ISBLANK(Table2[[#This Row],[Need_DON]]), 2,(IF(Table2[[#This Row],[Need_DON]]="No", 0, (IF(AND(Table2[[#This Row],[Need_DON]]="Yes",  Table2[[#This Row],[DON_pub_date]]=""),1, 0)))))</f>
        <v>0</v>
      </c>
      <c r="AQ486" s="34">
        <f>IF(ISBLANK(Table2[[#This Row],[Pending_question]]), 2,(IF(Table2[[#This Row],[Pending_question]]="Yes", 1, 0)))</f>
        <v>2</v>
      </c>
      <c r="AR486" s="225"/>
    </row>
    <row r="487" spans="1:44" ht="15" customHeight="1">
      <c r="A487" s="63">
        <v>45586</v>
      </c>
      <c r="B487" s="29" t="s">
        <v>15</v>
      </c>
      <c r="C487" s="34" t="str" cm="1">
        <f t="array" ref="C48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87" s="27" t="s">
        <v>1741</v>
      </c>
      <c r="E487" s="67" t="s">
        <v>174</v>
      </c>
      <c r="F487" s="29" t="s">
        <v>352</v>
      </c>
      <c r="G487" s="29"/>
      <c r="H487" s="29"/>
      <c r="I487" s="223"/>
      <c r="J487" s="59"/>
      <c r="K487" s="59"/>
      <c r="L487" s="104"/>
      <c r="M487" s="283"/>
      <c r="N487" s="223"/>
      <c r="O487" s="226"/>
      <c r="P487" s="59" t="s">
        <v>19</v>
      </c>
      <c r="Q487" s="84"/>
      <c r="R487" s="29"/>
      <c r="S487" s="29"/>
      <c r="T487" s="223"/>
      <c r="U487" s="29"/>
      <c r="V487" s="29"/>
      <c r="W487" s="29"/>
      <c r="X487" s="27"/>
      <c r="Y487" s="29" t="s">
        <v>19</v>
      </c>
      <c r="Z487" s="29"/>
      <c r="AA487" s="29"/>
      <c r="AB487" s="29"/>
      <c r="AC487" s="29"/>
      <c r="AD487" s="223"/>
      <c r="AE487" s="29"/>
      <c r="AF487" s="29"/>
      <c r="AG487" s="29"/>
      <c r="AH487" s="27"/>
      <c r="AI487" s="29" t="s">
        <v>30</v>
      </c>
      <c r="AJ487" s="224">
        <v>45586</v>
      </c>
      <c r="AK487" s="85">
        <v>45590</v>
      </c>
      <c r="AL487" s="102"/>
      <c r="AM487" s="41" t="str">
        <f>VLOOKUP(Table2[[#This Row],[country]],Countrycode!A:B,2,FALSE)</f>
        <v>RWA</v>
      </c>
      <c r="AN487" s="34">
        <f>IF(ISBLANK(Table2[[#This Row],[Need_RRA]]), 2,(IF(Table2[[#This Row],[Need_RRA]]="No", 0, (IF(AND(Table2[[#This Row],[Need_RRA]]="Yes",  Table2[[#This Row],[RRA_pub_date]]=""),1, 0)))))</f>
        <v>0</v>
      </c>
      <c r="AO487" s="34">
        <f>IF(ISBLANK(Table2[[#This Row],[Need_EIS]]), 2,(IF(Table2[[#This Row],[Need_EIS]]="No", 0, (IF(AND(Table2[[#This Row],[Need_EIS]]="Yes",  Table2[[#This Row],[EIS_pub_date]]=""),1, 0)))))</f>
        <v>0</v>
      </c>
      <c r="AP487" s="34">
        <f>IF(ISBLANK(Table2[[#This Row],[Need_DON]]), 2,(IF(Table2[[#This Row],[Need_DON]]="No", 0, (IF(AND(Table2[[#This Row],[Need_DON]]="Yes",  Table2[[#This Row],[DON_pub_date]]=""),1, 0)))))</f>
        <v>0</v>
      </c>
      <c r="AQ487" s="34">
        <f>IF(ISBLANK(Table2[[#This Row],[Pending_question]]), 2,(IF(Table2[[#This Row],[Pending_question]]="Yes", 1, 0)))</f>
        <v>2</v>
      </c>
      <c r="AR487" s="225"/>
    </row>
    <row r="488" spans="1:44" ht="15" customHeight="1">
      <c r="A488" s="63">
        <v>45593</v>
      </c>
      <c r="B488" s="29" t="s">
        <v>15</v>
      </c>
      <c r="C488" s="34" t="str" cm="1">
        <f t="array" ref="C48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88" s="27" t="s">
        <v>1741</v>
      </c>
      <c r="E488" s="67" t="s">
        <v>174</v>
      </c>
      <c r="F488" s="29" t="s">
        <v>352</v>
      </c>
      <c r="G488" s="29"/>
      <c r="H488" s="29"/>
      <c r="I488" s="223"/>
      <c r="J488" s="59"/>
      <c r="K488" s="59"/>
      <c r="L488" s="104"/>
      <c r="M488" s="283"/>
      <c r="N488" s="223"/>
      <c r="O488" s="226"/>
      <c r="P488" s="59" t="s">
        <v>19</v>
      </c>
      <c r="Q488" s="84"/>
      <c r="R488" s="29"/>
      <c r="S488" s="29"/>
      <c r="T488" s="223"/>
      <c r="U488" s="29"/>
      <c r="V488" s="29"/>
      <c r="W488" s="29"/>
      <c r="X488" s="27"/>
      <c r="Y488" s="29" t="s">
        <v>19</v>
      </c>
      <c r="Z488" s="29"/>
      <c r="AA488" s="29"/>
      <c r="AB488" s="29"/>
      <c r="AC488" s="29"/>
      <c r="AD488" s="223"/>
      <c r="AE488" s="29"/>
      <c r="AF488" s="29"/>
      <c r="AG488" s="29"/>
      <c r="AH488" s="27"/>
      <c r="AI488" s="29" t="s">
        <v>30</v>
      </c>
      <c r="AJ488" s="224">
        <v>45593</v>
      </c>
      <c r="AK488" s="85">
        <v>45597</v>
      </c>
      <c r="AL488" s="102"/>
      <c r="AM488" s="41" t="str">
        <f>VLOOKUP(Table2[[#This Row],[country]],Countrycode!A:B,2,FALSE)</f>
        <v>RWA</v>
      </c>
      <c r="AN488" s="34">
        <f>IF(ISBLANK(Table2[[#This Row],[Need_RRA]]), 2,(IF(Table2[[#This Row],[Need_RRA]]="No", 0, (IF(AND(Table2[[#This Row],[Need_RRA]]="Yes",  Table2[[#This Row],[RRA_pub_date]]=""),1, 0)))))</f>
        <v>0</v>
      </c>
      <c r="AO488" s="34">
        <f>IF(ISBLANK(Table2[[#This Row],[Need_EIS]]), 2,(IF(Table2[[#This Row],[Need_EIS]]="No", 0, (IF(AND(Table2[[#This Row],[Need_EIS]]="Yes",  Table2[[#This Row],[EIS_pub_date]]=""),1, 0)))))</f>
        <v>0</v>
      </c>
      <c r="AP488" s="34">
        <f>IF(ISBLANK(Table2[[#This Row],[Need_DON]]), 2,(IF(Table2[[#This Row],[Need_DON]]="No", 0, (IF(AND(Table2[[#This Row],[Need_DON]]="Yes",  Table2[[#This Row],[DON_pub_date]]=""),1, 0)))))</f>
        <v>0</v>
      </c>
      <c r="AQ488" s="34">
        <f>IF(ISBLANK(Table2[[#This Row],[Pending_question]]), 2,(IF(Table2[[#This Row],[Pending_question]]="Yes", 1, 0)))</f>
        <v>2</v>
      </c>
      <c r="AR488" s="225"/>
    </row>
    <row r="489" spans="1:44" ht="15" customHeight="1">
      <c r="A489" s="63">
        <v>45597</v>
      </c>
      <c r="B489" s="29" t="s">
        <v>15</v>
      </c>
      <c r="C489" s="34" t="str" cm="1">
        <f t="array" ref="C48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89" s="27" t="s">
        <v>1897</v>
      </c>
      <c r="E489" s="67" t="s">
        <v>166</v>
      </c>
      <c r="F489" s="29" t="s">
        <v>403</v>
      </c>
      <c r="G489" s="29" t="s">
        <v>34</v>
      </c>
      <c r="H489" s="59">
        <v>45597</v>
      </c>
      <c r="I489" s="223"/>
      <c r="J489" s="59"/>
      <c r="K489" s="59"/>
      <c r="L489" s="104"/>
      <c r="M489" s="283" t="s">
        <v>19</v>
      </c>
      <c r="N489" s="223"/>
      <c r="O489" s="226"/>
      <c r="P489" s="59" t="s">
        <v>19</v>
      </c>
      <c r="Q489" s="84"/>
      <c r="R489" s="29"/>
      <c r="S489" s="29"/>
      <c r="T489" s="223"/>
      <c r="U489" s="29"/>
      <c r="V489" s="29"/>
      <c r="W489" s="29"/>
      <c r="X489" s="27"/>
      <c r="Y489" s="29" t="s">
        <v>30</v>
      </c>
      <c r="Z489" s="29" t="s">
        <v>42</v>
      </c>
      <c r="AA489" s="29" t="s">
        <v>22</v>
      </c>
      <c r="AB489" s="29"/>
      <c r="AC489" s="59">
        <v>45598</v>
      </c>
      <c r="AD489" s="223">
        <v>45600</v>
      </c>
      <c r="AE489" s="29"/>
      <c r="AF489" s="29"/>
      <c r="AG489" s="29"/>
      <c r="AH489" s="85">
        <v>45604</v>
      </c>
      <c r="AI489" s="29" t="s">
        <v>19</v>
      </c>
      <c r="AJ489" s="224"/>
      <c r="AK489" s="27"/>
      <c r="AL489" s="102"/>
      <c r="AM489" s="41" t="str">
        <f>VLOOKUP(Table2[[#This Row],[country]],Countrycode!A:B,2,FALSE)</f>
        <v>USA</v>
      </c>
      <c r="AN489" s="34">
        <f>IF(ISBLANK(Table2[[#This Row],[Need_RRA]]), 2,(IF(Table2[[#This Row],[Need_RRA]]="No", 0, (IF(AND(Table2[[#This Row],[Need_RRA]]="Yes",  Table2[[#This Row],[RRA_pub_date]]=""),1, 0)))))</f>
        <v>0</v>
      </c>
      <c r="AO489" s="34">
        <f>IF(ISBLANK(Table2[[#This Row],[Need_EIS]]), 2,(IF(Table2[[#This Row],[Need_EIS]]="No", 0, (IF(AND(Table2[[#This Row],[Need_EIS]]="Yes",  Table2[[#This Row],[EIS_pub_date]]=""),1, 0)))))</f>
        <v>0</v>
      </c>
      <c r="AP489" s="34">
        <f>IF(ISBLANK(Table2[[#This Row],[Need_DON]]), 2,(IF(Table2[[#This Row],[Need_DON]]="No", 0, (IF(AND(Table2[[#This Row],[Need_DON]]="Yes",  Table2[[#This Row],[DON_pub_date]]=""),1, 0)))))</f>
        <v>0</v>
      </c>
      <c r="AQ489" s="34">
        <f>IF(ISBLANK(Table2[[#This Row],[Pending_question]]), 2,(IF(Table2[[#This Row],[Pending_question]]="Yes", 1, 0)))</f>
        <v>0</v>
      </c>
      <c r="AR489" s="225"/>
    </row>
    <row r="490" spans="1:44" ht="15" customHeight="1">
      <c r="A490" s="63">
        <v>45600</v>
      </c>
      <c r="B490" s="29" t="s">
        <v>15</v>
      </c>
      <c r="C490" s="34" t="str" cm="1">
        <f t="array" ref="C49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90" s="27" t="s">
        <v>1656</v>
      </c>
      <c r="E490" s="67" t="s">
        <v>667</v>
      </c>
      <c r="F490" s="29" t="s">
        <v>400</v>
      </c>
      <c r="G490" s="29" t="s">
        <v>34</v>
      </c>
      <c r="H490" s="59">
        <v>45600</v>
      </c>
      <c r="I490" s="223"/>
      <c r="J490" s="59">
        <v>45600</v>
      </c>
      <c r="K490" s="59" t="s">
        <v>1898</v>
      </c>
      <c r="L490" s="104" t="s">
        <v>1899</v>
      </c>
      <c r="M490" s="283" t="s">
        <v>19</v>
      </c>
      <c r="N490" s="223"/>
      <c r="O490" s="226"/>
      <c r="P490" s="59" t="s">
        <v>19</v>
      </c>
      <c r="Q490" s="84"/>
      <c r="R490" s="29"/>
      <c r="S490" s="29"/>
      <c r="T490" s="223"/>
      <c r="U490" s="29"/>
      <c r="V490" s="29"/>
      <c r="W490" s="29"/>
      <c r="X490" s="27"/>
      <c r="Y490" s="29" t="s">
        <v>30</v>
      </c>
      <c r="Z490" s="29" t="s">
        <v>42</v>
      </c>
      <c r="AA490" s="29" t="s">
        <v>22</v>
      </c>
      <c r="AB490" s="29"/>
      <c r="AC490" s="59">
        <v>45600</v>
      </c>
      <c r="AD490" s="223">
        <v>45600</v>
      </c>
      <c r="AE490" s="59">
        <v>45601</v>
      </c>
      <c r="AF490" s="59">
        <v>45602</v>
      </c>
      <c r="AG490" s="59">
        <v>45604</v>
      </c>
      <c r="AH490" s="85">
        <v>45604</v>
      </c>
      <c r="AI490" s="29" t="s">
        <v>19</v>
      </c>
      <c r="AJ490" s="224"/>
      <c r="AK490" s="27"/>
      <c r="AL490" s="102"/>
      <c r="AM490" s="41" t="str">
        <f>VLOOKUP(Table2[[#This Row],[country]],Countrycode!A:B,2,FALSE)</f>
        <v>GBR</v>
      </c>
      <c r="AN490" s="34">
        <f>IF(ISBLANK(Table2[[#This Row],[Need_RRA]]), 2,(IF(Table2[[#This Row],[Need_RRA]]="No", 0, (IF(AND(Table2[[#This Row],[Need_RRA]]="Yes",  Table2[[#This Row],[RRA_pub_date]]=""),1, 0)))))</f>
        <v>0</v>
      </c>
      <c r="AO490" s="34">
        <f>IF(ISBLANK(Table2[[#This Row],[Need_EIS]]), 2,(IF(Table2[[#This Row],[Need_EIS]]="No", 0, (IF(AND(Table2[[#This Row],[Need_EIS]]="Yes",  Table2[[#This Row],[EIS_pub_date]]=""),1, 0)))))</f>
        <v>0</v>
      </c>
      <c r="AP490" s="34">
        <f>IF(ISBLANK(Table2[[#This Row],[Need_DON]]), 2,(IF(Table2[[#This Row],[Need_DON]]="No", 0, (IF(AND(Table2[[#This Row],[Need_DON]]="Yes",  Table2[[#This Row],[DON_pub_date]]=""),1, 0)))))</f>
        <v>0</v>
      </c>
      <c r="AQ490" s="34">
        <f>IF(ISBLANK(Table2[[#This Row],[Pending_question]]), 2,(IF(Table2[[#This Row],[Pending_question]]="Yes", 1, 0)))</f>
        <v>0</v>
      </c>
      <c r="AR490" s="225"/>
    </row>
    <row r="491" spans="1:44" ht="15" customHeight="1">
      <c r="A491" s="63">
        <v>45607</v>
      </c>
      <c r="B491" s="29" t="s">
        <v>15</v>
      </c>
      <c r="C491" s="34" t="str" cm="1">
        <f t="array" ref="C49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91" s="27" t="s">
        <v>1900</v>
      </c>
      <c r="E491" s="67" t="s">
        <v>99</v>
      </c>
      <c r="F491" s="29" t="s">
        <v>163</v>
      </c>
      <c r="G491" s="29" t="s">
        <v>34</v>
      </c>
      <c r="H491" s="59">
        <v>45607</v>
      </c>
      <c r="I491" s="223">
        <v>45611</v>
      </c>
      <c r="J491" s="59">
        <v>45607</v>
      </c>
      <c r="K491" s="59" t="s">
        <v>1901</v>
      </c>
      <c r="L491" s="112" t="s">
        <v>1902</v>
      </c>
      <c r="M491" s="283" t="s">
        <v>19</v>
      </c>
      <c r="N491" s="223"/>
      <c r="O491" s="226"/>
      <c r="P491" s="59" t="s">
        <v>19</v>
      </c>
      <c r="Q491" s="84"/>
      <c r="R491" s="29"/>
      <c r="S491" s="29"/>
      <c r="T491" s="223"/>
      <c r="U491" s="29"/>
      <c r="V491" s="29"/>
      <c r="W491" s="29"/>
      <c r="X491" s="27"/>
      <c r="Y491" s="29" t="s">
        <v>30</v>
      </c>
      <c r="Z491" s="29" t="s">
        <v>42</v>
      </c>
      <c r="AA491" s="29" t="s">
        <v>22</v>
      </c>
      <c r="AB491" s="29" t="s">
        <v>1903</v>
      </c>
      <c r="AC491" s="59">
        <v>45611</v>
      </c>
      <c r="AD491" s="223">
        <v>45612</v>
      </c>
      <c r="AE491" s="59">
        <v>45612</v>
      </c>
      <c r="AF491" s="59">
        <v>45612</v>
      </c>
      <c r="AG491" s="59">
        <v>45614</v>
      </c>
      <c r="AH491" s="85">
        <v>45615</v>
      </c>
      <c r="AI491" s="29" t="s">
        <v>19</v>
      </c>
      <c r="AJ491" s="224"/>
      <c r="AK491" s="27"/>
      <c r="AL491" s="102"/>
      <c r="AM491" s="41" t="str">
        <f>VLOOKUP(Table2[[#This Row],[country]],Countrycode!A:B,2,FALSE)</f>
        <v>CAN</v>
      </c>
      <c r="AN491" s="34">
        <f>IF(ISBLANK(Table2[[#This Row],[Need_RRA]]), 2,(IF(Table2[[#This Row],[Need_RRA]]="No", 0, (IF(AND(Table2[[#This Row],[Need_RRA]]="Yes",  Table2[[#This Row],[RRA_pub_date]]=""),1, 0)))))</f>
        <v>0</v>
      </c>
      <c r="AO491" s="34">
        <f>IF(ISBLANK(Table2[[#This Row],[Need_EIS]]), 2,(IF(Table2[[#This Row],[Need_EIS]]="No", 0, (IF(AND(Table2[[#This Row],[Need_EIS]]="Yes",  Table2[[#This Row],[EIS_pub_date]]=""),1, 0)))))</f>
        <v>0</v>
      </c>
      <c r="AP491" s="34">
        <f>IF(ISBLANK(Table2[[#This Row],[Need_DON]]), 2,(IF(Table2[[#This Row],[Need_DON]]="No", 0, (IF(AND(Table2[[#This Row],[Need_DON]]="Yes",  Table2[[#This Row],[DON_pub_date]]=""),1, 0)))))</f>
        <v>0</v>
      </c>
      <c r="AQ491" s="34">
        <f>IF(ISBLANK(Table2[[#This Row],[Pending_question]]), 2,(IF(Table2[[#This Row],[Pending_question]]="Yes", 1, 0)))</f>
        <v>0</v>
      </c>
      <c r="AR491" s="225"/>
    </row>
    <row r="492" spans="1:44" ht="15" customHeight="1">
      <c r="A492" s="63">
        <v>45607</v>
      </c>
      <c r="B492" s="29" t="s">
        <v>15</v>
      </c>
      <c r="C492" s="34" t="str" cm="1">
        <f t="array" ref="C49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92" s="27" t="s">
        <v>1741</v>
      </c>
      <c r="E492" s="67" t="s">
        <v>174</v>
      </c>
      <c r="F492" s="29" t="s">
        <v>352</v>
      </c>
      <c r="G492" s="29"/>
      <c r="H492" s="29"/>
      <c r="I492" s="223"/>
      <c r="J492" s="59"/>
      <c r="K492" s="59"/>
      <c r="L492" s="104"/>
      <c r="M492" s="283"/>
      <c r="N492" s="223"/>
      <c r="O492" s="226"/>
      <c r="P492" s="59" t="s">
        <v>19</v>
      </c>
      <c r="Q492" s="84"/>
      <c r="R492" s="29"/>
      <c r="S492" s="29"/>
      <c r="T492" s="223"/>
      <c r="U492" s="29"/>
      <c r="V492" s="29"/>
      <c r="W492" s="29"/>
      <c r="X492" s="27"/>
      <c r="Y492" s="29" t="s">
        <v>19</v>
      </c>
      <c r="Z492" s="29"/>
      <c r="AA492" s="29"/>
      <c r="AB492" s="29"/>
      <c r="AC492" s="29"/>
      <c r="AD492" s="223"/>
      <c r="AE492" s="29"/>
      <c r="AF492" s="29"/>
      <c r="AG492" s="29"/>
      <c r="AH492" s="27"/>
      <c r="AI492" s="29" t="s">
        <v>30</v>
      </c>
      <c r="AJ492" s="224">
        <v>45607</v>
      </c>
      <c r="AK492" s="85">
        <v>45609</v>
      </c>
      <c r="AL492" s="102"/>
      <c r="AM492" s="41" t="str">
        <f>VLOOKUP(Table2[[#This Row],[country]],Countrycode!A:B,2,FALSE)</f>
        <v>RWA</v>
      </c>
      <c r="AN492" s="34">
        <f>IF(ISBLANK(Table2[[#This Row],[Need_RRA]]), 2,(IF(Table2[[#This Row],[Need_RRA]]="No", 0, (IF(AND(Table2[[#This Row],[Need_RRA]]="Yes",  Table2[[#This Row],[RRA_pub_date]]=""),1, 0)))))</f>
        <v>0</v>
      </c>
      <c r="AO492" s="34">
        <f>IF(ISBLANK(Table2[[#This Row],[Need_EIS]]), 2,(IF(Table2[[#This Row],[Need_EIS]]="No", 0, (IF(AND(Table2[[#This Row],[Need_EIS]]="Yes",  Table2[[#This Row],[EIS_pub_date]]=""),1, 0)))))</f>
        <v>0</v>
      </c>
      <c r="AP492" s="34">
        <f>IF(ISBLANK(Table2[[#This Row],[Need_DON]]), 2,(IF(Table2[[#This Row],[Need_DON]]="No", 0, (IF(AND(Table2[[#This Row],[Need_DON]]="Yes",  Table2[[#This Row],[DON_pub_date]]=""),1, 0)))))</f>
        <v>0</v>
      </c>
      <c r="AQ492" s="34">
        <f>IF(ISBLANK(Table2[[#This Row],[Pending_question]]), 2,(IF(Table2[[#This Row],[Pending_question]]="Yes", 1, 0)))</f>
        <v>2</v>
      </c>
      <c r="AR492" s="225"/>
    </row>
    <row r="493" spans="1:44" ht="15" customHeight="1">
      <c r="A493" s="63">
        <v>45610</v>
      </c>
      <c r="B493" s="29" t="s">
        <v>15</v>
      </c>
      <c r="C493" s="34" t="str" cm="1">
        <f t="array" ref="C49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93" s="27" t="s">
        <v>1904</v>
      </c>
      <c r="E493" s="67" t="s">
        <v>176</v>
      </c>
      <c r="F493" s="29" t="s">
        <v>39</v>
      </c>
      <c r="G493" s="29" t="s">
        <v>17</v>
      </c>
      <c r="H493" s="29"/>
      <c r="I493" s="223"/>
      <c r="J493" s="59"/>
      <c r="K493" s="59" t="s">
        <v>1905</v>
      </c>
      <c r="L493" s="104" t="s">
        <v>1906</v>
      </c>
      <c r="M493" s="283"/>
      <c r="N493" s="223"/>
      <c r="O493" s="226"/>
      <c r="P493" s="59" t="s">
        <v>30</v>
      </c>
      <c r="Q493" s="84">
        <v>1</v>
      </c>
      <c r="R493" s="29" t="s">
        <v>1907</v>
      </c>
      <c r="S493" s="59">
        <v>45610</v>
      </c>
      <c r="T493" s="223">
        <v>45617</v>
      </c>
      <c r="U493" s="59">
        <v>45692</v>
      </c>
      <c r="V493" s="29"/>
      <c r="W493" s="29" t="s">
        <v>20</v>
      </c>
      <c r="X493" s="27" t="s">
        <v>32</v>
      </c>
      <c r="Y493" s="29" t="s">
        <v>19</v>
      </c>
      <c r="Z493" s="29"/>
      <c r="AA493" s="29"/>
      <c r="AC493" s="29"/>
      <c r="AD493" s="223"/>
      <c r="AE493" s="29"/>
      <c r="AF493" s="29"/>
      <c r="AG493" s="29"/>
      <c r="AH493" s="27"/>
      <c r="AI493" s="29" t="s">
        <v>19</v>
      </c>
      <c r="AJ493" s="224"/>
      <c r="AK493" s="27"/>
      <c r="AL493" s="102"/>
      <c r="AM493" s="41" t="str">
        <f>VLOOKUP(Table2[[#This Row],[country]],Countrycode!A:B,2,FALSE)</f>
        <v>MLX</v>
      </c>
      <c r="AN493" s="34">
        <f>IF(ISBLANK(Table2[[#This Row],[Need_RRA]]), 2,(IF(Table2[[#This Row],[Need_RRA]]="No", 0, (IF(AND(Table2[[#This Row],[Need_RRA]]="Yes",  Table2[[#This Row],[RRA_pub_date]]=""),1, 0)))))</f>
        <v>0</v>
      </c>
      <c r="AO493" s="34">
        <f>IF(ISBLANK(Table2[[#This Row],[Need_EIS]]), 2,(IF(Table2[[#This Row],[Need_EIS]]="No", 0, (IF(AND(Table2[[#This Row],[Need_EIS]]="Yes",  Table2[[#This Row],[EIS_pub_date]]=""),1, 0)))))</f>
        <v>0</v>
      </c>
      <c r="AP493" s="34">
        <f>IF(ISBLANK(Table2[[#This Row],[Need_DON]]), 2,(IF(Table2[[#This Row],[Need_DON]]="No", 0, (IF(AND(Table2[[#This Row],[Need_DON]]="Yes",  Table2[[#This Row],[DON_pub_date]]=""),1, 0)))))</f>
        <v>0</v>
      </c>
      <c r="AQ493" s="34">
        <f>IF(ISBLANK(Table2[[#This Row],[Pending_question]]), 2,(IF(Table2[[#This Row],[Pending_question]]="Yes", 1, 0)))</f>
        <v>2</v>
      </c>
      <c r="AR493" s="225"/>
    </row>
    <row r="494" spans="1:44" ht="15" customHeight="1">
      <c r="A494" s="63">
        <v>45612</v>
      </c>
      <c r="B494" s="29" t="s">
        <v>15</v>
      </c>
      <c r="C494" s="34" t="str" cm="1">
        <f t="array" ref="C49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94" s="27" t="s">
        <v>1908</v>
      </c>
      <c r="E494" s="67" t="s">
        <v>190</v>
      </c>
      <c r="F494" s="29" t="s">
        <v>337</v>
      </c>
      <c r="G494" s="29" t="s">
        <v>34</v>
      </c>
      <c r="H494" s="29"/>
      <c r="I494" s="223"/>
      <c r="J494" s="59">
        <v>45614</v>
      </c>
      <c r="K494" s="59" t="s">
        <v>1909</v>
      </c>
      <c r="L494" s="104" t="s">
        <v>1910</v>
      </c>
      <c r="M494" s="283"/>
      <c r="N494" s="223"/>
      <c r="O494" s="226"/>
      <c r="P494" s="59" t="s">
        <v>19</v>
      </c>
      <c r="Q494" s="84"/>
      <c r="R494" s="29"/>
      <c r="S494" s="29"/>
      <c r="T494" s="223"/>
      <c r="U494" s="29"/>
      <c r="V494" s="29"/>
      <c r="W494" s="29"/>
      <c r="X494" s="27"/>
      <c r="Y494" s="29" t="s">
        <v>30</v>
      </c>
      <c r="Z494" s="29" t="s">
        <v>42</v>
      </c>
      <c r="AA494" s="29" t="s">
        <v>22</v>
      </c>
      <c r="AB494" s="327" t="s">
        <v>1911</v>
      </c>
      <c r="AC494" s="59">
        <v>45612</v>
      </c>
      <c r="AD494" s="223">
        <v>45613</v>
      </c>
      <c r="AE494" s="59">
        <v>45613</v>
      </c>
      <c r="AF494" s="59">
        <v>45613</v>
      </c>
      <c r="AG494" s="59">
        <v>45615</v>
      </c>
      <c r="AH494" s="85">
        <v>45615</v>
      </c>
      <c r="AI494" s="29" t="s">
        <v>19</v>
      </c>
      <c r="AJ494" s="224"/>
      <c r="AK494" s="27"/>
      <c r="AL494" s="102"/>
      <c r="AM494" s="41" t="str">
        <f>VLOOKUP(Table2[[#This Row],[country]],Countrycode!A:B,2,FALSE)</f>
        <v>PAN</v>
      </c>
      <c r="AN494" s="34">
        <f>IF(ISBLANK(Table2[[#This Row],[Need_RRA]]), 2,(IF(Table2[[#This Row],[Need_RRA]]="No", 0, (IF(AND(Table2[[#This Row],[Need_RRA]]="Yes",  Table2[[#This Row],[RRA_pub_date]]=""),1, 0)))))</f>
        <v>0</v>
      </c>
      <c r="AO494" s="34">
        <f>IF(ISBLANK(Table2[[#This Row],[Need_EIS]]), 2,(IF(Table2[[#This Row],[Need_EIS]]="No", 0, (IF(AND(Table2[[#This Row],[Need_EIS]]="Yes",  Table2[[#This Row],[EIS_pub_date]]=""),1, 0)))))</f>
        <v>0</v>
      </c>
      <c r="AP494" s="34">
        <f>IF(ISBLANK(Table2[[#This Row],[Need_DON]]), 2,(IF(Table2[[#This Row],[Need_DON]]="No", 0, (IF(AND(Table2[[#This Row],[Need_DON]]="Yes",  Table2[[#This Row],[DON_pub_date]]=""),1, 0)))))</f>
        <v>0</v>
      </c>
      <c r="AQ494" s="34">
        <f>IF(ISBLANK(Table2[[#This Row],[Pending_question]]), 2,(IF(Table2[[#This Row],[Pending_question]]="Yes", 1, 0)))</f>
        <v>2</v>
      </c>
      <c r="AR494" s="225"/>
    </row>
    <row r="495" spans="1:44" ht="15" customHeight="1">
      <c r="A495" s="63">
        <v>45613</v>
      </c>
      <c r="B495" s="29" t="s">
        <v>15</v>
      </c>
      <c r="C495" s="34" t="str" cm="1">
        <f t="array" ref="C49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95" s="27" t="s">
        <v>1912</v>
      </c>
      <c r="E495" s="67" t="s">
        <v>110</v>
      </c>
      <c r="F495" s="29" t="s">
        <v>173</v>
      </c>
      <c r="G495" s="29" t="s">
        <v>34</v>
      </c>
      <c r="H495" s="59">
        <v>45613</v>
      </c>
      <c r="I495" s="59">
        <v>45610</v>
      </c>
      <c r="J495" s="59">
        <v>45603</v>
      </c>
      <c r="K495" s="59" t="s">
        <v>1913</v>
      </c>
      <c r="L495" s="104" t="s">
        <v>1914</v>
      </c>
      <c r="M495" s="283" t="s">
        <v>19</v>
      </c>
      <c r="N495" s="223"/>
      <c r="O495" s="226"/>
      <c r="P495" s="59" t="s">
        <v>19</v>
      </c>
      <c r="Q495" s="84"/>
      <c r="R495" s="29"/>
      <c r="S495" s="29"/>
      <c r="T495" s="223"/>
      <c r="U495" s="29"/>
      <c r="V495" s="29"/>
      <c r="W495" s="29"/>
      <c r="X495" s="27"/>
      <c r="Y495" s="29" t="s">
        <v>30</v>
      </c>
      <c r="Z495" s="29" t="s">
        <v>42</v>
      </c>
      <c r="AA495" s="29" t="s">
        <v>22</v>
      </c>
      <c r="AB495" s="263" t="s">
        <v>1915</v>
      </c>
      <c r="AC495" s="59">
        <v>45602</v>
      </c>
      <c r="AD495" s="59">
        <v>45604</v>
      </c>
      <c r="AE495" s="59">
        <v>45607</v>
      </c>
      <c r="AF495" s="29"/>
      <c r="AG495" s="59">
        <v>45611</v>
      </c>
      <c r="AH495" s="85">
        <v>45611</v>
      </c>
      <c r="AI495" s="29" t="s">
        <v>19</v>
      </c>
      <c r="AJ495" s="224"/>
      <c r="AK495" s="27"/>
      <c r="AL495" s="102"/>
      <c r="AM495" s="41" t="str">
        <f>VLOOKUP(Table2[[#This Row],[country]],Countrycode!A:B,2,FALSE)</f>
        <v>CHN</v>
      </c>
      <c r="AN495" s="34">
        <f>IF(ISBLANK(Table2[[#This Row],[Need_RRA]]), 2,(IF(Table2[[#This Row],[Need_RRA]]="No", 0, (IF(AND(Table2[[#This Row],[Need_RRA]]="Yes",  Table2[[#This Row],[RRA_pub_date]]=""),1, 0)))))</f>
        <v>0</v>
      </c>
      <c r="AO495" s="34">
        <f>IF(ISBLANK(Table2[[#This Row],[Need_EIS]]), 2,(IF(Table2[[#This Row],[Need_EIS]]="No", 0, (IF(AND(Table2[[#This Row],[Need_EIS]]="Yes",  Table2[[#This Row],[EIS_pub_date]]=""),1, 0)))))</f>
        <v>0</v>
      </c>
      <c r="AP495" s="34">
        <f>IF(ISBLANK(Table2[[#This Row],[Need_DON]]), 2,(IF(Table2[[#This Row],[Need_DON]]="No", 0, (IF(AND(Table2[[#This Row],[Need_DON]]="Yes",  Table2[[#This Row],[DON_pub_date]]=""),1, 0)))))</f>
        <v>0</v>
      </c>
      <c r="AQ495" s="34">
        <f>IF(ISBLANK(Table2[[#This Row],[Pending_question]]), 2,(IF(Table2[[#This Row],[Pending_question]]="Yes", 1, 0)))</f>
        <v>0</v>
      </c>
      <c r="AR495" s="225"/>
    </row>
    <row r="496" spans="1:44" ht="15" customHeight="1">
      <c r="A496" s="63">
        <v>45613</v>
      </c>
      <c r="B496" s="29" t="s">
        <v>15</v>
      </c>
      <c r="C496" s="34" t="str" cm="1">
        <f t="array" ref="C49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96" s="27" t="s">
        <v>1916</v>
      </c>
      <c r="E496" s="67" t="s">
        <v>667</v>
      </c>
      <c r="F496" s="29" t="s">
        <v>403</v>
      </c>
      <c r="G496" s="29" t="s">
        <v>34</v>
      </c>
      <c r="H496" s="29"/>
      <c r="I496" s="223">
        <v>45614</v>
      </c>
      <c r="J496" s="59">
        <v>45613</v>
      </c>
      <c r="K496" s="59" t="s">
        <v>1917</v>
      </c>
      <c r="L496" s="104" t="s">
        <v>1918</v>
      </c>
      <c r="M496" s="283"/>
      <c r="N496" s="223"/>
      <c r="O496" s="226"/>
      <c r="P496" s="59" t="s">
        <v>19</v>
      </c>
      <c r="Q496" s="84"/>
      <c r="R496" s="29"/>
      <c r="S496" s="29"/>
      <c r="T496" s="223"/>
      <c r="U496" s="29"/>
      <c r="V496" s="29"/>
      <c r="W496" s="29"/>
      <c r="X496" s="27"/>
      <c r="Y496" s="29" t="s">
        <v>30</v>
      </c>
      <c r="Z496" s="29" t="s">
        <v>42</v>
      </c>
      <c r="AA496" s="29" t="s">
        <v>22</v>
      </c>
      <c r="AB496" s="29" t="s">
        <v>1919</v>
      </c>
      <c r="AC496" s="59">
        <v>45615</v>
      </c>
      <c r="AD496" s="223">
        <v>45616</v>
      </c>
      <c r="AE496" s="59">
        <v>45616</v>
      </c>
      <c r="AF496" s="29"/>
      <c r="AG496" s="29"/>
      <c r="AH496" s="85">
        <v>45620</v>
      </c>
      <c r="AI496" s="29" t="s">
        <v>19</v>
      </c>
      <c r="AJ496" s="224"/>
      <c r="AK496" s="27"/>
      <c r="AL496" s="102"/>
      <c r="AM496" s="41" t="str">
        <f>VLOOKUP(Table2[[#This Row],[country]],Countrycode!A:B,2,FALSE)</f>
        <v>USA</v>
      </c>
      <c r="AN496" s="34">
        <f>IF(ISBLANK(Table2[[#This Row],[Need_RRA]]), 2,(IF(Table2[[#This Row],[Need_RRA]]="No", 0, (IF(AND(Table2[[#This Row],[Need_RRA]]="Yes",  Table2[[#This Row],[RRA_pub_date]]=""),1, 0)))))</f>
        <v>0</v>
      </c>
      <c r="AO496" s="34">
        <f>IF(ISBLANK(Table2[[#This Row],[Need_EIS]]), 2,(IF(Table2[[#This Row],[Need_EIS]]="No", 0, (IF(AND(Table2[[#This Row],[Need_EIS]]="Yes",  Table2[[#This Row],[EIS_pub_date]]=""),1, 0)))))</f>
        <v>0</v>
      </c>
      <c r="AP496" s="34">
        <f>IF(ISBLANK(Table2[[#This Row],[Need_DON]]), 2,(IF(Table2[[#This Row],[Need_DON]]="No", 0, (IF(AND(Table2[[#This Row],[Need_DON]]="Yes",  Table2[[#This Row],[DON_pub_date]]=""),1, 0)))))</f>
        <v>0</v>
      </c>
      <c r="AQ496" s="34">
        <f>IF(ISBLANK(Table2[[#This Row],[Pending_question]]), 2,(IF(Table2[[#This Row],[Pending_question]]="Yes", 1, 0)))</f>
        <v>2</v>
      </c>
      <c r="AR496" s="225"/>
    </row>
    <row r="497" spans="1:44" ht="15" customHeight="1">
      <c r="A497" s="63">
        <v>45617</v>
      </c>
      <c r="B497" s="29" t="s">
        <v>15</v>
      </c>
      <c r="C497" s="34" t="str" cm="1">
        <f t="array" ref="C49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97" s="27" t="s">
        <v>1741</v>
      </c>
      <c r="E497" s="67" t="s">
        <v>190</v>
      </c>
      <c r="F497" s="29" t="s">
        <v>39</v>
      </c>
      <c r="G497" s="29" t="s">
        <v>28</v>
      </c>
      <c r="H497" s="29"/>
      <c r="I497" s="223"/>
      <c r="J497" s="59"/>
      <c r="K497" s="59"/>
      <c r="L497" s="182"/>
      <c r="M497" s="283"/>
      <c r="N497" s="223"/>
      <c r="O497" s="226"/>
      <c r="P497" s="59" t="s">
        <v>19</v>
      </c>
      <c r="Q497" s="84"/>
      <c r="R497" s="29"/>
      <c r="S497" s="29"/>
      <c r="T497" s="223"/>
      <c r="U497" s="29"/>
      <c r="V497" s="29"/>
      <c r="W497" s="29"/>
      <c r="X497" s="27"/>
      <c r="Y497" s="29" t="s">
        <v>19</v>
      </c>
      <c r="Z497" s="29"/>
      <c r="AA497" s="29"/>
      <c r="AB497" s="29"/>
      <c r="AC497" s="29"/>
      <c r="AD497" s="223"/>
      <c r="AE497" s="29"/>
      <c r="AF497" s="29"/>
      <c r="AG497" s="29"/>
      <c r="AH497" s="27"/>
      <c r="AI497" s="29" t="s">
        <v>30</v>
      </c>
      <c r="AJ497" s="224">
        <v>45617</v>
      </c>
      <c r="AK497" s="85">
        <v>45631</v>
      </c>
      <c r="AL497" s="102"/>
      <c r="AM497" s="41" t="str">
        <f>VLOOKUP(Table2[[#This Row],[country]],Countrycode!A:B,2,FALSE)</f>
        <v>MLX</v>
      </c>
      <c r="AN497" s="34">
        <f>IF(ISBLANK(Table2[[#This Row],[Need_RRA]]), 2,(IF(Table2[[#This Row],[Need_RRA]]="No", 0, (IF(AND(Table2[[#This Row],[Need_RRA]]="Yes",  Table2[[#This Row],[RRA_pub_date]]=""),1, 0)))))</f>
        <v>0</v>
      </c>
      <c r="AO497" s="34">
        <f>IF(ISBLANK(Table2[[#This Row],[Need_EIS]]), 2,(IF(Table2[[#This Row],[Need_EIS]]="No", 0, (IF(AND(Table2[[#This Row],[Need_EIS]]="Yes",  Table2[[#This Row],[EIS_pub_date]]=""),1, 0)))))</f>
        <v>0</v>
      </c>
      <c r="AP497" s="34">
        <f>IF(ISBLANK(Table2[[#This Row],[Need_DON]]), 2,(IF(Table2[[#This Row],[Need_DON]]="No", 0, (IF(AND(Table2[[#This Row],[Need_DON]]="Yes",  Table2[[#This Row],[DON_pub_date]]=""),1, 0)))))</f>
        <v>0</v>
      </c>
      <c r="AQ497" s="34">
        <f>IF(ISBLANK(Table2[[#This Row],[Pending_question]]), 2,(IF(Table2[[#This Row],[Pending_question]]="Yes", 1, 0)))</f>
        <v>2</v>
      </c>
      <c r="AR497" s="225"/>
    </row>
    <row r="498" spans="1:44" ht="15" customHeight="1">
      <c r="A498" s="63">
        <v>45620</v>
      </c>
      <c r="B498" s="29" t="s">
        <v>15</v>
      </c>
      <c r="C498" s="34" t="str" cm="1">
        <f t="array" ref="C49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98" s="27" t="s">
        <v>1916</v>
      </c>
      <c r="E498" s="67" t="s">
        <v>667</v>
      </c>
      <c r="F498" s="29" t="s">
        <v>163</v>
      </c>
      <c r="G498" s="29" t="s">
        <v>34</v>
      </c>
      <c r="H498" s="29"/>
      <c r="I498" s="223"/>
      <c r="J498" s="59"/>
      <c r="K498" s="59" t="s">
        <v>1920</v>
      </c>
      <c r="L498" s="351" t="s">
        <v>1921</v>
      </c>
      <c r="M498" s="283"/>
      <c r="N498" s="223"/>
      <c r="O498" s="226"/>
      <c r="P498" s="59" t="s">
        <v>19</v>
      </c>
      <c r="Q498" s="84"/>
      <c r="R498" s="29"/>
      <c r="S498" s="29"/>
      <c r="T498" s="223"/>
      <c r="U498" s="29"/>
      <c r="V498" s="29"/>
      <c r="W498" s="29"/>
      <c r="X498" s="27"/>
      <c r="Y498" s="29" t="s">
        <v>30</v>
      </c>
      <c r="Z498" s="29" t="s">
        <v>42</v>
      </c>
      <c r="AA498" s="29" t="s">
        <v>22</v>
      </c>
      <c r="AB498" s="29" t="s">
        <v>1919</v>
      </c>
      <c r="AC498" s="59">
        <v>45620</v>
      </c>
      <c r="AD498" s="223">
        <v>45620</v>
      </c>
      <c r="AE498" s="59">
        <v>45620</v>
      </c>
      <c r="AF498" s="29"/>
      <c r="AG498" s="59">
        <v>45623</v>
      </c>
      <c r="AH498" s="85">
        <v>45625</v>
      </c>
      <c r="AI498" s="29" t="s">
        <v>19</v>
      </c>
      <c r="AJ498" s="224"/>
      <c r="AK498" s="27"/>
      <c r="AL498" s="102"/>
      <c r="AM498" s="41" t="str">
        <f>VLOOKUP(Table2[[#This Row],[country]],Countrycode!A:B,2,FALSE)</f>
        <v>CAN</v>
      </c>
      <c r="AN498" s="34">
        <f>IF(ISBLANK(Table2[[#This Row],[Need_RRA]]), 2,(IF(Table2[[#This Row],[Need_RRA]]="No", 0, (IF(AND(Table2[[#This Row],[Need_RRA]]="Yes",  Table2[[#This Row],[RRA_pub_date]]=""),1, 0)))))</f>
        <v>0</v>
      </c>
      <c r="AO498" s="34">
        <f>IF(ISBLANK(Table2[[#This Row],[Need_EIS]]), 2,(IF(Table2[[#This Row],[Need_EIS]]="No", 0, (IF(AND(Table2[[#This Row],[Need_EIS]]="Yes",  Table2[[#This Row],[EIS_pub_date]]=""),1, 0)))))</f>
        <v>0</v>
      </c>
      <c r="AP498" s="34">
        <f>IF(ISBLANK(Table2[[#This Row],[Need_DON]]), 2,(IF(Table2[[#This Row],[Need_DON]]="No", 0, (IF(AND(Table2[[#This Row],[Need_DON]]="Yes",  Table2[[#This Row],[DON_pub_date]]=""),1, 0)))))</f>
        <v>0</v>
      </c>
      <c r="AQ498" s="34">
        <f>IF(ISBLANK(Table2[[#This Row],[Pending_question]]), 2,(IF(Table2[[#This Row],[Pending_question]]="Yes", 1, 0)))</f>
        <v>2</v>
      </c>
      <c r="AR498" s="225"/>
    </row>
    <row r="499" spans="1:44" ht="15" customHeight="1">
      <c r="A499" s="63">
        <v>45621</v>
      </c>
      <c r="B499" s="29" t="s">
        <v>15</v>
      </c>
      <c r="C499" s="34" t="str" cm="1">
        <f t="array" ref="C49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499" s="27" t="s">
        <v>1922</v>
      </c>
      <c r="E499" s="67" t="s">
        <v>99</v>
      </c>
      <c r="F499" s="29" t="s">
        <v>403</v>
      </c>
      <c r="G499" s="29" t="s">
        <v>34</v>
      </c>
      <c r="H499" s="29"/>
      <c r="I499" s="223"/>
      <c r="J499" s="59">
        <v>45621</v>
      </c>
      <c r="K499" s="59" t="s">
        <v>1677</v>
      </c>
      <c r="L499" s="285" t="s">
        <v>1792</v>
      </c>
      <c r="M499" s="283" t="s">
        <v>19</v>
      </c>
      <c r="N499" s="223"/>
      <c r="O499" s="226"/>
      <c r="P499" s="59" t="s">
        <v>19</v>
      </c>
      <c r="Q499" s="84"/>
      <c r="R499" s="29"/>
      <c r="S499" s="29"/>
      <c r="T499" s="223"/>
      <c r="U499" s="29"/>
      <c r="V499" s="29"/>
      <c r="W499" s="29"/>
      <c r="X499" s="27"/>
      <c r="Y499" s="29" t="s">
        <v>30</v>
      </c>
      <c r="Z499" s="29" t="s">
        <v>42</v>
      </c>
      <c r="AA499" s="29" t="s">
        <v>22</v>
      </c>
      <c r="AB499" s="29" t="s">
        <v>1923</v>
      </c>
      <c r="AC499" s="59">
        <v>45620</v>
      </c>
      <c r="AD499" s="223">
        <v>45620</v>
      </c>
      <c r="AE499" s="59">
        <v>45621</v>
      </c>
      <c r="AF499" s="29"/>
      <c r="AG499" s="59">
        <v>45623</v>
      </c>
      <c r="AH499" s="85">
        <v>45623</v>
      </c>
      <c r="AI499" s="29" t="s">
        <v>31</v>
      </c>
      <c r="AJ499" s="224"/>
      <c r="AK499" s="27"/>
      <c r="AL499" s="102"/>
      <c r="AM499" s="41" t="str">
        <f>VLOOKUP(Table2[[#This Row],[country]],Countrycode!A:B,2,FALSE)</f>
        <v>USA</v>
      </c>
      <c r="AN499" s="34">
        <f>IF(ISBLANK(Table2[[#This Row],[Need_RRA]]), 2,(IF(Table2[[#This Row],[Need_RRA]]="No", 0, (IF(AND(Table2[[#This Row],[Need_RRA]]="Yes",  Table2[[#This Row],[RRA_pub_date]]=""),1, 0)))))</f>
        <v>0</v>
      </c>
      <c r="AO499" s="34">
        <f>IF(ISBLANK(Table2[[#This Row],[Need_EIS]]), 2,(IF(Table2[[#This Row],[Need_EIS]]="No", 0, (IF(AND(Table2[[#This Row],[Need_EIS]]="Yes",  Table2[[#This Row],[EIS_pub_date]]=""),1, 0)))))</f>
        <v>0</v>
      </c>
      <c r="AP499" s="34">
        <f>IF(ISBLANK(Table2[[#This Row],[Need_DON]]), 2,(IF(Table2[[#This Row],[Need_DON]]="No", 0, (IF(AND(Table2[[#This Row],[Need_DON]]="Yes",  Table2[[#This Row],[DON_pub_date]]=""),1, 0)))))</f>
        <v>0</v>
      </c>
      <c r="AQ499" s="34">
        <f>IF(ISBLANK(Table2[[#This Row],[Pending_question]]), 2,(IF(Table2[[#This Row],[Pending_question]]="Yes", 1, 0)))</f>
        <v>0</v>
      </c>
      <c r="AR499" s="225"/>
    </row>
    <row r="500" spans="1:44" ht="15" customHeight="1">
      <c r="A500" s="63">
        <v>45624</v>
      </c>
      <c r="B500" s="29" t="s">
        <v>15</v>
      </c>
      <c r="C500" s="34" t="str" cm="1">
        <f t="array" ref="C50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00" s="27" t="s">
        <v>1856</v>
      </c>
      <c r="E500" s="67" t="s">
        <v>114</v>
      </c>
      <c r="F500" s="29" t="s">
        <v>409</v>
      </c>
      <c r="G500" s="29" t="s">
        <v>34</v>
      </c>
      <c r="H500" s="29"/>
      <c r="I500" s="223">
        <v>45623</v>
      </c>
      <c r="J500" s="59">
        <v>45624</v>
      </c>
      <c r="K500" s="59" t="s">
        <v>1924</v>
      </c>
      <c r="L500" s="104" t="s">
        <v>1925</v>
      </c>
      <c r="M500" s="283"/>
      <c r="N500" s="223"/>
      <c r="O500" s="226"/>
      <c r="P500" s="59" t="s">
        <v>19</v>
      </c>
      <c r="Q500" s="84"/>
      <c r="R500" s="29"/>
      <c r="S500" s="29"/>
      <c r="T500" s="223"/>
      <c r="U500" s="29"/>
      <c r="V500" s="29"/>
      <c r="W500" s="29"/>
      <c r="X500" s="27"/>
      <c r="Y500" s="29" t="s">
        <v>30</v>
      </c>
      <c r="Z500" s="29" t="s">
        <v>42</v>
      </c>
      <c r="AA500" s="29" t="s">
        <v>22</v>
      </c>
      <c r="AB500" s="29" t="s">
        <v>1926</v>
      </c>
      <c r="AC500" s="59">
        <v>45623</v>
      </c>
      <c r="AD500" s="223">
        <v>45623</v>
      </c>
      <c r="AE500" s="59">
        <v>45624</v>
      </c>
      <c r="AF500" s="59">
        <v>45625</v>
      </c>
      <c r="AG500" s="59">
        <v>45628</v>
      </c>
      <c r="AH500" s="85">
        <v>45629</v>
      </c>
      <c r="AI500" s="29" t="s">
        <v>19</v>
      </c>
      <c r="AJ500" s="224"/>
      <c r="AK500" s="27"/>
      <c r="AL500" s="102"/>
      <c r="AM500" s="41" t="str">
        <f>VLOOKUP(Table2[[#This Row],[country]],Countrycode!A:B,2,FALSE)</f>
        <v>VNM</v>
      </c>
      <c r="AN500" s="34">
        <f>IF(ISBLANK(Table2[[#This Row],[Need_RRA]]), 2,(IF(Table2[[#This Row],[Need_RRA]]="No", 0, (IF(AND(Table2[[#This Row],[Need_RRA]]="Yes",  Table2[[#This Row],[RRA_pub_date]]=""),1, 0)))))</f>
        <v>0</v>
      </c>
      <c r="AO500" s="34">
        <f>IF(ISBLANK(Table2[[#This Row],[Need_EIS]]), 2,(IF(Table2[[#This Row],[Need_EIS]]="No", 0, (IF(AND(Table2[[#This Row],[Need_EIS]]="Yes",  Table2[[#This Row],[EIS_pub_date]]=""),1, 0)))))</f>
        <v>0</v>
      </c>
      <c r="AP500" s="34">
        <f>IF(ISBLANK(Table2[[#This Row],[Need_DON]]), 2,(IF(Table2[[#This Row],[Need_DON]]="No", 0, (IF(AND(Table2[[#This Row],[Need_DON]]="Yes",  Table2[[#This Row],[DON_pub_date]]=""),1, 0)))))</f>
        <v>0</v>
      </c>
      <c r="AQ500" s="34">
        <f>IF(ISBLANK(Table2[[#This Row],[Pending_question]]), 2,(IF(Table2[[#This Row],[Pending_question]]="Yes", 1, 0)))</f>
        <v>2</v>
      </c>
      <c r="AR500" s="225"/>
    </row>
    <row r="501" spans="1:44" ht="15" customHeight="1">
      <c r="A501" s="63">
        <v>45632</v>
      </c>
      <c r="B501" s="29" t="s">
        <v>15</v>
      </c>
      <c r="C501" s="34" t="str" cm="1">
        <f t="array" ref="C50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01" s="27" t="s">
        <v>1927</v>
      </c>
      <c r="E501" s="67" t="s">
        <v>235</v>
      </c>
      <c r="F501" s="29" t="s">
        <v>208</v>
      </c>
      <c r="G501" s="29" t="s">
        <v>34</v>
      </c>
      <c r="H501" s="150">
        <v>45632</v>
      </c>
      <c r="I501" s="150">
        <v>45635</v>
      </c>
      <c r="J501" s="59">
        <v>45630</v>
      </c>
      <c r="K501" s="59" t="s">
        <v>1928</v>
      </c>
      <c r="L501" s="104" t="s">
        <v>1929</v>
      </c>
      <c r="M501" s="283"/>
      <c r="N501" s="223"/>
      <c r="O501" s="226"/>
      <c r="P501" s="59" t="s">
        <v>19</v>
      </c>
      <c r="Q501" s="84"/>
      <c r="R501" s="29"/>
      <c r="S501" s="29"/>
      <c r="T501" s="223"/>
      <c r="U501" s="29"/>
      <c r="V501" s="29"/>
      <c r="W501" s="29"/>
      <c r="X501" s="27"/>
      <c r="Y501" s="29" t="s">
        <v>30</v>
      </c>
      <c r="Z501" s="29" t="s">
        <v>42</v>
      </c>
      <c r="AA501" s="29" t="s">
        <v>43</v>
      </c>
      <c r="AB501" s="29" t="s">
        <v>1930</v>
      </c>
      <c r="AC501" s="59">
        <v>45631</v>
      </c>
      <c r="AD501" s="59">
        <v>45631</v>
      </c>
      <c r="AE501" s="59">
        <v>45632</v>
      </c>
      <c r="AF501" s="29"/>
      <c r="AG501" s="29"/>
      <c r="AH501" s="85">
        <v>45634</v>
      </c>
      <c r="AI501" s="29" t="s">
        <v>19</v>
      </c>
      <c r="AJ501" s="224">
        <v>45633</v>
      </c>
      <c r="AK501" s="224">
        <v>45634</v>
      </c>
      <c r="AL501" s="102"/>
      <c r="AM501" s="41" t="str">
        <f>VLOOKUP(Table2[[#This Row],[country]],Countrycode!A:B,2,FALSE)</f>
        <v>COD</v>
      </c>
      <c r="AN501" s="34">
        <f>IF(ISBLANK(Table2[[#This Row],[Need_RRA]]), 2,(IF(Table2[[#This Row],[Need_RRA]]="No", 0, (IF(AND(Table2[[#This Row],[Need_RRA]]="Yes",  Table2[[#This Row],[RRA_pub_date]]=""),1, 0)))))</f>
        <v>0</v>
      </c>
      <c r="AO501" s="34">
        <f>IF(ISBLANK(Table2[[#This Row],[Need_EIS]]), 2,(IF(Table2[[#This Row],[Need_EIS]]="No", 0, (IF(AND(Table2[[#This Row],[Need_EIS]]="Yes",  Table2[[#This Row],[EIS_pub_date]]=""),1, 0)))))</f>
        <v>0</v>
      </c>
      <c r="AP501" s="34">
        <f>IF(ISBLANK(Table2[[#This Row],[Need_DON]]), 2,(IF(Table2[[#This Row],[Need_DON]]="No", 0, (IF(AND(Table2[[#This Row],[Need_DON]]="Yes",  Table2[[#This Row],[DON_pub_date]]=""),1, 0)))))</f>
        <v>0</v>
      </c>
      <c r="AQ501" s="34">
        <f>IF(ISBLANK(Table2[[#This Row],[Pending_question]]), 2,(IF(Table2[[#This Row],[Pending_question]]="Yes", 1, 0)))</f>
        <v>2</v>
      </c>
      <c r="AR501" s="225"/>
    </row>
    <row r="502" spans="1:44" ht="15" customHeight="1">
      <c r="A502" s="63">
        <v>45636</v>
      </c>
      <c r="B502" s="29" t="s">
        <v>15</v>
      </c>
      <c r="C502" s="34" t="str" cm="1">
        <f t="array" ref="C50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02" s="27" t="s">
        <v>1931</v>
      </c>
      <c r="E502" s="67" t="s">
        <v>190</v>
      </c>
      <c r="F502" s="29" t="s">
        <v>119</v>
      </c>
      <c r="G502" s="29" t="s">
        <v>34</v>
      </c>
      <c r="H502" s="59">
        <v>45636</v>
      </c>
      <c r="I502" s="223"/>
      <c r="J502" s="59">
        <v>45636</v>
      </c>
      <c r="K502" s="59" t="s">
        <v>1932</v>
      </c>
      <c r="L502" s="104" t="s">
        <v>1933</v>
      </c>
      <c r="M502" s="283"/>
      <c r="N502" s="223"/>
      <c r="O502" s="226"/>
      <c r="P502" s="59" t="s">
        <v>19</v>
      </c>
      <c r="Q502" s="84"/>
      <c r="R502" s="29"/>
      <c r="S502" s="29"/>
      <c r="T502" s="223"/>
      <c r="U502" s="29"/>
      <c r="V502" s="29"/>
      <c r="W502" s="29"/>
      <c r="X502" s="27"/>
      <c r="Y502" s="29" t="s">
        <v>30</v>
      </c>
      <c r="Z502" s="29" t="s">
        <v>42</v>
      </c>
      <c r="AA502" s="29" t="s">
        <v>22</v>
      </c>
      <c r="AB502" s="29" t="s">
        <v>1934</v>
      </c>
      <c r="AC502" s="59">
        <v>45635</v>
      </c>
      <c r="AD502" s="223">
        <v>45635</v>
      </c>
      <c r="AE502" s="59">
        <v>45636</v>
      </c>
      <c r="AF502" s="59">
        <v>45636</v>
      </c>
      <c r="AG502" s="59">
        <v>45637</v>
      </c>
      <c r="AH502" s="85">
        <v>45638</v>
      </c>
      <c r="AI502" s="29" t="s">
        <v>19</v>
      </c>
      <c r="AJ502" s="224"/>
      <c r="AK502" s="27"/>
      <c r="AL502" s="102"/>
      <c r="AM502" s="41" t="str">
        <f>VLOOKUP(Table2[[#This Row],[country]],Countrycode!A:B,2,FALSE)</f>
        <v>BRB</v>
      </c>
      <c r="AN502" s="34">
        <f>IF(ISBLANK(Table2[[#This Row],[Need_RRA]]), 2,(IF(Table2[[#This Row],[Need_RRA]]="No", 0, (IF(AND(Table2[[#This Row],[Need_RRA]]="Yes",  Table2[[#This Row],[RRA_pub_date]]=""),1, 0)))))</f>
        <v>0</v>
      </c>
      <c r="AO502" s="34">
        <f>IF(ISBLANK(Table2[[#This Row],[Need_EIS]]), 2,(IF(Table2[[#This Row],[Need_EIS]]="No", 0, (IF(AND(Table2[[#This Row],[Need_EIS]]="Yes",  Table2[[#This Row],[EIS_pub_date]]=""),1, 0)))))</f>
        <v>0</v>
      </c>
      <c r="AP502" s="34">
        <f>IF(ISBLANK(Table2[[#This Row],[Need_DON]]), 2,(IF(Table2[[#This Row],[Need_DON]]="No", 0, (IF(AND(Table2[[#This Row],[Need_DON]]="Yes",  Table2[[#This Row],[DON_pub_date]]=""),1, 0)))))</f>
        <v>0</v>
      </c>
      <c r="AQ502" s="34">
        <f>IF(ISBLANK(Table2[[#This Row],[Pending_question]]), 2,(IF(Table2[[#This Row],[Pending_question]]="Yes", 1, 0)))</f>
        <v>2</v>
      </c>
      <c r="AR502" s="225"/>
    </row>
    <row r="503" spans="1:44" ht="15" customHeight="1">
      <c r="A503" s="63">
        <v>45637</v>
      </c>
      <c r="B503" s="29" t="s">
        <v>15</v>
      </c>
      <c r="C503" s="34" t="str" cm="1">
        <f t="array" ref="C50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03" s="27" t="s">
        <v>1935</v>
      </c>
      <c r="E503" s="67" t="s">
        <v>110</v>
      </c>
      <c r="F503" s="29" t="s">
        <v>173</v>
      </c>
      <c r="G503" s="29" t="s">
        <v>34</v>
      </c>
      <c r="H503" s="150">
        <v>45637</v>
      </c>
      <c r="I503" s="223">
        <v>45631</v>
      </c>
      <c r="J503" s="59">
        <v>45631</v>
      </c>
      <c r="K503" s="59" t="s">
        <v>1936</v>
      </c>
      <c r="L503" s="64" t="s">
        <v>1937</v>
      </c>
      <c r="M503" s="283" t="s">
        <v>19</v>
      </c>
      <c r="N503" s="223"/>
      <c r="O503" s="226"/>
      <c r="P503" s="59" t="s">
        <v>19</v>
      </c>
      <c r="Q503" s="84"/>
      <c r="R503" s="29"/>
      <c r="S503" s="29"/>
      <c r="T503" s="223"/>
      <c r="U503" s="29"/>
      <c r="V503" s="29"/>
      <c r="W503" s="29"/>
      <c r="X503" s="27"/>
      <c r="Y503" s="29" t="s">
        <v>30</v>
      </c>
      <c r="Z503" s="29" t="s">
        <v>42</v>
      </c>
      <c r="AA503" s="29" t="s">
        <v>22</v>
      </c>
      <c r="AB503" s="29" t="s">
        <v>1938</v>
      </c>
      <c r="AC503" s="29"/>
      <c r="AD503" s="223">
        <v>45631</v>
      </c>
      <c r="AE503" s="59">
        <v>45632</v>
      </c>
      <c r="AF503" s="29"/>
      <c r="AG503" s="59">
        <v>45637</v>
      </c>
      <c r="AH503" s="59">
        <v>45637</v>
      </c>
      <c r="AI503" s="29" t="s">
        <v>19</v>
      </c>
      <c r="AJ503" s="224"/>
      <c r="AK503" s="27"/>
      <c r="AL503" s="102"/>
      <c r="AM503" s="41" t="str">
        <f>VLOOKUP(Table2[[#This Row],[country]],Countrycode!A:B,2,FALSE)</f>
        <v>CHN</v>
      </c>
      <c r="AN503" s="34">
        <f>IF(ISBLANK(Table2[[#This Row],[Need_RRA]]), 2,(IF(Table2[[#This Row],[Need_RRA]]="No", 0, (IF(AND(Table2[[#This Row],[Need_RRA]]="Yes",  Table2[[#This Row],[RRA_pub_date]]=""),1, 0)))))</f>
        <v>0</v>
      </c>
      <c r="AO503" s="34">
        <f>IF(ISBLANK(Table2[[#This Row],[Need_EIS]]), 2,(IF(Table2[[#This Row],[Need_EIS]]="No", 0, (IF(AND(Table2[[#This Row],[Need_EIS]]="Yes",  Table2[[#This Row],[EIS_pub_date]]=""),1, 0)))))</f>
        <v>0</v>
      </c>
      <c r="AP503" s="34">
        <f>IF(ISBLANK(Table2[[#This Row],[Need_DON]]), 2,(IF(Table2[[#This Row],[Need_DON]]="No", 0, (IF(AND(Table2[[#This Row],[Need_DON]]="Yes",  Table2[[#This Row],[DON_pub_date]]=""),1, 0)))))</f>
        <v>0</v>
      </c>
      <c r="AQ503" s="34">
        <f>IF(ISBLANK(Table2[[#This Row],[Pending_question]]), 2,(IF(Table2[[#This Row],[Pending_question]]="Yes", 1, 0)))</f>
        <v>0</v>
      </c>
      <c r="AR503" s="225"/>
    </row>
    <row r="504" spans="1:44" ht="15" customHeight="1">
      <c r="A504" s="63">
        <v>45639</v>
      </c>
      <c r="B504" s="29" t="s">
        <v>15</v>
      </c>
      <c r="C504" s="34" t="str" cm="1">
        <f t="array" ref="C50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04" s="27" t="s">
        <v>1939</v>
      </c>
      <c r="E504" s="286" t="s">
        <v>235</v>
      </c>
      <c r="F504" s="287" t="s">
        <v>208</v>
      </c>
      <c r="G504" s="29"/>
      <c r="H504" s="29"/>
      <c r="I504" s="223"/>
      <c r="J504" s="59"/>
      <c r="K504" s="59"/>
      <c r="L504" s="104"/>
      <c r="M504" s="283" t="s">
        <v>19</v>
      </c>
      <c r="N504" s="223"/>
      <c r="O504" s="226"/>
      <c r="P504" s="59" t="s">
        <v>19</v>
      </c>
      <c r="Q504" s="84"/>
      <c r="R504" s="29"/>
      <c r="S504" s="29"/>
      <c r="T504" s="223"/>
      <c r="U504" s="29"/>
      <c r="V504" s="29"/>
      <c r="W504" s="29"/>
      <c r="X504" s="27"/>
      <c r="Y504" s="29" t="s">
        <v>19</v>
      </c>
      <c r="Z504" s="29"/>
      <c r="AA504" s="29"/>
      <c r="AB504" s="29"/>
      <c r="AC504" s="29"/>
      <c r="AD504" s="223"/>
      <c r="AE504" s="29"/>
      <c r="AF504" s="29"/>
      <c r="AG504" s="29"/>
      <c r="AH504" s="27"/>
      <c r="AI504" s="29" t="s">
        <v>30</v>
      </c>
      <c r="AJ504" s="224">
        <v>45639</v>
      </c>
      <c r="AK504" s="85">
        <v>45653</v>
      </c>
      <c r="AL504" s="102"/>
      <c r="AM504" s="41" t="str">
        <f>VLOOKUP(Table2[[#This Row],[country]],Countrycode!A:B,2,FALSE)</f>
        <v>COD</v>
      </c>
      <c r="AN504" s="34">
        <f>IF(ISBLANK(Table2[[#This Row],[Need_RRA]]), 2,(IF(Table2[[#This Row],[Need_RRA]]="No", 0, (IF(AND(Table2[[#This Row],[Need_RRA]]="Yes",  Table2[[#This Row],[RRA_pub_date]]=""),1, 0)))))</f>
        <v>0</v>
      </c>
      <c r="AO504" s="34">
        <f>IF(ISBLANK(Table2[[#This Row],[Need_EIS]]), 2,(IF(Table2[[#This Row],[Need_EIS]]="No", 0, (IF(AND(Table2[[#This Row],[Need_EIS]]="Yes",  Table2[[#This Row],[EIS_pub_date]]=""),1, 0)))))</f>
        <v>0</v>
      </c>
      <c r="AP504" s="34">
        <f>IF(ISBLANK(Table2[[#This Row],[Need_DON]]), 2,(IF(Table2[[#This Row],[Need_DON]]="No", 0, (IF(AND(Table2[[#This Row],[Need_DON]]="Yes",  Table2[[#This Row],[DON_pub_date]]=""),1, 0)))))</f>
        <v>0</v>
      </c>
      <c r="AQ504" s="34">
        <f>IF(ISBLANK(Table2[[#This Row],[Pending_question]]), 2,(IF(Table2[[#This Row],[Pending_question]]="Yes", 1, 0)))</f>
        <v>0</v>
      </c>
      <c r="AR504" s="225"/>
    </row>
    <row r="505" spans="1:44" ht="15" customHeight="1">
      <c r="A505" s="63">
        <v>45642</v>
      </c>
      <c r="B505" s="29" t="s">
        <v>15</v>
      </c>
      <c r="C505" s="34" t="str" cm="1">
        <f t="array" ref="C50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05" s="27" t="s">
        <v>1741</v>
      </c>
      <c r="E505" s="67" t="s">
        <v>174</v>
      </c>
      <c r="F505" s="29" t="s">
        <v>352</v>
      </c>
      <c r="G505" s="29"/>
      <c r="H505" s="29"/>
      <c r="I505" s="223"/>
      <c r="J505" s="59"/>
      <c r="K505" s="59"/>
      <c r="L505" s="104"/>
      <c r="M505" s="283"/>
      <c r="N505" s="223"/>
      <c r="O505" s="226"/>
      <c r="P505" s="59" t="s">
        <v>19</v>
      </c>
      <c r="Q505" s="84"/>
      <c r="R505" s="29"/>
      <c r="S505" s="29"/>
      <c r="T505" s="223"/>
      <c r="U505" s="29"/>
      <c r="V505" s="29"/>
      <c r="W505" s="29"/>
      <c r="X505" s="27"/>
      <c r="Y505" s="29" t="s">
        <v>19</v>
      </c>
      <c r="Z505" s="29"/>
      <c r="AA505" s="29"/>
      <c r="AB505" s="29"/>
      <c r="AC505" s="29"/>
      <c r="AD505" s="223"/>
      <c r="AE505" s="29"/>
      <c r="AF505" s="29"/>
      <c r="AG505" s="29"/>
      <c r="AH505" s="27"/>
      <c r="AI505" s="29" t="s">
        <v>30</v>
      </c>
      <c r="AJ505" s="224">
        <v>45642</v>
      </c>
      <c r="AK505" s="85">
        <v>45646</v>
      </c>
      <c r="AL505" s="102"/>
      <c r="AM505" s="41" t="str">
        <f>VLOOKUP(Table2[[#This Row],[country]],Countrycode!A:B,2,FALSE)</f>
        <v>RWA</v>
      </c>
      <c r="AN505" s="34">
        <f>IF(ISBLANK(Table2[[#This Row],[Need_RRA]]), 2,(IF(Table2[[#This Row],[Need_RRA]]="No", 0, (IF(AND(Table2[[#This Row],[Need_RRA]]="Yes",  Table2[[#This Row],[RRA_pub_date]]=""),1, 0)))))</f>
        <v>0</v>
      </c>
      <c r="AO505" s="34">
        <f>IF(ISBLANK(Table2[[#This Row],[Need_EIS]]), 2,(IF(Table2[[#This Row],[Need_EIS]]="No", 0, (IF(AND(Table2[[#This Row],[Need_EIS]]="Yes",  Table2[[#This Row],[EIS_pub_date]]=""),1, 0)))))</f>
        <v>0</v>
      </c>
      <c r="AP505" s="34">
        <f>IF(ISBLANK(Table2[[#This Row],[Need_DON]]), 2,(IF(Table2[[#This Row],[Need_DON]]="No", 0, (IF(AND(Table2[[#This Row],[Need_DON]]="Yes",  Table2[[#This Row],[DON_pub_date]]=""),1, 0)))))</f>
        <v>0</v>
      </c>
      <c r="AQ505" s="34">
        <f>IF(ISBLANK(Table2[[#This Row],[Pending_question]]), 2,(IF(Table2[[#This Row],[Pending_question]]="Yes", 1, 0)))</f>
        <v>2</v>
      </c>
      <c r="AR505" s="225"/>
    </row>
    <row r="506" spans="1:44" ht="15" customHeight="1">
      <c r="A506" s="63">
        <v>45645</v>
      </c>
      <c r="B506" s="16" t="s">
        <v>15</v>
      </c>
      <c r="C506" s="34" t="str" cm="1">
        <f t="array" ref="C50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06" s="32" t="s">
        <v>927</v>
      </c>
      <c r="E506" s="16" t="s">
        <v>114</v>
      </c>
      <c r="F506" s="16" t="s">
        <v>403</v>
      </c>
      <c r="G506" s="29" t="s">
        <v>34</v>
      </c>
      <c r="H506" s="55">
        <v>45645</v>
      </c>
      <c r="I506" s="223"/>
      <c r="J506" s="64">
        <v>45643</v>
      </c>
      <c r="K506" s="59" t="s">
        <v>1677</v>
      </c>
      <c r="L506" s="112" t="s">
        <v>1678</v>
      </c>
      <c r="M506" s="213" t="s">
        <v>19</v>
      </c>
      <c r="N506" s="214"/>
      <c r="O506" s="215"/>
      <c r="P506" s="55" t="s">
        <v>19</v>
      </c>
      <c r="Q506" s="84"/>
      <c r="R506" s="54"/>
      <c r="S506" s="29"/>
      <c r="T506" s="223"/>
      <c r="U506" s="29"/>
      <c r="V506" s="29"/>
      <c r="W506" s="29"/>
      <c r="X506" s="27"/>
      <c r="Y506" s="54" t="s">
        <v>30</v>
      </c>
      <c r="Z506" s="29" t="s">
        <v>21</v>
      </c>
      <c r="AA506" s="29" t="s">
        <v>22</v>
      </c>
      <c r="AB506" s="54" t="s">
        <v>1940</v>
      </c>
      <c r="AC506" s="29"/>
      <c r="AD506" s="59">
        <v>45643</v>
      </c>
      <c r="AE506" s="59">
        <v>45643</v>
      </c>
      <c r="AF506" s="29"/>
      <c r="AG506" s="59">
        <v>45645</v>
      </c>
      <c r="AH506" s="85">
        <v>45645</v>
      </c>
      <c r="AI506" s="54" t="s">
        <v>19</v>
      </c>
      <c r="AJ506" s="224"/>
      <c r="AK506" s="27"/>
      <c r="AL506" s="102"/>
      <c r="AM506" s="41" t="str">
        <f>VLOOKUP(Table2[[#This Row],[country]],Countrycode!A:B,2,FALSE)</f>
        <v>USA</v>
      </c>
      <c r="AN506" s="34">
        <f>IF(ISBLANK(Table2[[#This Row],[Need_RRA]]), 2,(IF(Table2[[#This Row],[Need_RRA]]="No", 0, (IF(AND(Table2[[#This Row],[Need_RRA]]="Yes",  Table2[[#This Row],[RRA_pub_date]]=""),1, 0)))))</f>
        <v>0</v>
      </c>
      <c r="AO506" s="34">
        <f>IF(ISBLANK(Table2[[#This Row],[Need_EIS]]), 2,(IF(Table2[[#This Row],[Need_EIS]]="No", 0, (IF(AND(Table2[[#This Row],[Need_EIS]]="Yes",  Table2[[#This Row],[EIS_pub_date]]=""),1, 0)))))</f>
        <v>0</v>
      </c>
      <c r="AP506" s="34">
        <f>IF(ISBLANK(Table2[[#This Row],[Need_DON]]), 2,(IF(Table2[[#This Row],[Need_DON]]="No", 0, (IF(AND(Table2[[#This Row],[Need_DON]]="Yes",  Table2[[#This Row],[DON_pub_date]]=""),1, 0)))))</f>
        <v>0</v>
      </c>
      <c r="AQ506" s="34">
        <f>IF(ISBLANK(Table2[[#This Row],[Pending_question]]), 2,(IF(Table2[[#This Row],[Pending_question]]="Yes", 1, 0)))</f>
        <v>0</v>
      </c>
      <c r="AR506" s="225"/>
    </row>
    <row r="507" spans="1:44" ht="15" customHeight="1">
      <c r="A507" s="63">
        <v>45646</v>
      </c>
      <c r="B507" s="29" t="s">
        <v>15</v>
      </c>
      <c r="C507" s="34" t="str" cm="1">
        <f t="array" ref="C50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07" s="27" t="s">
        <v>1941</v>
      </c>
      <c r="E507" s="70" t="s">
        <v>667</v>
      </c>
      <c r="F507" s="54" t="s">
        <v>123</v>
      </c>
      <c r="G507" s="29" t="s">
        <v>34</v>
      </c>
      <c r="H507" s="54"/>
      <c r="I507" s="214"/>
      <c r="J507" s="59"/>
      <c r="K507" s="59" t="s">
        <v>1942</v>
      </c>
      <c r="L507" s="182" t="s">
        <v>1943</v>
      </c>
      <c r="M507" s="213" t="s">
        <v>19</v>
      </c>
      <c r="N507" s="214"/>
      <c r="O507" s="215"/>
      <c r="P507" s="55" t="s">
        <v>19</v>
      </c>
      <c r="Q507" s="84"/>
      <c r="R507" s="54"/>
      <c r="S507" s="29"/>
      <c r="T507" s="223"/>
      <c r="U507" s="29"/>
      <c r="V507" s="29"/>
      <c r="W507" s="29"/>
      <c r="X507" s="27"/>
      <c r="Y507" s="54" t="s">
        <v>30</v>
      </c>
      <c r="Z507" s="29" t="s">
        <v>42</v>
      </c>
      <c r="AA507" s="29" t="s">
        <v>22</v>
      </c>
      <c r="AB507" s="54" t="s">
        <v>1944</v>
      </c>
      <c r="AC507" s="59">
        <v>45646</v>
      </c>
      <c r="AD507" s="223">
        <v>45646</v>
      </c>
      <c r="AE507" s="59">
        <v>45650</v>
      </c>
      <c r="AF507" s="59">
        <v>45650</v>
      </c>
      <c r="AG507" s="59">
        <v>45666</v>
      </c>
      <c r="AH507" s="85">
        <v>45667</v>
      </c>
      <c r="AI507" s="54" t="s">
        <v>19</v>
      </c>
      <c r="AJ507" s="224"/>
      <c r="AK507" s="27"/>
      <c r="AL507" s="102"/>
      <c r="AM507" s="41" t="str">
        <f>VLOOKUP(Table2[[#This Row],[country]],Countrycode!A:B,2,FALSE)</f>
        <v>BEL</v>
      </c>
      <c r="AN507" s="34">
        <f>IF(ISBLANK(Table2[[#This Row],[Need_RRA]]), 2,(IF(Table2[[#This Row],[Need_RRA]]="No", 0, (IF(AND(Table2[[#This Row],[Need_RRA]]="Yes",  Table2[[#This Row],[RRA_pub_date]]=""),1, 0)))))</f>
        <v>0</v>
      </c>
      <c r="AO507" s="34">
        <f>IF(ISBLANK(Table2[[#This Row],[Need_EIS]]), 2,(IF(Table2[[#This Row],[Need_EIS]]="No", 0, (IF(AND(Table2[[#This Row],[Need_EIS]]="Yes",  Table2[[#This Row],[EIS_pub_date]]=""),1, 0)))))</f>
        <v>0</v>
      </c>
      <c r="AP507" s="34">
        <f>IF(ISBLANK(Table2[[#This Row],[Need_DON]]), 2,(IF(Table2[[#This Row],[Need_DON]]="No", 0, (IF(AND(Table2[[#This Row],[Need_DON]]="Yes",  Table2[[#This Row],[DON_pub_date]]=""),1, 0)))))</f>
        <v>0</v>
      </c>
      <c r="AQ507" s="34">
        <f>IF(ISBLANK(Table2[[#This Row],[Pending_question]]), 2,(IF(Table2[[#This Row],[Pending_question]]="Yes", 1, 0)))</f>
        <v>0</v>
      </c>
      <c r="AR507" s="225"/>
    </row>
    <row r="508" spans="1:44" ht="15" customHeight="1">
      <c r="A508" s="63">
        <v>45649</v>
      </c>
      <c r="B508" s="29" t="s">
        <v>15</v>
      </c>
      <c r="C508" s="34" t="str" cm="1">
        <f t="array" ref="C50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08" s="27" t="s">
        <v>1945</v>
      </c>
      <c r="E508" s="70" t="s">
        <v>241</v>
      </c>
      <c r="F508" s="54" t="s">
        <v>401</v>
      </c>
      <c r="G508" s="29" t="s">
        <v>34</v>
      </c>
      <c r="H508" s="55">
        <v>45649</v>
      </c>
      <c r="I508" s="223"/>
      <c r="J508" s="59"/>
      <c r="K508" s="59"/>
      <c r="L508" s="104"/>
      <c r="M508" s="213"/>
      <c r="N508" s="214"/>
      <c r="O508" s="215"/>
      <c r="P508" s="55" t="s">
        <v>19</v>
      </c>
      <c r="Q508" s="84"/>
      <c r="R508" s="54"/>
      <c r="S508" s="29"/>
      <c r="T508" s="223"/>
      <c r="U508" s="29"/>
      <c r="V508" s="29"/>
      <c r="W508" s="29"/>
      <c r="X508" s="27"/>
      <c r="Y508" s="54" t="s">
        <v>19</v>
      </c>
      <c r="Z508" s="29"/>
      <c r="AA508" s="29"/>
      <c r="AB508" s="54"/>
      <c r="AC508" s="59"/>
      <c r="AD508" s="223"/>
      <c r="AE508" s="29"/>
      <c r="AF508" s="29"/>
      <c r="AG508" s="29"/>
      <c r="AH508" s="27"/>
      <c r="AI508" s="54" t="s">
        <v>30</v>
      </c>
      <c r="AJ508" s="224">
        <v>45664</v>
      </c>
      <c r="AK508" s="85">
        <v>45671</v>
      </c>
      <c r="AL508" s="102" t="s">
        <v>1946</v>
      </c>
      <c r="AM508" s="41" t="str">
        <f>VLOOKUP(Table2[[#This Row],[country]],Countrycode!A:B,2,FALSE)</f>
        <v>TZA</v>
      </c>
      <c r="AN508" s="34">
        <f>IF(ISBLANK(Table2[[#This Row],[Need_RRA]]), 2,(IF(Table2[[#This Row],[Need_RRA]]="No", 0, (IF(AND(Table2[[#This Row],[Need_RRA]]="Yes",  Table2[[#This Row],[RRA_pub_date]]=""),1, 0)))))</f>
        <v>0</v>
      </c>
      <c r="AO508" s="34">
        <f>IF(ISBLANK(Table2[[#This Row],[Need_EIS]]), 2,(IF(Table2[[#This Row],[Need_EIS]]="No", 0, (IF(AND(Table2[[#This Row],[Need_EIS]]="Yes",  Table2[[#This Row],[EIS_pub_date]]=""),1, 0)))))</f>
        <v>0</v>
      </c>
      <c r="AP508" s="34">
        <f>IF(ISBLANK(Table2[[#This Row],[Need_DON]]), 2,(IF(Table2[[#This Row],[Need_DON]]="No", 0, (IF(AND(Table2[[#This Row],[Need_DON]]="Yes",  Table2[[#This Row],[DON_pub_date]]=""),1, 0)))))</f>
        <v>0</v>
      </c>
      <c r="AQ508" s="34">
        <f>IF(ISBLANK(Table2[[#This Row],[Pending_question]]), 2,(IF(Table2[[#This Row],[Pending_question]]="Yes", 1, 0)))</f>
        <v>2</v>
      </c>
      <c r="AR508" s="225"/>
    </row>
    <row r="509" spans="1:44" ht="15" customHeight="1">
      <c r="A509" s="63">
        <v>45660</v>
      </c>
      <c r="B509" s="29" t="s">
        <v>15</v>
      </c>
      <c r="C509" s="34" t="s">
        <v>1947</v>
      </c>
      <c r="D509" s="27" t="s">
        <v>1791</v>
      </c>
      <c r="E509" s="365" t="s">
        <v>110</v>
      </c>
      <c r="F509" s="54" t="s">
        <v>173</v>
      </c>
      <c r="G509" s="29" t="s">
        <v>34</v>
      </c>
      <c r="H509" s="55">
        <v>45660</v>
      </c>
      <c r="I509" s="223"/>
      <c r="J509" s="59"/>
      <c r="K509" s="59" t="s">
        <v>1948</v>
      </c>
      <c r="L509" s="104" t="s">
        <v>1949</v>
      </c>
      <c r="M509" s="213" t="s">
        <v>19</v>
      </c>
      <c r="N509" s="214"/>
      <c r="O509" s="215"/>
      <c r="P509" s="55" t="s">
        <v>19</v>
      </c>
      <c r="Q509" s="84"/>
      <c r="R509" s="54"/>
      <c r="S509" s="29"/>
      <c r="T509" s="223"/>
      <c r="U509" s="29"/>
      <c r="V509" s="29"/>
      <c r="W509" s="29"/>
      <c r="X509" s="27"/>
      <c r="Y509" s="54" t="s">
        <v>30</v>
      </c>
      <c r="Z509" s="29" t="s">
        <v>42</v>
      </c>
      <c r="AA509" s="29" t="s">
        <v>22</v>
      </c>
      <c r="AB509" s="54" t="s">
        <v>1950</v>
      </c>
      <c r="AC509" s="59">
        <v>45660</v>
      </c>
      <c r="AD509" s="223">
        <v>45660</v>
      </c>
      <c r="AE509" s="59">
        <v>45663</v>
      </c>
      <c r="AF509" s="29"/>
      <c r="AG509" s="59">
        <v>45666</v>
      </c>
      <c r="AH509" s="85">
        <v>45666</v>
      </c>
      <c r="AI509" s="54" t="s">
        <v>19</v>
      </c>
      <c r="AJ509" s="224"/>
      <c r="AK509" s="27"/>
      <c r="AL509" s="102"/>
      <c r="AM509" s="41" t="str">
        <f>VLOOKUP(Table2[[#This Row],[country]],Countrycode!A:B,2,FALSE)</f>
        <v>CHN</v>
      </c>
      <c r="AN509" s="34">
        <f>IF(ISBLANK(Table2[[#This Row],[Need_RRA]]), 2,(IF(Table2[[#This Row],[Need_RRA]]="No", 0, (IF(AND(Table2[[#This Row],[Need_RRA]]="Yes",  Table2[[#This Row],[RRA_pub_date]]=""),1, 0)))))</f>
        <v>0</v>
      </c>
      <c r="AO509" s="34">
        <f>IF(ISBLANK(Table2[[#This Row],[Need_EIS]]), 2,(IF(Table2[[#This Row],[Need_EIS]]="No", 0, (IF(AND(Table2[[#This Row],[Need_EIS]]="Yes",  Table2[[#This Row],[EIS_pub_date]]=""),1, 0)))))</f>
        <v>0</v>
      </c>
      <c r="AP509" s="34">
        <f>IF(ISBLANK(Table2[[#This Row],[Need_DON]]), 2,(IF(Table2[[#This Row],[Need_DON]]="No", 0, (IF(AND(Table2[[#This Row],[Need_DON]]="Yes",  Table2[[#This Row],[DON_pub_date]]=""),1, 0)))))</f>
        <v>0</v>
      </c>
      <c r="AQ509" s="34">
        <f>IF(ISBLANK(Table2[[#This Row],[Pending_question]]), 2,(IF(Table2[[#This Row],[Pending_question]]="Yes", 1, 0)))</f>
        <v>0</v>
      </c>
      <c r="AR509" s="225"/>
    </row>
    <row r="510" spans="1:44" ht="17">
      <c r="A510" s="63">
        <v>45660</v>
      </c>
      <c r="B510" s="29" t="s">
        <v>15</v>
      </c>
      <c r="C510" s="160" t="s">
        <v>1947</v>
      </c>
      <c r="D510" s="27" t="s">
        <v>1791</v>
      </c>
      <c r="E510" s="70" t="s">
        <v>68</v>
      </c>
      <c r="F510" s="54" t="s">
        <v>173</v>
      </c>
      <c r="G510" s="29" t="s">
        <v>34</v>
      </c>
      <c r="H510" s="55">
        <v>45660</v>
      </c>
      <c r="I510" s="223"/>
      <c r="J510" s="59"/>
      <c r="K510" s="59" t="s">
        <v>1951</v>
      </c>
      <c r="L510" s="104" t="s">
        <v>1952</v>
      </c>
      <c r="M510" s="213" t="s">
        <v>19</v>
      </c>
      <c r="N510" s="214"/>
      <c r="O510" s="215"/>
      <c r="P510" s="55" t="s">
        <v>19</v>
      </c>
      <c r="Q510" s="84"/>
      <c r="R510" s="54"/>
      <c r="S510" s="29"/>
      <c r="T510" s="223"/>
      <c r="U510" s="29"/>
      <c r="V510" s="29"/>
      <c r="W510" s="29"/>
      <c r="X510" s="27"/>
      <c r="Y510" s="54" t="s">
        <v>30</v>
      </c>
      <c r="Z510" s="29" t="s">
        <v>42</v>
      </c>
      <c r="AA510" s="29" t="s">
        <v>22</v>
      </c>
      <c r="AB510" s="54" t="s">
        <v>1953</v>
      </c>
      <c r="AC510" s="59">
        <v>45660</v>
      </c>
      <c r="AD510" s="223">
        <v>45660</v>
      </c>
      <c r="AE510" s="59">
        <v>45663</v>
      </c>
      <c r="AF510" s="29"/>
      <c r="AG510" s="59">
        <v>45666</v>
      </c>
      <c r="AH510" s="85">
        <v>45666</v>
      </c>
      <c r="AI510" s="54" t="s">
        <v>19</v>
      </c>
      <c r="AJ510" s="224"/>
      <c r="AK510" s="27"/>
      <c r="AL510" s="102"/>
      <c r="AM510" s="41" t="str">
        <f>VLOOKUP(Table2[[#This Row],[country]],Countrycode!A:B,2,FALSE)</f>
        <v>CHN</v>
      </c>
      <c r="AN510" s="34">
        <f>IF(ISBLANK(Table2[[#This Row],[Need_RRA]]), 2,(IF(Table2[[#This Row],[Need_RRA]]="No", 0, (IF(AND(Table2[[#This Row],[Need_RRA]]="Yes",  Table2[[#This Row],[RRA_pub_date]]=""),1, 0)))))</f>
        <v>0</v>
      </c>
      <c r="AO510" s="34">
        <f>IF(ISBLANK(Table2[[#This Row],[Need_EIS]]), 2,(IF(Table2[[#This Row],[Need_EIS]]="No", 0, (IF(AND(Table2[[#This Row],[Need_EIS]]="Yes",  Table2[[#This Row],[EIS_pub_date]]=""),1, 0)))))</f>
        <v>0</v>
      </c>
      <c r="AP510" s="34">
        <f>IF(ISBLANK(Table2[[#This Row],[Need_DON]]), 2,(IF(Table2[[#This Row],[Need_DON]]="No", 0, (IF(AND(Table2[[#This Row],[Need_DON]]="Yes",  Table2[[#This Row],[DON_pub_date]]=""),1, 0)))))</f>
        <v>0</v>
      </c>
      <c r="AQ510" s="34">
        <f>IF(ISBLANK(Table2[[#This Row],[Pending_question]]), 2,(IF(Table2[[#This Row],[Pending_question]]="Yes", 1, 0)))</f>
        <v>0</v>
      </c>
      <c r="AR510" s="225"/>
    </row>
    <row r="511" spans="1:44" ht="15" customHeight="1">
      <c r="A511" s="63">
        <v>45660</v>
      </c>
      <c r="B511" s="29" t="s">
        <v>15</v>
      </c>
      <c r="C511" s="160" t="s">
        <v>1947</v>
      </c>
      <c r="D511" s="27" t="s">
        <v>1020</v>
      </c>
      <c r="E511" s="70" t="s">
        <v>667</v>
      </c>
      <c r="F511" s="54" t="s">
        <v>173</v>
      </c>
      <c r="G511" s="29" t="s">
        <v>34</v>
      </c>
      <c r="H511" s="55">
        <v>45660</v>
      </c>
      <c r="I511" s="223"/>
      <c r="J511" s="59"/>
      <c r="K511" s="59" t="s">
        <v>1954</v>
      </c>
      <c r="L511" s="104" t="s">
        <v>1955</v>
      </c>
      <c r="M511" s="213" t="s">
        <v>19</v>
      </c>
      <c r="N511" s="214"/>
      <c r="O511" s="215"/>
      <c r="P511" s="55" t="s">
        <v>19</v>
      </c>
      <c r="Q511" s="84"/>
      <c r="R511" s="54"/>
      <c r="S511" s="29"/>
      <c r="T511" s="223"/>
      <c r="U511" s="29"/>
      <c r="V511" s="29"/>
      <c r="W511" s="29"/>
      <c r="X511" s="27"/>
      <c r="Y511" s="54" t="s">
        <v>30</v>
      </c>
      <c r="Z511" s="29" t="s">
        <v>42</v>
      </c>
      <c r="AA511" s="287" t="s">
        <v>22</v>
      </c>
      <c r="AB511" s="54" t="s">
        <v>1956</v>
      </c>
      <c r="AC511" s="59">
        <v>45660</v>
      </c>
      <c r="AD511" s="223">
        <v>45660</v>
      </c>
      <c r="AE511" s="59">
        <v>45663</v>
      </c>
      <c r="AF511" s="59">
        <v>45300</v>
      </c>
      <c r="AG511" s="59">
        <v>45300</v>
      </c>
      <c r="AH511" s="85">
        <v>45667</v>
      </c>
      <c r="AI511" s="54" t="s">
        <v>19</v>
      </c>
      <c r="AJ511" s="224"/>
      <c r="AK511" s="27"/>
      <c r="AL511" s="102"/>
      <c r="AM511" s="41" t="str">
        <f>VLOOKUP(Table2[[#This Row],[country]],Countrycode!A:B,2,FALSE)</f>
        <v>CHN</v>
      </c>
      <c r="AN511" s="34">
        <f>IF(ISBLANK(Table2[[#This Row],[Need_RRA]]), 2,(IF(Table2[[#This Row],[Need_RRA]]="No", 0, (IF(AND(Table2[[#This Row],[Need_RRA]]="Yes",  Table2[[#This Row],[RRA_pub_date]]=""),1, 0)))))</f>
        <v>0</v>
      </c>
      <c r="AO511" s="34">
        <f>IF(ISBLANK(Table2[[#This Row],[Need_EIS]]), 2,(IF(Table2[[#This Row],[Need_EIS]]="No", 0, (IF(AND(Table2[[#This Row],[Need_EIS]]="Yes",  Table2[[#This Row],[EIS_pub_date]]=""),1, 0)))))</f>
        <v>0</v>
      </c>
      <c r="AP511" s="34">
        <f>IF(ISBLANK(Table2[[#This Row],[Need_DON]]), 2,(IF(Table2[[#This Row],[Need_DON]]="No", 0, (IF(AND(Table2[[#This Row],[Need_DON]]="Yes",  Table2[[#This Row],[DON_pub_date]]=""),1, 0)))))</f>
        <v>0</v>
      </c>
      <c r="AQ511" s="34">
        <f>IF(ISBLANK(Table2[[#This Row],[Pending_question]]), 2,(IF(Table2[[#This Row],[Pending_question]]="Yes", 1, 0)))</f>
        <v>0</v>
      </c>
      <c r="AR511" s="225"/>
    </row>
    <row r="512" spans="1:44" ht="15" customHeight="1">
      <c r="A512" s="63">
        <v>45663</v>
      </c>
      <c r="B512" s="29" t="s">
        <v>15</v>
      </c>
      <c r="C512" s="160" t="str" cm="1">
        <f t="array" ref="C51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12" s="27" t="s">
        <v>1741</v>
      </c>
      <c r="E512" s="70" t="s">
        <v>1957</v>
      </c>
      <c r="F512" s="54" t="s">
        <v>39</v>
      </c>
      <c r="G512" s="29"/>
      <c r="H512" s="54"/>
      <c r="I512" s="223"/>
      <c r="J512" s="59"/>
      <c r="K512" s="59"/>
      <c r="L512" s="104"/>
      <c r="M512" s="213"/>
      <c r="N512" s="214"/>
      <c r="O512" s="215"/>
      <c r="P512" s="55" t="s">
        <v>19</v>
      </c>
      <c r="Q512" s="84"/>
      <c r="R512" s="54"/>
      <c r="S512" s="29"/>
      <c r="T512" s="223"/>
      <c r="U512" s="29"/>
      <c r="V512" s="29"/>
      <c r="W512" s="29"/>
      <c r="X512" s="27"/>
      <c r="Y512" s="54" t="s">
        <v>19</v>
      </c>
      <c r="Z512" s="29"/>
      <c r="AA512" s="29"/>
      <c r="AB512" s="54"/>
      <c r="AC512" s="59"/>
      <c r="AD512" s="223"/>
      <c r="AE512" s="29"/>
      <c r="AF512" s="29"/>
      <c r="AG512" s="29"/>
      <c r="AH512" s="27"/>
      <c r="AI512" s="54" t="s">
        <v>30</v>
      </c>
      <c r="AJ512" s="224">
        <v>45663</v>
      </c>
      <c r="AK512" s="85">
        <v>45664</v>
      </c>
      <c r="AL512" s="102"/>
      <c r="AM512" s="41" t="str">
        <f>VLOOKUP(Table2[[#This Row],[country]],Countrycode!A:B,2,FALSE)</f>
        <v>MLX</v>
      </c>
      <c r="AN512" s="34">
        <f>IF(ISBLANK(Table2[[#This Row],[Need_RRA]]), 2,(IF(Table2[[#This Row],[Need_RRA]]="No", 0, (IF(AND(Table2[[#This Row],[Need_RRA]]="Yes",  Table2[[#This Row],[RRA_pub_date]]=""),1, 0)))))</f>
        <v>0</v>
      </c>
      <c r="AO512" s="34">
        <f>IF(ISBLANK(Table2[[#This Row],[Need_EIS]]), 2,(IF(Table2[[#This Row],[Need_EIS]]="No", 0, (IF(AND(Table2[[#This Row],[Need_EIS]]="Yes",  Table2[[#This Row],[EIS_pub_date]]=""),1, 0)))))</f>
        <v>0</v>
      </c>
      <c r="AP512" s="34">
        <f>IF(ISBLANK(Table2[[#This Row],[Need_DON]]), 2,(IF(Table2[[#This Row],[Need_DON]]="No", 0, (IF(AND(Table2[[#This Row],[Need_DON]]="Yes",  Table2[[#This Row],[DON_pub_date]]=""),1, 0)))))</f>
        <v>0</v>
      </c>
      <c r="AQ512" s="34">
        <f>IF(ISBLANK(Table2[[#This Row],[Pending_question]]), 2,(IF(Table2[[#This Row],[Pending_question]]="Yes", 1, 0)))</f>
        <v>2</v>
      </c>
      <c r="AR512" s="225"/>
    </row>
    <row r="513" spans="1:44" ht="15" customHeight="1">
      <c r="A513" s="63">
        <v>45666</v>
      </c>
      <c r="B513" s="29" t="s">
        <v>15</v>
      </c>
      <c r="C513" s="160" t="str" cm="1">
        <f t="array" ref="C51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13" s="27" t="s">
        <v>927</v>
      </c>
      <c r="E513" s="70" t="s">
        <v>122</v>
      </c>
      <c r="F513" s="54" t="s">
        <v>133</v>
      </c>
      <c r="G513" s="29" t="s">
        <v>34</v>
      </c>
      <c r="H513" s="55">
        <v>45666</v>
      </c>
      <c r="I513" s="55">
        <v>45673</v>
      </c>
      <c r="J513" s="55">
        <v>45665</v>
      </c>
      <c r="K513" s="59" t="s">
        <v>1958</v>
      </c>
      <c r="L513" s="104" t="s">
        <v>1959</v>
      </c>
      <c r="M513" s="213" t="s">
        <v>19</v>
      </c>
      <c r="N513" s="214"/>
      <c r="O513" s="215"/>
      <c r="P513" s="55" t="s">
        <v>19</v>
      </c>
      <c r="Q513" s="84"/>
      <c r="R513" s="54"/>
      <c r="S513" s="29"/>
      <c r="T513" s="223"/>
      <c r="U513" s="29"/>
      <c r="V513" s="29"/>
      <c r="W513" s="29"/>
      <c r="X513" s="27"/>
      <c r="Y513" s="54" t="s">
        <v>30</v>
      </c>
      <c r="Z513" s="29" t="s">
        <v>42</v>
      </c>
      <c r="AA513" s="29" t="s">
        <v>22</v>
      </c>
      <c r="AB513" s="54" t="s">
        <v>1960</v>
      </c>
      <c r="AC513" s="59">
        <v>45665</v>
      </c>
      <c r="AD513" s="55">
        <v>45666</v>
      </c>
      <c r="AE513" s="55">
        <v>45667</v>
      </c>
      <c r="AF513" s="29"/>
      <c r="AG513" s="55">
        <v>45671</v>
      </c>
      <c r="AH513" s="55">
        <v>45672</v>
      </c>
      <c r="AI513" s="54" t="s">
        <v>30</v>
      </c>
      <c r="AJ513" s="224">
        <v>45673</v>
      </c>
      <c r="AK513" s="85">
        <v>45677</v>
      </c>
      <c r="AL513" s="102"/>
      <c r="AM513" s="41" t="str">
        <f>VLOOKUP(Table2[[#This Row],[country]],Countrycode!A:B,2,FALSE)</f>
        <v>BOL</v>
      </c>
      <c r="AN513" s="34">
        <f>IF(ISBLANK(Table2[[#This Row],[Need_RRA]]), 2,(IF(Table2[[#This Row],[Need_RRA]]="No", 0, (IF(AND(Table2[[#This Row],[Need_RRA]]="Yes",  Table2[[#This Row],[RRA_pub_date]]=""),1, 0)))))</f>
        <v>0</v>
      </c>
      <c r="AO513" s="34">
        <f>IF(ISBLANK(Table2[[#This Row],[Need_EIS]]), 2,(IF(Table2[[#This Row],[Need_EIS]]="No", 0, (IF(AND(Table2[[#This Row],[Need_EIS]]="Yes",  Table2[[#This Row],[EIS_pub_date]]=""),1, 0)))))</f>
        <v>0</v>
      </c>
      <c r="AP513" s="34">
        <f>IF(ISBLANK(Table2[[#This Row],[Need_DON]]), 2,(IF(Table2[[#This Row],[Need_DON]]="No", 0, (IF(AND(Table2[[#This Row],[Need_DON]]="Yes",  Table2[[#This Row],[DON_pub_date]]=""),1, 0)))))</f>
        <v>0</v>
      </c>
      <c r="AQ513" s="34">
        <f>IF(ISBLANK(Table2[[#This Row],[Pending_question]]), 2,(IF(Table2[[#This Row],[Pending_question]]="Yes", 1, 0)))</f>
        <v>0</v>
      </c>
      <c r="AR513" s="225"/>
    </row>
    <row r="514" spans="1:44" ht="15" customHeight="1">
      <c r="A514" s="63">
        <v>45668</v>
      </c>
      <c r="B514" s="29" t="s">
        <v>15</v>
      </c>
      <c r="C514" s="160" t="s">
        <v>1947</v>
      </c>
      <c r="D514" s="27" t="s">
        <v>1961</v>
      </c>
      <c r="E514" s="70" t="s">
        <v>174</v>
      </c>
      <c r="F514" s="54" t="s">
        <v>401</v>
      </c>
      <c r="G514" s="29" t="s">
        <v>34</v>
      </c>
      <c r="H514" s="55">
        <v>45668</v>
      </c>
      <c r="I514" s="223"/>
      <c r="J514" s="59">
        <v>45670</v>
      </c>
      <c r="K514" s="59" t="s">
        <v>1962</v>
      </c>
      <c r="L514" s="351" t="s">
        <v>1963</v>
      </c>
      <c r="M514" s="213" t="s">
        <v>19</v>
      </c>
      <c r="N514" s="214"/>
      <c r="O514" s="215"/>
      <c r="P514" s="55" t="s">
        <v>30</v>
      </c>
      <c r="Q514" s="84">
        <v>1</v>
      </c>
      <c r="R514" s="54" t="s">
        <v>1964</v>
      </c>
      <c r="S514" s="59">
        <v>45668</v>
      </c>
      <c r="T514" s="223">
        <v>45669</v>
      </c>
      <c r="U514" s="59">
        <v>45673</v>
      </c>
      <c r="V514" s="29" t="s">
        <v>20</v>
      </c>
      <c r="W514" s="29" t="s">
        <v>20</v>
      </c>
      <c r="X514" s="27" t="s">
        <v>51</v>
      </c>
      <c r="Y514" s="54" t="s">
        <v>30</v>
      </c>
      <c r="Z514" s="29" t="s">
        <v>42</v>
      </c>
      <c r="AA514" s="29" t="s">
        <v>22</v>
      </c>
      <c r="AB514" s="54" t="s">
        <v>1965</v>
      </c>
      <c r="AC514" s="59">
        <v>45668</v>
      </c>
      <c r="AD514" s="223">
        <v>45668</v>
      </c>
      <c r="AE514" s="59">
        <v>45669</v>
      </c>
      <c r="AF514" s="59">
        <v>45669</v>
      </c>
      <c r="AG514" s="29"/>
      <c r="AH514" s="85">
        <v>45670</v>
      </c>
      <c r="AI514" s="54" t="s">
        <v>30</v>
      </c>
      <c r="AJ514" s="224">
        <v>45670</v>
      </c>
      <c r="AK514" s="85">
        <v>45671</v>
      </c>
      <c r="AL514" s="102"/>
      <c r="AM514" s="41" t="str">
        <f>VLOOKUP(Table2[[#This Row],[country]],Countrycode!A:B,2,FALSE)</f>
        <v>TZA</v>
      </c>
      <c r="AN514" s="34">
        <f>IF(ISBLANK(Table2[[#This Row],[Need_RRA]]), 2,(IF(Table2[[#This Row],[Need_RRA]]="No", 0, (IF(AND(Table2[[#This Row],[Need_RRA]]="Yes",  Table2[[#This Row],[RRA_pub_date]]=""),1, 0)))))</f>
        <v>0</v>
      </c>
      <c r="AO514" s="34">
        <f>IF(ISBLANK(Table2[[#This Row],[Need_EIS]]), 2,(IF(Table2[[#This Row],[Need_EIS]]="No", 0, (IF(AND(Table2[[#This Row],[Need_EIS]]="Yes",  Table2[[#This Row],[EIS_pub_date]]=""),1, 0)))))</f>
        <v>0</v>
      </c>
      <c r="AP514" s="34">
        <f>IF(ISBLANK(Table2[[#This Row],[Need_DON]]), 2,(IF(Table2[[#This Row],[Need_DON]]="No", 0, (IF(AND(Table2[[#This Row],[Need_DON]]="Yes",  Table2[[#This Row],[DON_pub_date]]=""),1, 0)))))</f>
        <v>0</v>
      </c>
      <c r="AQ514" s="34">
        <f>IF(ISBLANK(Table2[[#This Row],[Pending_question]]), 2,(IF(Table2[[#This Row],[Pending_question]]="Yes", 1, 0)))</f>
        <v>0</v>
      </c>
      <c r="AR514" s="225"/>
    </row>
    <row r="515" spans="1:44" ht="15" customHeight="1">
      <c r="A515" s="63">
        <v>45669</v>
      </c>
      <c r="B515" s="29" t="s">
        <v>15</v>
      </c>
      <c r="C515" s="34" t="str" cm="1">
        <f t="array" ref="C51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15" s="27" t="s">
        <v>1966</v>
      </c>
      <c r="E515" s="70" t="s">
        <v>99</v>
      </c>
      <c r="F515" s="54" t="s">
        <v>159</v>
      </c>
      <c r="G515" s="29" t="s">
        <v>34</v>
      </c>
      <c r="H515" s="55">
        <v>45669</v>
      </c>
      <c r="I515" s="223"/>
      <c r="J515" s="59">
        <v>45667</v>
      </c>
      <c r="K515" s="59" t="s">
        <v>1967</v>
      </c>
      <c r="L515" s="104" t="s">
        <v>1968</v>
      </c>
      <c r="M515" s="213" t="s">
        <v>19</v>
      </c>
      <c r="N515" s="214"/>
      <c r="O515" s="215"/>
      <c r="P515" s="55" t="s">
        <v>19</v>
      </c>
      <c r="Q515" s="84"/>
      <c r="R515" s="54"/>
      <c r="S515" s="29"/>
      <c r="T515" s="223"/>
      <c r="U515" s="29"/>
      <c r="V515" s="29"/>
      <c r="W515" s="29"/>
      <c r="X515" s="27"/>
      <c r="Y515" s="54" t="s">
        <v>30</v>
      </c>
      <c r="Z515" s="29" t="s">
        <v>42</v>
      </c>
      <c r="AA515" s="29" t="s">
        <v>22</v>
      </c>
      <c r="AB515" s="54" t="s">
        <v>1969</v>
      </c>
      <c r="AC515" s="59">
        <v>45667</v>
      </c>
      <c r="AD515" s="223">
        <v>45669</v>
      </c>
      <c r="AE515" s="59">
        <v>45670</v>
      </c>
      <c r="AF515" s="29"/>
      <c r="AG515" s="29"/>
      <c r="AH515" s="55">
        <v>45673</v>
      </c>
      <c r="AI515" s="54" t="s">
        <v>19</v>
      </c>
      <c r="AJ515" s="224"/>
      <c r="AK515" s="27"/>
      <c r="AL515" s="102"/>
      <c r="AM515" s="41" t="str">
        <f>VLOOKUP(Table2[[#This Row],[country]],Countrycode!A:B,2,FALSE)</f>
        <v>KHM</v>
      </c>
      <c r="AN515" s="34">
        <f>IF(ISBLANK(Table2[[#This Row],[Need_RRA]]), 2,(IF(Table2[[#This Row],[Need_RRA]]="No", 0, (IF(AND(Table2[[#This Row],[Need_RRA]]="Yes",  Table2[[#This Row],[RRA_pub_date]]=""),1, 0)))))</f>
        <v>0</v>
      </c>
      <c r="AO515" s="34">
        <f>IF(ISBLANK(Table2[[#This Row],[Need_EIS]]), 2,(IF(Table2[[#This Row],[Need_EIS]]="No", 0, (IF(AND(Table2[[#This Row],[Need_EIS]]="Yes",  Table2[[#This Row],[EIS_pub_date]]=""),1, 0)))))</f>
        <v>0</v>
      </c>
      <c r="AP515" s="34">
        <f>IF(ISBLANK(Table2[[#This Row],[Need_DON]]), 2,(IF(Table2[[#This Row],[Need_DON]]="No", 0, (IF(AND(Table2[[#This Row],[Need_DON]]="Yes",  Table2[[#This Row],[DON_pub_date]]=""),1, 0)))))</f>
        <v>0</v>
      </c>
      <c r="AQ515" s="34">
        <f>IF(ISBLANK(Table2[[#This Row],[Pending_question]]), 2,(IF(Table2[[#This Row],[Pending_question]]="Yes", 1, 0)))</f>
        <v>0</v>
      </c>
      <c r="AR515" s="225"/>
    </row>
    <row r="516" spans="1:44" ht="15" customHeight="1">
      <c r="A516" s="63">
        <v>45673</v>
      </c>
      <c r="B516" s="29" t="s">
        <v>15</v>
      </c>
      <c r="C516" s="34" t="str" cm="1">
        <f t="array" ref="C51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16" s="27" t="s">
        <v>1020</v>
      </c>
      <c r="E516" s="70" t="s">
        <v>667</v>
      </c>
      <c r="F516" s="54" t="s">
        <v>89</v>
      </c>
      <c r="G516" s="29" t="s">
        <v>34</v>
      </c>
      <c r="H516" s="55">
        <v>45673</v>
      </c>
      <c r="I516" s="223"/>
      <c r="J516" s="59"/>
      <c r="K516" s="59" t="s">
        <v>1970</v>
      </c>
      <c r="L516" s="112" t="s">
        <v>1971</v>
      </c>
      <c r="M516" s="213" t="s">
        <v>19</v>
      </c>
      <c r="N516" s="214"/>
      <c r="O516" s="215"/>
      <c r="P516" s="55" t="s">
        <v>19</v>
      </c>
      <c r="Q516" s="84"/>
      <c r="R516" s="54"/>
      <c r="S516" s="29"/>
      <c r="T516" s="223"/>
      <c r="U516" s="29"/>
      <c r="V516" s="29"/>
      <c r="W516" s="29"/>
      <c r="X516" s="27"/>
      <c r="Y516" s="54" t="s">
        <v>30</v>
      </c>
      <c r="Z516" s="29" t="s">
        <v>42</v>
      </c>
      <c r="AA516" s="29" t="s">
        <v>22</v>
      </c>
      <c r="AB516" s="54" t="s">
        <v>1972</v>
      </c>
      <c r="AC516" s="59">
        <v>45664</v>
      </c>
      <c r="AD516" s="223">
        <v>45673</v>
      </c>
      <c r="AE516" s="59">
        <v>45674</v>
      </c>
      <c r="AF516" s="29"/>
      <c r="AG516" s="29"/>
      <c r="AH516" s="150">
        <v>45694</v>
      </c>
      <c r="AI516" s="54" t="s">
        <v>19</v>
      </c>
      <c r="AJ516" s="224"/>
      <c r="AK516" s="27"/>
      <c r="AL516" s="102"/>
      <c r="AM516" s="41" t="str">
        <f>VLOOKUP(Table2[[#This Row],[country]],Countrycode!A:B,2,FALSE)</f>
        <v>FRA</v>
      </c>
      <c r="AN516" s="34">
        <f>IF(ISBLANK(Table2[[#This Row],[Need_RRA]]), 2,(IF(Table2[[#This Row],[Need_RRA]]="No", 0, (IF(AND(Table2[[#This Row],[Need_RRA]]="Yes",  Table2[[#This Row],[RRA_pub_date]]=""),1, 0)))))</f>
        <v>0</v>
      </c>
      <c r="AO516" s="34">
        <f>IF(ISBLANK(Table2[[#This Row],[Need_EIS]]), 2,(IF(Table2[[#This Row],[Need_EIS]]="No", 0, (IF(AND(Table2[[#This Row],[Need_EIS]]="Yes",  Table2[[#This Row],[EIS_pub_date]]=""),1, 0)))))</f>
        <v>0</v>
      </c>
      <c r="AP516" s="34">
        <f>IF(ISBLANK(Table2[[#This Row],[Need_DON]]), 2,(IF(Table2[[#This Row],[Need_DON]]="No", 0, (IF(AND(Table2[[#This Row],[Need_DON]]="Yes",  Table2[[#This Row],[DON_pub_date]]=""),1, 0)))))</f>
        <v>0</v>
      </c>
      <c r="AQ516" s="34">
        <f>IF(ISBLANK(Table2[[#This Row],[Pending_question]]), 2,(IF(Table2[[#This Row],[Pending_question]]="Yes", 1, 0)))</f>
        <v>0</v>
      </c>
      <c r="AR516" s="225"/>
    </row>
    <row r="517" spans="1:44" ht="15" customHeight="1">
      <c r="A517" s="63">
        <v>45674</v>
      </c>
      <c r="B517" s="29" t="s">
        <v>15</v>
      </c>
      <c r="C517" s="34" t="str" cm="1">
        <f t="array" ref="C51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17" s="27" t="s">
        <v>1233</v>
      </c>
      <c r="E517" s="70" t="s">
        <v>114</v>
      </c>
      <c r="F517" s="54" t="s">
        <v>403</v>
      </c>
      <c r="G517" s="29" t="s">
        <v>34</v>
      </c>
      <c r="H517" s="55">
        <v>45674</v>
      </c>
      <c r="I517" s="223"/>
      <c r="J517" s="59"/>
      <c r="K517" s="59" t="s">
        <v>1677</v>
      </c>
      <c r="L517" s="112" t="s">
        <v>1678</v>
      </c>
      <c r="M517" s="213" t="s">
        <v>19</v>
      </c>
      <c r="N517" s="214" t="s">
        <v>1973</v>
      </c>
      <c r="O517" s="215"/>
      <c r="P517" s="55" t="s">
        <v>19</v>
      </c>
      <c r="Q517" s="84"/>
      <c r="R517" s="54"/>
      <c r="S517" s="29"/>
      <c r="T517" s="223"/>
      <c r="U517" s="29"/>
      <c r="V517" s="29"/>
      <c r="W517" s="29"/>
      <c r="X517" s="27"/>
      <c r="Y517" s="54" t="s">
        <v>30</v>
      </c>
      <c r="Z517" s="29" t="s">
        <v>42</v>
      </c>
      <c r="AA517" s="29" t="s">
        <v>22</v>
      </c>
      <c r="AB517" s="54" t="s">
        <v>1974</v>
      </c>
      <c r="AC517" s="59">
        <v>45672</v>
      </c>
      <c r="AD517" s="223">
        <v>45674</v>
      </c>
      <c r="AE517" s="59">
        <v>45674</v>
      </c>
      <c r="AF517" s="59">
        <v>45674</v>
      </c>
      <c r="AG517" s="59">
        <v>45678</v>
      </c>
      <c r="AH517" s="190">
        <v>45679</v>
      </c>
      <c r="AI517" s="54" t="s">
        <v>19</v>
      </c>
      <c r="AJ517" s="224"/>
      <c r="AK517" s="27"/>
      <c r="AL517" s="102"/>
      <c r="AM517" s="41" t="str">
        <f>VLOOKUP(Table2[[#This Row],[country]],Countrycode!A:B,2,FALSE)</f>
        <v>USA</v>
      </c>
      <c r="AN517" s="34">
        <f>IF(ISBLANK(Table2[[#This Row],[Need_RRA]]), 2,(IF(Table2[[#This Row],[Need_RRA]]="No", 0, (IF(AND(Table2[[#This Row],[Need_RRA]]="Yes",  Table2[[#This Row],[RRA_pub_date]]=""),1, 0)))))</f>
        <v>0</v>
      </c>
      <c r="AO517" s="34">
        <f>IF(ISBLANK(Table2[[#This Row],[Need_EIS]]), 2,(IF(Table2[[#This Row],[Need_EIS]]="No", 0, (IF(AND(Table2[[#This Row],[Need_EIS]]="Yes",  Table2[[#This Row],[EIS_pub_date]]=""),1, 0)))))</f>
        <v>0</v>
      </c>
      <c r="AP517" s="34">
        <f>IF(ISBLANK(Table2[[#This Row],[Need_DON]]), 2,(IF(Table2[[#This Row],[Need_DON]]="No", 0, (IF(AND(Table2[[#This Row],[Need_DON]]="Yes",  Table2[[#This Row],[DON_pub_date]]=""),1, 0)))))</f>
        <v>0</v>
      </c>
      <c r="AQ517" s="34">
        <f>IF(ISBLANK(Table2[[#This Row],[Pending_question]]), 2,(IF(Table2[[#This Row],[Pending_question]]="Yes", 1, 0)))</f>
        <v>0</v>
      </c>
      <c r="AR517" s="225"/>
    </row>
    <row r="518" spans="1:44" ht="15" customHeight="1">
      <c r="A518" s="63">
        <v>45681</v>
      </c>
      <c r="B518" s="29" t="s">
        <v>15</v>
      </c>
      <c r="C518" s="160" t="s">
        <v>1947</v>
      </c>
      <c r="D518" s="27" t="s">
        <v>1020</v>
      </c>
      <c r="E518" s="70" t="s">
        <v>667</v>
      </c>
      <c r="F518" s="54" t="s">
        <v>173</v>
      </c>
      <c r="G518" s="29" t="s">
        <v>34</v>
      </c>
      <c r="H518" s="55">
        <v>45681</v>
      </c>
      <c r="I518" s="223"/>
      <c r="J518" s="59"/>
      <c r="K518" s="59" t="s">
        <v>1954</v>
      </c>
      <c r="L518" s="104" t="s">
        <v>1955</v>
      </c>
      <c r="M518" s="213" t="s">
        <v>19</v>
      </c>
      <c r="N518" s="214"/>
      <c r="O518" s="215"/>
      <c r="P518" s="55" t="s">
        <v>19</v>
      </c>
      <c r="Q518" s="84"/>
      <c r="R518" s="54"/>
      <c r="S518" s="29"/>
      <c r="T518" s="223"/>
      <c r="U518" s="29"/>
      <c r="V518" s="29"/>
      <c r="W518" s="29"/>
      <c r="X518" s="27"/>
      <c r="Y518" s="54" t="s">
        <v>30</v>
      </c>
      <c r="Z518" s="29" t="s">
        <v>21</v>
      </c>
      <c r="AA518" s="29" t="s">
        <v>22</v>
      </c>
      <c r="AB518" s="54" t="s">
        <v>1975</v>
      </c>
      <c r="AC518" s="59">
        <v>45679</v>
      </c>
      <c r="AD518" s="223">
        <v>45681</v>
      </c>
      <c r="AE518" s="59">
        <v>45681</v>
      </c>
      <c r="AF518" s="29"/>
      <c r="AG518" s="59">
        <v>45685</v>
      </c>
      <c r="AH518" s="151">
        <v>45685</v>
      </c>
      <c r="AI518" s="54" t="s">
        <v>19</v>
      </c>
      <c r="AJ518" s="224"/>
      <c r="AK518" s="27"/>
      <c r="AL518" s="102"/>
      <c r="AM518" s="41" t="str">
        <f>VLOOKUP(Table2[[#This Row],[country]],Countrycode!A:B,2,FALSE)</f>
        <v>CHN</v>
      </c>
      <c r="AN518" s="34">
        <f>IF(ISBLANK(Table2[[#This Row],[Need_RRA]]), 2,(IF(Table2[[#This Row],[Need_RRA]]="No", 0, (IF(AND(Table2[[#This Row],[Need_RRA]]="Yes",  Table2[[#This Row],[RRA_pub_date]]=""),1, 0)))))</f>
        <v>0</v>
      </c>
      <c r="AO518" s="34">
        <f>IF(ISBLANK(Table2[[#This Row],[Need_EIS]]), 2,(IF(Table2[[#This Row],[Need_EIS]]="No", 0, (IF(AND(Table2[[#This Row],[Need_EIS]]="Yes",  Table2[[#This Row],[EIS_pub_date]]=""),1, 0)))))</f>
        <v>0</v>
      </c>
      <c r="AP518" s="34">
        <f>IF(ISBLANK(Table2[[#This Row],[Need_DON]]), 2,(IF(Table2[[#This Row],[Need_DON]]="No", 0, (IF(AND(Table2[[#This Row],[Need_DON]]="Yes",  Table2[[#This Row],[DON_pub_date]]=""),1, 0)))))</f>
        <v>0</v>
      </c>
      <c r="AQ518" s="34">
        <f>IF(ISBLANK(Table2[[#This Row],[Pending_question]]), 2,(IF(Table2[[#This Row],[Pending_question]]="Yes", 1, 0)))</f>
        <v>0</v>
      </c>
      <c r="AR518" s="225"/>
    </row>
    <row r="519" spans="1:44" ht="15" customHeight="1">
      <c r="A519" s="63">
        <v>45684</v>
      </c>
      <c r="B519" s="29" t="s">
        <v>15</v>
      </c>
      <c r="C519" s="34" t="str" cm="1">
        <f t="array" ref="C51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19" s="27" t="s">
        <v>1020</v>
      </c>
      <c r="E519" s="67" t="s">
        <v>667</v>
      </c>
      <c r="F519" s="29" t="s">
        <v>386</v>
      </c>
      <c r="G519" s="29" t="s">
        <v>34</v>
      </c>
      <c r="H519" s="59">
        <v>45684</v>
      </c>
      <c r="I519" s="223"/>
      <c r="J519" s="59"/>
      <c r="K519" s="59" t="s">
        <v>1976</v>
      </c>
      <c r="L519" s="104" t="s">
        <v>1977</v>
      </c>
      <c r="M519" s="283" t="s">
        <v>19</v>
      </c>
      <c r="N519" s="223"/>
      <c r="O519" s="226"/>
      <c r="P519" s="59" t="s">
        <v>19</v>
      </c>
      <c r="Q519" s="84"/>
      <c r="R519" s="29"/>
      <c r="S519" s="29"/>
      <c r="T519" s="223"/>
      <c r="U519" s="29"/>
      <c r="V519" s="29"/>
      <c r="W519" s="29"/>
      <c r="X519" s="27"/>
      <c r="Y519" s="29" t="s">
        <v>30</v>
      </c>
      <c r="Z519" s="29" t="s">
        <v>42</v>
      </c>
      <c r="AA519" s="29" t="s">
        <v>22</v>
      </c>
      <c r="AB519" s="29" t="s">
        <v>1978</v>
      </c>
      <c r="AC519" s="59">
        <v>45681</v>
      </c>
      <c r="AD519" s="223">
        <v>45684</v>
      </c>
      <c r="AE519" s="59">
        <v>45686</v>
      </c>
      <c r="AF519" s="29"/>
      <c r="AG519" s="29"/>
      <c r="AH519" s="85">
        <v>45698</v>
      </c>
      <c r="AI519" s="29" t="s">
        <v>19</v>
      </c>
      <c r="AJ519" s="224"/>
      <c r="AK519" s="27"/>
      <c r="AL519" s="102"/>
      <c r="AM519" s="41" t="str">
        <f>VLOOKUP(Table2[[#This Row],[country]],Countrycode!A:B,2,FALSE)</f>
        <v>THA</v>
      </c>
      <c r="AN519" s="34">
        <f>IF(ISBLANK(Table2[[#This Row],[Need_RRA]]), 2,(IF(Table2[[#This Row],[Need_RRA]]="No", 0, (IF(AND(Table2[[#This Row],[Need_RRA]]="Yes",  Table2[[#This Row],[RRA_pub_date]]=""),1, 0)))))</f>
        <v>0</v>
      </c>
      <c r="AO519" s="34">
        <f>IF(ISBLANK(Table2[[#This Row],[Need_EIS]]), 2,(IF(Table2[[#This Row],[Need_EIS]]="No", 0, (IF(AND(Table2[[#This Row],[Need_EIS]]="Yes",  Table2[[#This Row],[EIS_pub_date]]=""),1, 0)))))</f>
        <v>0</v>
      </c>
      <c r="AP519" s="34">
        <f>IF(ISBLANK(Table2[[#This Row],[Need_DON]]), 2,(IF(Table2[[#This Row],[Need_DON]]="No", 0, (IF(AND(Table2[[#This Row],[Need_DON]]="Yes",  Table2[[#This Row],[DON_pub_date]]=""),1, 0)))))</f>
        <v>0</v>
      </c>
      <c r="AQ519" s="34">
        <f>IF(ISBLANK(Table2[[#This Row],[Pending_question]]), 2,(IF(Table2[[#This Row],[Pending_question]]="Yes", 1, 0)))</f>
        <v>0</v>
      </c>
      <c r="AR519" s="225"/>
    </row>
    <row r="520" spans="1:44" ht="15" customHeight="1">
      <c r="A520" s="63">
        <v>45686</v>
      </c>
      <c r="B520" s="29" t="s">
        <v>15</v>
      </c>
      <c r="C520" s="34" t="str" cm="1">
        <f t="array" ref="C52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20" s="27" t="s">
        <v>1979</v>
      </c>
      <c r="E520" s="67" t="s">
        <v>254</v>
      </c>
      <c r="F520" s="29" t="s">
        <v>117</v>
      </c>
      <c r="G520" s="29" t="s">
        <v>34</v>
      </c>
      <c r="H520" s="59">
        <v>45686</v>
      </c>
      <c r="I520" s="223"/>
      <c r="J520" s="59">
        <v>45623</v>
      </c>
      <c r="K520" s="59" t="s">
        <v>1980</v>
      </c>
      <c r="L520" s="104" t="s">
        <v>1981</v>
      </c>
      <c r="M520" s="283" t="s">
        <v>19</v>
      </c>
      <c r="N520" s="223"/>
      <c r="O520" s="226"/>
      <c r="P520" s="59" t="s">
        <v>19</v>
      </c>
      <c r="Q520" s="84"/>
      <c r="R520" s="29"/>
      <c r="S520" s="29"/>
      <c r="T520" s="223"/>
      <c r="U520" s="29"/>
      <c r="V520" s="29"/>
      <c r="W520" s="29"/>
      <c r="X520" s="27"/>
      <c r="Y520" s="29" t="s">
        <v>30</v>
      </c>
      <c r="Z520" s="29" t="s">
        <v>42</v>
      </c>
      <c r="AA520" s="29" t="s">
        <v>22</v>
      </c>
      <c r="AB520" s="59">
        <v>45686</v>
      </c>
      <c r="AC520" s="59">
        <v>45630</v>
      </c>
      <c r="AD520" s="223">
        <v>45686</v>
      </c>
      <c r="AE520" s="59">
        <v>45687</v>
      </c>
      <c r="AF520" s="29"/>
      <c r="AG520" s="29"/>
      <c r="AH520" s="85">
        <v>45700</v>
      </c>
      <c r="AI520" s="29" t="s">
        <v>19</v>
      </c>
      <c r="AJ520" s="224"/>
      <c r="AK520" s="27"/>
      <c r="AL520" s="102"/>
      <c r="AM520" s="41" t="str">
        <f>VLOOKUP(Table2[[#This Row],[country]],Countrycode!A:B,2,FALSE)</f>
        <v>BGD</v>
      </c>
      <c r="AN520" s="34">
        <f>IF(ISBLANK(Table2[[#This Row],[Need_RRA]]), 2,(IF(Table2[[#This Row],[Need_RRA]]="No", 0, (IF(AND(Table2[[#This Row],[Need_RRA]]="Yes",  Table2[[#This Row],[RRA_pub_date]]=""),1, 0)))))</f>
        <v>0</v>
      </c>
      <c r="AO520" s="34">
        <f>IF(ISBLANK(Table2[[#This Row],[Need_EIS]]), 2,(IF(Table2[[#This Row],[Need_EIS]]="No", 0, (IF(AND(Table2[[#This Row],[Need_EIS]]="Yes",  Table2[[#This Row],[EIS_pub_date]]=""),1, 0)))))</f>
        <v>0</v>
      </c>
      <c r="AP520" s="34">
        <f>IF(ISBLANK(Table2[[#This Row],[Need_DON]]), 2,(IF(Table2[[#This Row],[Need_DON]]="No", 0, (IF(AND(Table2[[#This Row],[Need_DON]]="Yes",  Table2[[#This Row],[DON_pub_date]]=""),1, 0)))))</f>
        <v>0</v>
      </c>
      <c r="AQ520" s="34">
        <f>IF(ISBLANK(Table2[[#This Row],[Pending_question]]), 2,(IF(Table2[[#This Row],[Pending_question]]="Yes", 1, 0)))</f>
        <v>0</v>
      </c>
      <c r="AR520" s="225"/>
    </row>
    <row r="521" spans="1:44" ht="15" customHeight="1">
      <c r="A521" s="63">
        <v>45687</v>
      </c>
      <c r="B521" s="29" t="s">
        <v>15</v>
      </c>
      <c r="C521" s="34" t="str" cm="1">
        <f t="array" ref="C52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21" s="27" t="s">
        <v>612</v>
      </c>
      <c r="E521" s="70" t="s">
        <v>231</v>
      </c>
      <c r="F521" s="54" t="s">
        <v>397</v>
      </c>
      <c r="G521" s="29" t="s">
        <v>34</v>
      </c>
      <c r="H521" s="318">
        <v>45687</v>
      </c>
      <c r="I521" s="223"/>
      <c r="J521" s="59">
        <v>45688</v>
      </c>
      <c r="K521" s="59" t="s">
        <v>1982</v>
      </c>
      <c r="L521" s="104" t="s">
        <v>1983</v>
      </c>
      <c r="M521" s="213" t="s">
        <v>19</v>
      </c>
      <c r="N521" s="214"/>
      <c r="O521" s="215"/>
      <c r="P521" s="55" t="s">
        <v>30</v>
      </c>
      <c r="Q521" s="84">
        <v>1</v>
      </c>
      <c r="R521" s="54" t="s">
        <v>1984</v>
      </c>
      <c r="S521" s="59">
        <v>45687</v>
      </c>
      <c r="T521" s="59">
        <v>45687</v>
      </c>
      <c r="U521" s="59">
        <v>45689</v>
      </c>
      <c r="V521" s="29" t="s">
        <v>41</v>
      </c>
      <c r="W521" s="29" t="s">
        <v>20</v>
      </c>
      <c r="X521" s="27" t="s">
        <v>51</v>
      </c>
      <c r="Y521" s="54" t="s">
        <v>30</v>
      </c>
      <c r="Z521" s="29" t="s">
        <v>42</v>
      </c>
      <c r="AA521" s="29" t="s">
        <v>43</v>
      </c>
      <c r="AB521" s="54" t="s">
        <v>1985</v>
      </c>
      <c r="AC521" s="59">
        <v>45687</v>
      </c>
      <c r="AD521" s="59">
        <v>45687</v>
      </c>
      <c r="AE521" s="59">
        <v>45688</v>
      </c>
      <c r="AF521" s="59">
        <v>45688</v>
      </c>
      <c r="AG521" s="29"/>
      <c r="AH521" s="85">
        <v>45688</v>
      </c>
      <c r="AI521" s="54" t="s">
        <v>30</v>
      </c>
      <c r="AJ521" s="224">
        <v>45688</v>
      </c>
      <c r="AK521" s="85">
        <v>45689</v>
      </c>
      <c r="AL521" s="102"/>
      <c r="AM521" s="41" t="str">
        <f>VLOOKUP(Table2[[#This Row],[country]],Countrycode!A:B,2,FALSE)</f>
        <v>UGA</v>
      </c>
      <c r="AN521" s="34">
        <f>IF(ISBLANK(Table2[[#This Row],[Need_RRA]]), 2,(IF(Table2[[#This Row],[Need_RRA]]="No", 0, (IF(AND(Table2[[#This Row],[Need_RRA]]="Yes",  Table2[[#This Row],[RRA_pub_date]]=""),1, 0)))))</f>
        <v>0</v>
      </c>
      <c r="AO521" s="34">
        <f>IF(ISBLANK(Table2[[#This Row],[Need_EIS]]), 2,(IF(Table2[[#This Row],[Need_EIS]]="No", 0, (IF(AND(Table2[[#This Row],[Need_EIS]]="Yes",  Table2[[#This Row],[EIS_pub_date]]=""),1, 0)))))</f>
        <v>0</v>
      </c>
      <c r="AP521" s="34">
        <f>IF(ISBLANK(Table2[[#This Row],[Need_DON]]), 2,(IF(Table2[[#This Row],[Need_DON]]="No", 0, (IF(AND(Table2[[#This Row],[Need_DON]]="Yes",  Table2[[#This Row],[DON_pub_date]]=""),1, 0)))))</f>
        <v>0</v>
      </c>
      <c r="AQ521" s="34">
        <f>IF(ISBLANK(Table2[[#This Row],[Pending_question]]), 2,(IF(Table2[[#This Row],[Pending_question]]="Yes", 1, 0)))</f>
        <v>0</v>
      </c>
      <c r="AR521" s="225"/>
    </row>
    <row r="522" spans="1:44" ht="15" customHeight="1">
      <c r="A522" s="63">
        <v>45688</v>
      </c>
      <c r="B522" s="29" t="s">
        <v>15</v>
      </c>
      <c r="C522" s="34" t="str" cm="1">
        <f t="array" ref="C52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22" s="27" t="s">
        <v>1961</v>
      </c>
      <c r="E522" s="67" t="s">
        <v>231</v>
      </c>
      <c r="F522" s="29" t="s">
        <v>397</v>
      </c>
      <c r="G522" s="29" t="s">
        <v>34</v>
      </c>
      <c r="H522" s="352" t="s">
        <v>632</v>
      </c>
      <c r="I522" s="335" t="s">
        <v>632</v>
      </c>
      <c r="J522" s="156">
        <v>45688</v>
      </c>
      <c r="K522" s="156" t="s">
        <v>1982</v>
      </c>
      <c r="L522" s="336" t="s">
        <v>1986</v>
      </c>
      <c r="M522" s="283" t="s">
        <v>19</v>
      </c>
      <c r="N522" s="223"/>
      <c r="O522" s="226"/>
      <c r="P522" s="59" t="s">
        <v>30</v>
      </c>
      <c r="Q522" s="84">
        <v>2</v>
      </c>
      <c r="R522" s="29" t="s">
        <v>1987</v>
      </c>
      <c r="S522" s="59">
        <v>45714</v>
      </c>
      <c r="T522" s="59">
        <v>45728</v>
      </c>
      <c r="U522" s="59">
        <v>45734</v>
      </c>
      <c r="V522" s="29" t="s">
        <v>41</v>
      </c>
      <c r="W522" s="29" t="s">
        <v>20</v>
      </c>
      <c r="X522" s="27" t="s">
        <v>51</v>
      </c>
      <c r="Y522" s="29" t="s">
        <v>19</v>
      </c>
      <c r="Z522" s="29"/>
      <c r="AA522" s="29"/>
      <c r="AB522" s="29"/>
      <c r="AC522" s="29"/>
      <c r="AD522" s="223"/>
      <c r="AE522" s="29"/>
      <c r="AF522" s="29"/>
      <c r="AG522" s="29"/>
      <c r="AH522" s="29"/>
      <c r="AI522" s="29" t="s">
        <v>19</v>
      </c>
      <c r="AJ522" s="224"/>
      <c r="AK522" s="27"/>
      <c r="AL522" s="102"/>
      <c r="AM522" s="41" t="str">
        <f>VLOOKUP(Table2[[#This Row],[country]],Countrycode!A:B,2,FALSE)</f>
        <v>UGA</v>
      </c>
      <c r="AN522" s="34">
        <f>IF(ISBLANK(Table2[[#This Row],[Need_RRA]]), 2,(IF(Table2[[#This Row],[Need_RRA]]="No", 0, (IF(AND(Table2[[#This Row],[Need_RRA]]="Yes",  Table2[[#This Row],[RRA_pub_date]]=""),1, 0)))))</f>
        <v>0</v>
      </c>
      <c r="AO522" s="34">
        <f>IF(ISBLANK(Table2[[#This Row],[Need_EIS]]), 2,(IF(Table2[[#This Row],[Need_EIS]]="No", 0, (IF(AND(Table2[[#This Row],[Need_EIS]]="Yes",  Table2[[#This Row],[EIS_pub_date]]=""),1, 0)))))</f>
        <v>0</v>
      </c>
      <c r="AP522" s="34">
        <f>IF(ISBLANK(Table2[[#This Row],[Need_DON]]), 2,(IF(Table2[[#This Row],[Need_DON]]="No", 0, (IF(AND(Table2[[#This Row],[Need_DON]]="Yes",  Table2[[#This Row],[DON_pub_date]]=""),1, 0)))))</f>
        <v>0</v>
      </c>
      <c r="AQ522" s="34">
        <f>IF(ISBLANK(Table2[[#This Row],[Pending_question]]), 2,(IF(Table2[[#This Row],[Pending_question]]="Yes", 1, 0)))</f>
        <v>0</v>
      </c>
      <c r="AR522" s="225"/>
    </row>
    <row r="523" spans="1:44" ht="15" customHeight="1">
      <c r="A523" s="63">
        <v>45694</v>
      </c>
      <c r="B523" s="29" t="s">
        <v>15</v>
      </c>
      <c r="C523" s="34" t="str" cm="1">
        <f t="array" ref="C52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23" s="27" t="s">
        <v>1020</v>
      </c>
      <c r="E523" s="70" t="s">
        <v>156</v>
      </c>
      <c r="F523" s="54" t="s">
        <v>403</v>
      </c>
      <c r="G523" s="29" t="s">
        <v>34</v>
      </c>
      <c r="H523" s="55">
        <v>45694</v>
      </c>
      <c r="I523" s="223">
        <v>45700</v>
      </c>
      <c r="J523" s="59">
        <v>45693</v>
      </c>
      <c r="K523" s="59" t="s">
        <v>1988</v>
      </c>
      <c r="L523" s="104" t="s">
        <v>1989</v>
      </c>
      <c r="M523" s="213" t="s">
        <v>19</v>
      </c>
      <c r="N523" s="214" t="s">
        <v>1990</v>
      </c>
      <c r="O523" s="215"/>
      <c r="P523" s="55" t="s">
        <v>19</v>
      </c>
      <c r="Q523" s="84"/>
      <c r="R523" s="54"/>
      <c r="S523" s="59"/>
      <c r="T523" s="223"/>
      <c r="U523" s="59"/>
      <c r="V523" s="29"/>
      <c r="W523" s="29"/>
      <c r="X523" s="27"/>
      <c r="Y523" s="54" t="s">
        <v>30</v>
      </c>
      <c r="Z523" s="29" t="s">
        <v>42</v>
      </c>
      <c r="AA523" s="29" t="s">
        <v>22</v>
      </c>
      <c r="AB523" s="54" t="s">
        <v>1991</v>
      </c>
      <c r="AC523" s="59">
        <v>45693</v>
      </c>
      <c r="AD523" s="223">
        <v>45694</v>
      </c>
      <c r="AE523" s="59">
        <v>45694</v>
      </c>
      <c r="AF523" s="59">
        <v>45694</v>
      </c>
      <c r="AG523" s="59">
        <v>45701</v>
      </c>
      <c r="AH523" s="85">
        <v>45702</v>
      </c>
      <c r="AI523" s="54" t="s">
        <v>19</v>
      </c>
      <c r="AJ523" s="224"/>
      <c r="AK523" s="85"/>
      <c r="AL523" s="102"/>
      <c r="AM523" s="41" t="str">
        <f>VLOOKUP(Table2[[#This Row],[country]],Countrycode!A:B,2,FALSE)</f>
        <v>USA</v>
      </c>
      <c r="AN523" s="34">
        <f>IF(ISBLANK(Table2[[#This Row],[Need_RRA]]), 2,(IF(Table2[[#This Row],[Need_RRA]]="No", 0, (IF(AND(Table2[[#This Row],[Need_RRA]]="Yes",  Table2[[#This Row],[RRA_pub_date]]=""),1, 0)))))</f>
        <v>0</v>
      </c>
      <c r="AO523" s="34">
        <f>IF(ISBLANK(Table2[[#This Row],[Need_EIS]]), 2,(IF(Table2[[#This Row],[Need_EIS]]="No", 0, (IF(AND(Table2[[#This Row],[Need_EIS]]="Yes",  Table2[[#This Row],[EIS_pub_date]]=""),1, 0)))))</f>
        <v>0</v>
      </c>
      <c r="AP523" s="34">
        <f>IF(ISBLANK(Table2[[#This Row],[Need_DON]]), 2,(IF(Table2[[#This Row],[Need_DON]]="No", 0, (IF(AND(Table2[[#This Row],[Need_DON]]="Yes",  Table2[[#This Row],[DON_pub_date]]=""),1, 0)))))</f>
        <v>0</v>
      </c>
      <c r="AQ523" s="34">
        <f>IF(ISBLANK(Table2[[#This Row],[Pending_question]]), 2,(IF(Table2[[#This Row],[Pending_question]]="Yes", 1, 0)))</f>
        <v>0</v>
      </c>
      <c r="AR523" s="225"/>
    </row>
    <row r="524" spans="1:44" ht="15" customHeight="1">
      <c r="A524" s="63">
        <v>45698</v>
      </c>
      <c r="B524" s="29" t="s">
        <v>15</v>
      </c>
      <c r="C524" s="34" t="str" cm="1">
        <f t="array" ref="C52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24" s="27" t="s">
        <v>1992</v>
      </c>
      <c r="E524" s="70" t="s">
        <v>80</v>
      </c>
      <c r="F524" s="54" t="s">
        <v>173</v>
      </c>
      <c r="G524" s="29" t="s">
        <v>34</v>
      </c>
      <c r="H524" s="55">
        <v>45698</v>
      </c>
      <c r="I524" s="223">
        <v>45698</v>
      </c>
      <c r="J524" s="59">
        <v>45698</v>
      </c>
      <c r="K524" s="250" t="s">
        <v>1993</v>
      </c>
      <c r="L524" s="104" t="s">
        <v>1994</v>
      </c>
      <c r="M524" s="213" t="s">
        <v>19</v>
      </c>
      <c r="N524" s="214"/>
      <c r="O524" s="215"/>
      <c r="P524" s="55" t="s">
        <v>19</v>
      </c>
      <c r="Q524" s="84"/>
      <c r="R524" s="54"/>
      <c r="S524" s="59"/>
      <c r="T524" s="223"/>
      <c r="U524" s="59"/>
      <c r="V524" s="29"/>
      <c r="W524" s="29"/>
      <c r="X524" s="27"/>
      <c r="Y524" s="54" t="s">
        <v>30</v>
      </c>
      <c r="Z524" s="29" t="s">
        <v>42</v>
      </c>
      <c r="AA524" s="29" t="s">
        <v>22</v>
      </c>
      <c r="AB524" s="267" t="s">
        <v>1995</v>
      </c>
      <c r="AC524" s="59">
        <v>45698</v>
      </c>
      <c r="AD524" s="59">
        <v>45698</v>
      </c>
      <c r="AE524" s="59">
        <v>45699</v>
      </c>
      <c r="AF524" s="59"/>
      <c r="AG524" s="29"/>
      <c r="AH524" s="85">
        <v>45699</v>
      </c>
      <c r="AI524" s="54" t="s">
        <v>19</v>
      </c>
      <c r="AJ524" s="224"/>
      <c r="AK524" s="85"/>
      <c r="AL524" s="102"/>
      <c r="AM524" s="41" t="str">
        <f>VLOOKUP(Table2[[#This Row],[country]],Countrycode!A:B,2,FALSE)</f>
        <v>CHN</v>
      </c>
      <c r="AN524" s="34">
        <f>IF(ISBLANK(Table2[[#This Row],[Need_RRA]]), 2,(IF(Table2[[#This Row],[Need_RRA]]="No", 0, (IF(AND(Table2[[#This Row],[Need_RRA]]="Yes",  Table2[[#This Row],[RRA_pub_date]]=""),1, 0)))))</f>
        <v>0</v>
      </c>
      <c r="AO524" s="34">
        <f>IF(ISBLANK(Table2[[#This Row],[Need_EIS]]), 2,(IF(Table2[[#This Row],[Need_EIS]]="No", 0, (IF(AND(Table2[[#This Row],[Need_EIS]]="Yes",  Table2[[#This Row],[EIS_pub_date]]=""),1, 0)))))</f>
        <v>0</v>
      </c>
      <c r="AP524" s="34">
        <f>IF(ISBLANK(Table2[[#This Row],[Need_DON]]), 2,(IF(Table2[[#This Row],[Need_DON]]="No", 0, (IF(AND(Table2[[#This Row],[Need_DON]]="Yes",  Table2[[#This Row],[DON_pub_date]]=""),1, 0)))))</f>
        <v>0</v>
      </c>
      <c r="AQ524" s="34">
        <f>IF(ISBLANK(Table2[[#This Row],[Pending_question]]), 2,(IF(Table2[[#This Row],[Pending_question]]="Yes", 1, 0)))</f>
        <v>0</v>
      </c>
      <c r="AR524" s="225"/>
    </row>
    <row r="525" spans="1:44" ht="15" customHeight="1">
      <c r="A525" s="63">
        <v>45698</v>
      </c>
      <c r="B525" s="29" t="s">
        <v>15</v>
      </c>
      <c r="C525" s="160" t="str" cm="1">
        <f t="array" ref="C52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25" s="27" t="s">
        <v>1996</v>
      </c>
      <c r="E525" s="70" t="s">
        <v>110</v>
      </c>
      <c r="F525" s="54" t="s">
        <v>173</v>
      </c>
      <c r="G525" s="29" t="s">
        <v>34</v>
      </c>
      <c r="H525" s="55">
        <v>45698</v>
      </c>
      <c r="I525" s="223">
        <v>45698</v>
      </c>
      <c r="J525" s="59">
        <v>45698</v>
      </c>
      <c r="K525" s="250" t="s">
        <v>1997</v>
      </c>
      <c r="L525" s="104" t="s">
        <v>1998</v>
      </c>
      <c r="M525" s="213" t="s">
        <v>19</v>
      </c>
      <c r="N525" s="214"/>
      <c r="O525" s="215"/>
      <c r="P525" s="55" t="s">
        <v>19</v>
      </c>
      <c r="Q525" s="84"/>
      <c r="R525" s="54"/>
      <c r="S525" s="59"/>
      <c r="T525" s="223"/>
      <c r="U525" s="59"/>
      <c r="V525" s="29"/>
      <c r="W525" s="29"/>
      <c r="X525" s="27"/>
      <c r="Y525" s="54" t="s">
        <v>30</v>
      </c>
      <c r="Z525" s="29" t="s">
        <v>42</v>
      </c>
      <c r="AA525" s="29" t="s">
        <v>22</v>
      </c>
      <c r="AB525" s="267" t="s">
        <v>1995</v>
      </c>
      <c r="AC525" s="59">
        <v>45698</v>
      </c>
      <c r="AD525" s="59">
        <v>45698</v>
      </c>
      <c r="AE525" s="59">
        <v>45699</v>
      </c>
      <c r="AF525" s="59">
        <v>45700</v>
      </c>
      <c r="AG525" s="59">
        <v>45705</v>
      </c>
      <c r="AH525" s="85">
        <v>45705</v>
      </c>
      <c r="AI525" s="54" t="s">
        <v>19</v>
      </c>
      <c r="AJ525" s="224"/>
      <c r="AK525" s="85"/>
      <c r="AL525" s="102"/>
      <c r="AM525" s="41" t="str">
        <f>VLOOKUP(Table2[[#This Row],[country]],Countrycode!A:B,2,FALSE)</f>
        <v>CHN</v>
      </c>
      <c r="AN525" s="34">
        <f>IF(ISBLANK(Table2[[#This Row],[Need_RRA]]), 2,(IF(Table2[[#This Row],[Need_RRA]]="No", 0, (IF(AND(Table2[[#This Row],[Need_RRA]]="Yes",  Table2[[#This Row],[RRA_pub_date]]=""),1, 0)))))</f>
        <v>0</v>
      </c>
      <c r="AO525" s="34">
        <f>IF(ISBLANK(Table2[[#This Row],[Need_EIS]]), 2,(IF(Table2[[#This Row],[Need_EIS]]="No", 0, (IF(AND(Table2[[#This Row],[Need_EIS]]="Yes",  Table2[[#This Row],[EIS_pub_date]]=""),1, 0)))))</f>
        <v>0</v>
      </c>
      <c r="AP525" s="34">
        <f>IF(ISBLANK(Table2[[#This Row],[Need_DON]]), 2,(IF(Table2[[#This Row],[Need_DON]]="No", 0, (IF(AND(Table2[[#This Row],[Need_DON]]="Yes",  Table2[[#This Row],[DON_pub_date]]=""),1, 0)))))</f>
        <v>0</v>
      </c>
      <c r="AQ525" s="34">
        <f>IF(ISBLANK(Table2[[#This Row],[Pending_question]]), 2,(IF(Table2[[#This Row],[Pending_question]]="Yes", 1, 0)))</f>
        <v>0</v>
      </c>
      <c r="AR525" s="225"/>
    </row>
    <row r="526" spans="1:44" ht="15" customHeight="1">
      <c r="A526" s="63">
        <v>45698</v>
      </c>
      <c r="B526" s="29" t="s">
        <v>15</v>
      </c>
      <c r="C526" s="34" t="str" cm="1">
        <f t="array" ref="C52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26" s="27" t="s">
        <v>1741</v>
      </c>
      <c r="E526" s="67" t="s">
        <v>174</v>
      </c>
      <c r="F526" s="29" t="s">
        <v>401</v>
      </c>
      <c r="G526" s="29"/>
      <c r="H526" s="29"/>
      <c r="I526" s="223"/>
      <c r="J526" s="59"/>
      <c r="K526" s="59"/>
      <c r="L526" s="104"/>
      <c r="M526" s="283" t="s">
        <v>19</v>
      </c>
      <c r="N526" s="223"/>
      <c r="O526" s="226"/>
      <c r="P526" s="59" t="s">
        <v>19</v>
      </c>
      <c r="Q526" s="84"/>
      <c r="R526" s="29"/>
      <c r="S526" s="29"/>
      <c r="T526" s="223"/>
      <c r="U526" s="29"/>
      <c r="V526" s="29"/>
      <c r="W526" s="29"/>
      <c r="X526" s="27"/>
      <c r="Y526" s="29" t="s">
        <v>19</v>
      </c>
      <c r="Z526" s="29"/>
      <c r="AA526" s="29"/>
      <c r="AB526" s="29"/>
      <c r="AC526" s="29"/>
      <c r="AD526" s="223"/>
      <c r="AE526" s="29"/>
      <c r="AF526" s="29"/>
      <c r="AG526" s="29"/>
      <c r="AH526" s="27"/>
      <c r="AI526" s="29" t="s">
        <v>30</v>
      </c>
      <c r="AJ526" s="224">
        <v>45698</v>
      </c>
      <c r="AK526" s="85">
        <v>45702</v>
      </c>
      <c r="AL526" s="102"/>
      <c r="AM526" s="41" t="str">
        <f>VLOOKUP(Table2[[#This Row],[country]],Countrycode!A:B,2,FALSE)</f>
        <v>TZA</v>
      </c>
      <c r="AN526" s="34">
        <f>IF(ISBLANK(Table2[[#This Row],[Need_RRA]]), 2,(IF(Table2[[#This Row],[Need_RRA]]="No", 0, (IF(AND(Table2[[#This Row],[Need_RRA]]="Yes",  Table2[[#This Row],[RRA_pub_date]]=""),1, 0)))))</f>
        <v>0</v>
      </c>
      <c r="AO526" s="34">
        <f>IF(ISBLANK(Table2[[#This Row],[Need_EIS]]), 2,(IF(Table2[[#This Row],[Need_EIS]]="No", 0, (IF(AND(Table2[[#This Row],[Need_EIS]]="Yes",  Table2[[#This Row],[EIS_pub_date]]=""),1, 0)))))</f>
        <v>0</v>
      </c>
      <c r="AP526" s="34">
        <f>IF(ISBLANK(Table2[[#This Row],[Need_DON]]), 2,(IF(Table2[[#This Row],[Need_DON]]="No", 0, (IF(AND(Table2[[#This Row],[Need_DON]]="Yes",  Table2[[#This Row],[DON_pub_date]]=""),1, 0)))))</f>
        <v>0</v>
      </c>
      <c r="AQ526" s="34">
        <f>IF(ISBLANK(Table2[[#This Row],[Pending_question]]), 2,(IF(Table2[[#This Row],[Pending_question]]="Yes", 1, 0)))</f>
        <v>0</v>
      </c>
      <c r="AR526" s="225"/>
    </row>
    <row r="527" spans="1:44" ht="15" customHeight="1">
      <c r="A527" s="63">
        <v>45699</v>
      </c>
      <c r="B527" s="29" t="s">
        <v>15</v>
      </c>
      <c r="C527" s="34" t="str" cm="1">
        <f t="array" ref="C52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27" s="27" t="s">
        <v>1880</v>
      </c>
      <c r="E527" s="67" t="s">
        <v>667</v>
      </c>
      <c r="F527" s="29" t="s">
        <v>278</v>
      </c>
      <c r="G527" s="29" t="s">
        <v>34</v>
      </c>
      <c r="H527" s="29"/>
      <c r="I527" s="223">
        <v>45699</v>
      </c>
      <c r="J527" s="59">
        <v>45699</v>
      </c>
      <c r="K527" s="250" t="s">
        <v>1999</v>
      </c>
      <c r="L527" s="104" t="s">
        <v>2000</v>
      </c>
      <c r="M527" s="283" t="s">
        <v>19</v>
      </c>
      <c r="N527" s="223"/>
      <c r="O527" s="226"/>
      <c r="P527" s="59" t="s">
        <v>19</v>
      </c>
      <c r="Q527" s="84"/>
      <c r="R527" s="29"/>
      <c r="S527" s="29"/>
      <c r="T527" s="223"/>
      <c r="U527" s="29"/>
      <c r="V527" s="29"/>
      <c r="W527" s="29"/>
      <c r="X527" s="27"/>
      <c r="Y527" s="29" t="s">
        <v>30</v>
      </c>
      <c r="Z527" s="29" t="s">
        <v>42</v>
      </c>
      <c r="AA527" s="29" t="s">
        <v>22</v>
      </c>
      <c r="AB527" s="59">
        <v>45701</v>
      </c>
      <c r="AC527" s="59">
        <v>45700</v>
      </c>
      <c r="AD527" s="223">
        <v>45701</v>
      </c>
      <c r="AE527" s="59">
        <v>45705</v>
      </c>
      <c r="AF527" s="59">
        <v>45705</v>
      </c>
      <c r="AG527" s="59">
        <v>45707</v>
      </c>
      <c r="AH527" s="85">
        <v>45709</v>
      </c>
      <c r="AI527" s="29" t="s">
        <v>19</v>
      </c>
      <c r="AJ527" s="224"/>
      <c r="AK527" s="27"/>
      <c r="AL527" s="102"/>
      <c r="AM527" s="41" t="str">
        <f>VLOOKUP(Table2[[#This Row],[country]],Countrycode!A:B,2,FALSE)</f>
        <v>IRL</v>
      </c>
      <c r="AN527" s="34">
        <f>IF(ISBLANK(Table2[[#This Row],[Need_RRA]]), 2,(IF(Table2[[#This Row],[Need_RRA]]="No", 0, (IF(AND(Table2[[#This Row],[Need_RRA]]="Yes",  Table2[[#This Row],[RRA_pub_date]]=""),1, 0)))))</f>
        <v>0</v>
      </c>
      <c r="AO527" s="34">
        <f>IF(ISBLANK(Table2[[#This Row],[Need_EIS]]), 2,(IF(Table2[[#This Row],[Need_EIS]]="No", 0, (IF(AND(Table2[[#This Row],[Need_EIS]]="Yes",  Table2[[#This Row],[EIS_pub_date]]=""),1, 0)))))</f>
        <v>0</v>
      </c>
      <c r="AP527" s="34">
        <f>IF(ISBLANK(Table2[[#This Row],[Need_DON]]), 2,(IF(Table2[[#This Row],[Need_DON]]="No", 0, (IF(AND(Table2[[#This Row],[Need_DON]]="Yes",  Table2[[#This Row],[DON_pub_date]]=""),1, 0)))))</f>
        <v>0</v>
      </c>
      <c r="AQ527" s="34">
        <f>IF(ISBLANK(Table2[[#This Row],[Pending_question]]), 2,(IF(Table2[[#This Row],[Pending_question]]="Yes", 1, 0)))</f>
        <v>0</v>
      </c>
      <c r="AR527" s="225"/>
    </row>
    <row r="528" spans="1:44" ht="15" customHeight="1">
      <c r="A528" s="63">
        <v>45699</v>
      </c>
      <c r="B528" s="29" t="s">
        <v>15</v>
      </c>
      <c r="C528" s="34" t="str" cm="1">
        <f t="array" ref="C52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28" s="27" t="s">
        <v>2001</v>
      </c>
      <c r="E528" s="70" t="s">
        <v>114</v>
      </c>
      <c r="F528" s="54" t="s">
        <v>403</v>
      </c>
      <c r="G528" s="29" t="s">
        <v>34</v>
      </c>
      <c r="H528" s="55">
        <v>45699</v>
      </c>
      <c r="I528" s="223">
        <v>45698</v>
      </c>
      <c r="J528" s="59">
        <v>45698</v>
      </c>
      <c r="K528" s="59" t="s">
        <v>1677</v>
      </c>
      <c r="L528" s="104" t="s">
        <v>2002</v>
      </c>
      <c r="M528" s="213" t="s">
        <v>19</v>
      </c>
      <c r="N528" s="214"/>
      <c r="O528" s="215"/>
      <c r="P528" s="55" t="s">
        <v>19</v>
      </c>
      <c r="Q528" s="84"/>
      <c r="R528" s="54"/>
      <c r="S528" s="29"/>
      <c r="T528" s="223"/>
      <c r="U528" s="29"/>
      <c r="V528" s="29"/>
      <c r="W528" s="29"/>
      <c r="X528" s="27"/>
      <c r="Y528" s="54" t="s">
        <v>30</v>
      </c>
      <c r="Z528" s="29" t="s">
        <v>42</v>
      </c>
      <c r="AA528" s="29" t="s">
        <v>34</v>
      </c>
      <c r="AB528" s="54" t="s">
        <v>2003</v>
      </c>
      <c r="AC528" s="59">
        <v>45698</v>
      </c>
      <c r="AD528" s="223">
        <v>45699</v>
      </c>
      <c r="AE528" s="59">
        <v>45699</v>
      </c>
      <c r="AF528" s="59">
        <v>45699</v>
      </c>
      <c r="AG528" s="59">
        <v>45706</v>
      </c>
      <c r="AH528" s="85">
        <v>45707</v>
      </c>
      <c r="AI528" s="54" t="s">
        <v>19</v>
      </c>
      <c r="AJ528" s="224"/>
      <c r="AK528" s="27"/>
      <c r="AL528" s="102"/>
      <c r="AM528" s="41" t="str">
        <f>VLOOKUP(Table2[[#This Row],[country]],Countrycode!A:B,2,FALSE)</f>
        <v>USA</v>
      </c>
      <c r="AN528" s="34">
        <f>IF(ISBLANK(Table2[[#This Row],[Need_RRA]]), 2,(IF(Table2[[#This Row],[Need_RRA]]="No", 0, (IF(AND(Table2[[#This Row],[Need_RRA]]="Yes",  Table2[[#This Row],[RRA_pub_date]]=""),1, 0)))))</f>
        <v>0</v>
      </c>
      <c r="AO528" s="34">
        <f>IF(ISBLANK(Table2[[#This Row],[Need_EIS]]), 2,(IF(Table2[[#This Row],[Need_EIS]]="No", 0, (IF(AND(Table2[[#This Row],[Need_EIS]]="Yes",  Table2[[#This Row],[EIS_pub_date]]=""),1, 0)))))</f>
        <v>0</v>
      </c>
      <c r="AP528" s="34">
        <f>IF(ISBLANK(Table2[[#This Row],[Need_DON]]), 2,(IF(Table2[[#This Row],[Need_DON]]="No", 0, (IF(AND(Table2[[#This Row],[Need_DON]]="Yes",  Table2[[#This Row],[DON_pub_date]]=""),1, 0)))))</f>
        <v>0</v>
      </c>
      <c r="AQ528" s="34">
        <f>IF(ISBLANK(Table2[[#This Row],[Pending_question]]), 2,(IF(Table2[[#This Row],[Pending_question]]="Yes", 1, 0)))</f>
        <v>0</v>
      </c>
      <c r="AR528" s="225"/>
    </row>
    <row r="529" spans="1:44" ht="15" customHeight="1">
      <c r="A529" s="63">
        <v>45700</v>
      </c>
      <c r="B529" s="29" t="s">
        <v>15</v>
      </c>
      <c r="C529" s="34" t="str" cm="1">
        <f t="array" ref="C52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29" s="27" t="s">
        <v>1939</v>
      </c>
      <c r="E529" s="70" t="s">
        <v>231</v>
      </c>
      <c r="F529" s="54" t="s">
        <v>397</v>
      </c>
      <c r="G529" s="29" t="s">
        <v>34</v>
      </c>
      <c r="H529" s="55"/>
      <c r="I529" s="223"/>
      <c r="J529" s="59"/>
      <c r="K529" s="59"/>
      <c r="L529" s="104"/>
      <c r="M529" s="213" t="s">
        <v>19</v>
      </c>
      <c r="N529" s="214"/>
      <c r="O529" s="215"/>
      <c r="P529" s="55" t="s">
        <v>19</v>
      </c>
      <c r="Q529" s="84"/>
      <c r="R529" s="54"/>
      <c r="S529" s="29"/>
      <c r="T529" s="223"/>
      <c r="U529" s="29"/>
      <c r="V529" s="29"/>
      <c r="W529" s="29"/>
      <c r="X529" s="27"/>
      <c r="Y529" s="54" t="s">
        <v>19</v>
      </c>
      <c r="Z529" s="29"/>
      <c r="AA529" s="29"/>
      <c r="AB529" s="54"/>
      <c r="AC529" s="29"/>
      <c r="AD529" s="223"/>
      <c r="AE529" s="29"/>
      <c r="AF529" s="29"/>
      <c r="AG529" s="29"/>
      <c r="AH529" s="27"/>
      <c r="AI529" s="54" t="s">
        <v>30</v>
      </c>
      <c r="AJ529" s="224">
        <v>45700</v>
      </c>
      <c r="AK529" s="85">
        <v>45709</v>
      </c>
      <c r="AL529" s="102"/>
      <c r="AM529" s="41" t="str">
        <f>VLOOKUP(Table2[[#This Row],[country]],Countrycode!A:B,2,FALSE)</f>
        <v>UGA</v>
      </c>
      <c r="AN529" s="34">
        <f>IF(ISBLANK(Table2[[#This Row],[Need_RRA]]), 2,(IF(Table2[[#This Row],[Need_RRA]]="No", 0, (IF(AND(Table2[[#This Row],[Need_RRA]]="Yes",  Table2[[#This Row],[RRA_pub_date]]=""),1, 0)))))</f>
        <v>0</v>
      </c>
      <c r="AO529" s="34">
        <f>IF(ISBLANK(Table2[[#This Row],[Need_EIS]]), 2,(IF(Table2[[#This Row],[Need_EIS]]="No", 0, (IF(AND(Table2[[#This Row],[Need_EIS]]="Yes",  Table2[[#This Row],[EIS_pub_date]]=""),1, 0)))))</f>
        <v>0</v>
      </c>
      <c r="AP529" s="34">
        <f>IF(ISBLANK(Table2[[#This Row],[Need_DON]]), 2,(IF(Table2[[#This Row],[Need_DON]]="No", 0, (IF(AND(Table2[[#This Row],[Need_DON]]="Yes",  Table2[[#This Row],[DON_pub_date]]=""),1, 0)))))</f>
        <v>0</v>
      </c>
      <c r="AQ529" s="34">
        <f>IF(ISBLANK(Table2[[#This Row],[Pending_question]]), 2,(IF(Table2[[#This Row],[Pending_question]]="Yes", 1, 0)))</f>
        <v>0</v>
      </c>
      <c r="AR529" s="225"/>
    </row>
    <row r="530" spans="1:44" ht="15" customHeight="1">
      <c r="A530" s="63">
        <v>45702</v>
      </c>
      <c r="B530" s="29" t="s">
        <v>15</v>
      </c>
      <c r="C530" s="34" t="str" cm="1">
        <f t="array" ref="C53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30" s="27" t="s">
        <v>1880</v>
      </c>
      <c r="E530" s="67" t="s">
        <v>667</v>
      </c>
      <c r="F530" s="29" t="s">
        <v>399</v>
      </c>
      <c r="G530" s="29" t="s">
        <v>34</v>
      </c>
      <c r="H530" s="59">
        <v>45702</v>
      </c>
      <c r="I530" s="223"/>
      <c r="J530" s="59"/>
      <c r="K530" s="250" t="s">
        <v>2004</v>
      </c>
      <c r="L530" s="104" t="s">
        <v>2005</v>
      </c>
      <c r="M530" s="283" t="s">
        <v>19</v>
      </c>
      <c r="N530" s="223"/>
      <c r="O530" s="226"/>
      <c r="P530" s="59" t="s">
        <v>19</v>
      </c>
      <c r="Q530" s="84"/>
      <c r="R530" s="29"/>
      <c r="S530" s="29"/>
      <c r="T530" s="223"/>
      <c r="U530" s="29"/>
      <c r="V530" s="29"/>
      <c r="W530" s="29"/>
      <c r="X530" s="27"/>
      <c r="Y530" s="29" t="s">
        <v>30</v>
      </c>
      <c r="Z530" s="29" t="s">
        <v>42</v>
      </c>
      <c r="AA530" s="29" t="s">
        <v>22</v>
      </c>
      <c r="AB530" s="29" t="s">
        <v>2006</v>
      </c>
      <c r="AC530" s="59">
        <v>45702</v>
      </c>
      <c r="AD530" s="223">
        <v>45707</v>
      </c>
      <c r="AE530" s="59">
        <v>45709</v>
      </c>
      <c r="AF530" s="59"/>
      <c r="AG530" s="59">
        <v>45712</v>
      </c>
      <c r="AH530" s="85">
        <v>45712</v>
      </c>
      <c r="AI530" s="29" t="s">
        <v>19</v>
      </c>
      <c r="AJ530" s="224"/>
      <c r="AK530" s="27"/>
      <c r="AL530" s="102"/>
      <c r="AM530" s="41" t="str">
        <f>VLOOKUP(Table2[[#This Row],[country]],Countrycode!A:B,2,FALSE)</f>
        <v>ARE</v>
      </c>
      <c r="AN530" s="34">
        <f>IF(ISBLANK(Table2[[#This Row],[Need_RRA]]), 2,(IF(Table2[[#This Row],[Need_RRA]]="No", 0, (IF(AND(Table2[[#This Row],[Need_RRA]]="Yes",  Table2[[#This Row],[RRA_pub_date]]=""),1, 0)))))</f>
        <v>0</v>
      </c>
      <c r="AO530" s="34">
        <f>IF(ISBLANK(Table2[[#This Row],[Need_EIS]]), 2,(IF(Table2[[#This Row],[Need_EIS]]="No", 0, (IF(AND(Table2[[#This Row],[Need_EIS]]="Yes",  Table2[[#This Row],[EIS_pub_date]]=""),1, 0)))))</f>
        <v>0</v>
      </c>
      <c r="AP530" s="34">
        <f>IF(ISBLANK(Table2[[#This Row],[Need_DON]]), 2,(IF(Table2[[#This Row],[Need_DON]]="No", 0, (IF(AND(Table2[[#This Row],[Need_DON]]="Yes",  Table2[[#This Row],[DON_pub_date]]=""),1, 0)))))</f>
        <v>0</v>
      </c>
      <c r="AQ530" s="34">
        <f>IF(ISBLANK(Table2[[#This Row],[Pending_question]]), 2,(IF(Table2[[#This Row],[Pending_question]]="Yes", 1, 0)))</f>
        <v>0</v>
      </c>
      <c r="AR530" s="225"/>
    </row>
    <row r="531" spans="1:44" ht="15" customHeight="1">
      <c r="A531" s="63">
        <v>45705</v>
      </c>
      <c r="B531" s="29" t="s">
        <v>15</v>
      </c>
      <c r="C531" s="34" t="str" cm="1">
        <f t="array" ref="C53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31" s="27" t="s">
        <v>2007</v>
      </c>
      <c r="E531" s="70" t="s">
        <v>209</v>
      </c>
      <c r="F531" s="54" t="s">
        <v>341</v>
      </c>
      <c r="G531" s="29" t="s">
        <v>34</v>
      </c>
      <c r="H531" s="55">
        <v>45705</v>
      </c>
      <c r="I531" s="59">
        <v>45684</v>
      </c>
      <c r="J531" s="59">
        <v>45632</v>
      </c>
      <c r="K531" s="59" t="s">
        <v>2008</v>
      </c>
      <c r="L531" s="285" t="s">
        <v>2009</v>
      </c>
      <c r="M531" s="213" t="s">
        <v>19</v>
      </c>
      <c r="N531" s="214" t="s">
        <v>2010</v>
      </c>
      <c r="O531" s="215"/>
      <c r="P531" s="55" t="s">
        <v>19</v>
      </c>
      <c r="Q531" s="84"/>
      <c r="R531" s="54"/>
      <c r="S531" s="29"/>
      <c r="T531" s="223"/>
      <c r="U531" s="29"/>
      <c r="V531" s="29"/>
      <c r="W531" s="29"/>
      <c r="X531" s="27"/>
      <c r="Y531" s="54" t="s">
        <v>30</v>
      </c>
      <c r="Z531" s="29" t="s">
        <v>42</v>
      </c>
      <c r="AA531" s="29" t="s">
        <v>22</v>
      </c>
      <c r="AB531" s="54" t="s">
        <v>2011</v>
      </c>
      <c r="AC531" s="59">
        <v>45649</v>
      </c>
      <c r="AD531" s="59">
        <v>45649</v>
      </c>
      <c r="AE531" s="59">
        <v>45672</v>
      </c>
      <c r="AF531" s="29"/>
      <c r="AG531" s="29"/>
      <c r="AH531" s="151">
        <v>45705</v>
      </c>
      <c r="AI531" s="54" t="s">
        <v>31</v>
      </c>
      <c r="AJ531" s="224"/>
      <c r="AK531" s="27"/>
      <c r="AL531" s="102"/>
      <c r="AM531" s="41" t="str">
        <f>VLOOKUP(Table2[[#This Row],[country]],Countrycode!A:B,2,FALSE)</f>
        <v>PHL</v>
      </c>
      <c r="AN531" s="34">
        <f>IF(ISBLANK(Table2[[#This Row],[Need_RRA]]), 2,(IF(Table2[[#This Row],[Need_RRA]]="No", 0, (IF(AND(Table2[[#This Row],[Need_RRA]]="Yes",  Table2[[#This Row],[RRA_pub_date]]=""),1, 0)))))</f>
        <v>0</v>
      </c>
      <c r="AO531" s="34">
        <f>IF(ISBLANK(Table2[[#This Row],[Need_EIS]]), 2,(IF(Table2[[#This Row],[Need_EIS]]="No", 0, (IF(AND(Table2[[#This Row],[Need_EIS]]="Yes",  Table2[[#This Row],[EIS_pub_date]]=""),1, 0)))))</f>
        <v>0</v>
      </c>
      <c r="AP531" s="34">
        <f>IF(ISBLANK(Table2[[#This Row],[Need_DON]]), 2,(IF(Table2[[#This Row],[Need_DON]]="No", 0, (IF(AND(Table2[[#This Row],[Need_DON]]="Yes",  Table2[[#This Row],[DON_pub_date]]=""),1, 0)))))</f>
        <v>0</v>
      </c>
      <c r="AQ531" s="34">
        <f>IF(ISBLANK(Table2[[#This Row],[Pending_question]]), 2,(IF(Table2[[#This Row],[Pending_question]]="Yes", 1, 0)))</f>
        <v>0</v>
      </c>
      <c r="AR531" s="225"/>
    </row>
    <row r="532" spans="1:44" ht="15" customHeight="1">
      <c r="A532" s="63">
        <v>45705</v>
      </c>
      <c r="B532" s="29" t="s">
        <v>15</v>
      </c>
      <c r="C532" s="34" t="str" cm="1">
        <f t="array" ref="C53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32" s="27" t="s">
        <v>1352</v>
      </c>
      <c r="E532" s="67" t="s">
        <v>114</v>
      </c>
      <c r="F532" s="29" t="s">
        <v>403</v>
      </c>
      <c r="G532" s="29" t="s">
        <v>34</v>
      </c>
      <c r="H532" s="59">
        <v>45705</v>
      </c>
      <c r="I532" s="223"/>
      <c r="J532" s="59"/>
      <c r="K532" s="59" t="s">
        <v>1677</v>
      </c>
      <c r="L532" s="104" t="s">
        <v>2002</v>
      </c>
      <c r="M532" s="283"/>
      <c r="N532" s="214" t="s">
        <v>2012</v>
      </c>
      <c r="O532" s="226"/>
      <c r="P532" s="59" t="s">
        <v>19</v>
      </c>
      <c r="Q532" s="84"/>
      <c r="R532" s="29"/>
      <c r="S532" s="29"/>
      <c r="T532" s="223"/>
      <c r="U532" s="29"/>
      <c r="V532" s="29"/>
      <c r="W532" s="29"/>
      <c r="X532" s="27"/>
      <c r="Y532" s="29" t="s">
        <v>30</v>
      </c>
      <c r="Z532" s="29" t="s">
        <v>42</v>
      </c>
      <c r="AA532" s="29"/>
      <c r="AB532" s="287" t="s">
        <v>2013</v>
      </c>
      <c r="AC532" s="29"/>
      <c r="AD532" s="59">
        <v>45705</v>
      </c>
      <c r="AE532" s="59">
        <v>45706</v>
      </c>
      <c r="AF532" s="29"/>
      <c r="AG532" s="29"/>
      <c r="AH532" s="85">
        <v>45708</v>
      </c>
      <c r="AI532" s="29" t="s">
        <v>19</v>
      </c>
      <c r="AJ532" s="224"/>
      <c r="AK532" s="27"/>
      <c r="AL532" s="102"/>
      <c r="AM532" s="41" t="str">
        <f>VLOOKUP(Table2[[#This Row],[country]],Countrycode!A:B,2,FALSE)</f>
        <v>USA</v>
      </c>
      <c r="AN532" s="34">
        <f>IF(ISBLANK(Table2[[#This Row],[Need_RRA]]), 2,(IF(Table2[[#This Row],[Need_RRA]]="No", 0, (IF(AND(Table2[[#This Row],[Need_RRA]]="Yes",  Table2[[#This Row],[RRA_pub_date]]=""),1, 0)))))</f>
        <v>0</v>
      </c>
      <c r="AO532" s="34">
        <f>IF(ISBLANK(Table2[[#This Row],[Need_EIS]]), 2,(IF(Table2[[#This Row],[Need_EIS]]="No", 0, (IF(AND(Table2[[#This Row],[Need_EIS]]="Yes",  Table2[[#This Row],[EIS_pub_date]]=""),1, 0)))))</f>
        <v>0</v>
      </c>
      <c r="AP532" s="34">
        <f>IF(ISBLANK(Table2[[#This Row],[Need_DON]]), 2,(IF(Table2[[#This Row],[Need_DON]]="No", 0, (IF(AND(Table2[[#This Row],[Need_DON]]="Yes",  Table2[[#This Row],[DON_pub_date]]=""),1, 0)))))</f>
        <v>0</v>
      </c>
      <c r="AQ532" s="34">
        <f>IF(ISBLANK(Table2[[#This Row],[Pending_question]]), 2,(IF(Table2[[#This Row],[Pending_question]]="Yes", 1, 0)))</f>
        <v>2</v>
      </c>
      <c r="AR532" s="225"/>
    </row>
    <row r="533" spans="1:44" ht="15" customHeight="1">
      <c r="A533" s="63">
        <v>45705</v>
      </c>
      <c r="B533" s="29" t="s">
        <v>15</v>
      </c>
      <c r="C533" s="34" t="str" cm="1">
        <f t="array" ref="C53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33" s="32" t="s">
        <v>1020</v>
      </c>
      <c r="E533" s="16" t="s">
        <v>667</v>
      </c>
      <c r="F533" s="16" t="s">
        <v>346</v>
      </c>
      <c r="G533" s="16" t="s">
        <v>34</v>
      </c>
      <c r="H533" s="55">
        <v>45705</v>
      </c>
      <c r="I533" s="223">
        <v>45733</v>
      </c>
      <c r="J533" s="59">
        <v>45713</v>
      </c>
      <c r="K533" s="59" t="s">
        <v>2014</v>
      </c>
      <c r="L533" s="104" t="s">
        <v>2015</v>
      </c>
      <c r="M533" s="213" t="s">
        <v>19</v>
      </c>
      <c r="N533" s="214"/>
      <c r="O533" s="215"/>
      <c r="P533" s="55" t="s">
        <v>19</v>
      </c>
      <c r="Q533" s="84"/>
      <c r="R533" s="54"/>
      <c r="S533" s="29"/>
      <c r="T533" s="223"/>
      <c r="U533" s="29"/>
      <c r="V533" s="29"/>
      <c r="W533" s="29"/>
      <c r="X533" s="27"/>
      <c r="Y533" s="54" t="s">
        <v>30</v>
      </c>
      <c r="Z533" s="29" t="s">
        <v>42</v>
      </c>
      <c r="AA533" s="29" t="s">
        <v>22</v>
      </c>
      <c r="AB533" s="54" t="s">
        <v>2016</v>
      </c>
      <c r="AC533" s="59">
        <v>45712</v>
      </c>
      <c r="AD533" s="223">
        <v>45733</v>
      </c>
      <c r="AE533" s="59">
        <v>45733</v>
      </c>
      <c r="AF533" s="59">
        <v>45733</v>
      </c>
      <c r="AG533" s="59">
        <v>45734</v>
      </c>
      <c r="AH533" s="85">
        <v>45736</v>
      </c>
      <c r="AI533" s="54" t="s">
        <v>19</v>
      </c>
      <c r="AJ533" s="224"/>
      <c r="AK533" s="27"/>
      <c r="AL533" s="102"/>
      <c r="AM533" s="41" t="str">
        <f>VLOOKUP(Table2[[#This Row],[country]],Countrycode!A:B,2,FALSE)</f>
        <v>QAT</v>
      </c>
      <c r="AN533" s="34">
        <f>IF(ISBLANK(Table2[[#This Row],[Need_RRA]]), 2,(IF(Table2[[#This Row],[Need_RRA]]="No", 0, (IF(AND(Table2[[#This Row],[Need_RRA]]="Yes",  Table2[[#This Row],[RRA_pub_date]]=""),1, 0)))))</f>
        <v>0</v>
      </c>
      <c r="AO533" s="34">
        <f>IF(ISBLANK(Table2[[#This Row],[Need_EIS]]), 2,(IF(Table2[[#This Row],[Need_EIS]]="No", 0, (IF(AND(Table2[[#This Row],[Need_EIS]]="Yes",  Table2[[#This Row],[EIS_pub_date]]=""),1, 0)))))</f>
        <v>0</v>
      </c>
      <c r="AP533" s="34">
        <f>IF(ISBLANK(Table2[[#This Row],[Need_DON]]), 2,(IF(Table2[[#This Row],[Need_DON]]="No", 0, (IF(AND(Table2[[#This Row],[Need_DON]]="Yes",  Table2[[#This Row],[DON_pub_date]]=""),1, 0)))))</f>
        <v>0</v>
      </c>
      <c r="AQ533" s="34">
        <f>IF(ISBLANK(Table2[[#This Row],[Pending_question]]), 2,(IF(Table2[[#This Row],[Pending_question]]="Yes", 1, 0)))</f>
        <v>0</v>
      </c>
      <c r="AR533" s="225"/>
    </row>
    <row r="534" spans="1:44" ht="15.75" customHeight="1">
      <c r="A534" s="63">
        <v>45706</v>
      </c>
      <c r="B534" s="29" t="s">
        <v>15</v>
      </c>
      <c r="C534" s="34" t="str" cm="1">
        <f t="array" ref="C53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34" s="27" t="s">
        <v>2017</v>
      </c>
      <c r="E534" s="67" t="s">
        <v>667</v>
      </c>
      <c r="F534" s="29" t="s">
        <v>39</v>
      </c>
      <c r="G534" s="29" t="s">
        <v>93</v>
      </c>
      <c r="H534" s="59">
        <v>45706</v>
      </c>
      <c r="I534" s="223"/>
      <c r="J534" s="59"/>
      <c r="K534" s="250" t="s">
        <v>948</v>
      </c>
      <c r="L534" s="182" t="s">
        <v>949</v>
      </c>
      <c r="M534" s="283" t="s">
        <v>19</v>
      </c>
      <c r="N534" s="223"/>
      <c r="O534" s="226"/>
      <c r="P534" s="59" t="s">
        <v>30</v>
      </c>
      <c r="Q534" s="84">
        <v>3</v>
      </c>
      <c r="R534" s="287" t="s">
        <v>2018</v>
      </c>
      <c r="S534" s="59">
        <v>45688</v>
      </c>
      <c r="T534" s="223">
        <v>45702</v>
      </c>
      <c r="U534" s="59">
        <v>45711</v>
      </c>
      <c r="V534" s="29"/>
      <c r="W534" s="29"/>
      <c r="X534" s="27" t="s">
        <v>32</v>
      </c>
      <c r="Y534" s="29" t="s">
        <v>19</v>
      </c>
      <c r="Z534" s="29"/>
      <c r="AA534" s="29"/>
      <c r="AB534" s="29"/>
      <c r="AC534" s="29"/>
      <c r="AD534" s="223"/>
      <c r="AE534" s="29"/>
      <c r="AF534" s="29"/>
      <c r="AG534" s="29"/>
      <c r="AH534" s="27"/>
      <c r="AI534" s="29" t="s">
        <v>19</v>
      </c>
      <c r="AJ534" s="224"/>
      <c r="AK534" s="27"/>
      <c r="AL534" s="102"/>
      <c r="AM534" s="41" t="str">
        <f>VLOOKUP(Table2[[#This Row],[country]],Countrycode!A:B,2,FALSE)</f>
        <v>MLX</v>
      </c>
      <c r="AN534" s="34">
        <f>IF(ISBLANK(Table2[[#This Row],[Need_RRA]]), 2,(IF(Table2[[#This Row],[Need_RRA]]="No", 0, (IF(AND(Table2[[#This Row],[Need_RRA]]="Yes",  Table2[[#This Row],[RRA_pub_date]]=""),1, 0)))))</f>
        <v>0</v>
      </c>
      <c r="AO534" s="34">
        <f>IF(ISBLANK(Table2[[#This Row],[Need_EIS]]), 2,(IF(Table2[[#This Row],[Need_EIS]]="No", 0, (IF(AND(Table2[[#This Row],[Need_EIS]]="Yes",  Table2[[#This Row],[EIS_pub_date]]=""),1, 0)))))</f>
        <v>0</v>
      </c>
      <c r="AP534" s="34">
        <f>IF(ISBLANK(Table2[[#This Row],[Need_DON]]), 2,(IF(Table2[[#This Row],[Need_DON]]="No", 0, (IF(AND(Table2[[#This Row],[Need_DON]]="Yes",  Table2[[#This Row],[DON_pub_date]]=""),1, 0)))))</f>
        <v>0</v>
      </c>
      <c r="AQ534" s="34">
        <f>IF(ISBLANK(Table2[[#This Row],[Pending_question]]), 2,(IF(Table2[[#This Row],[Pending_question]]="Yes", 1, 0)))</f>
        <v>0</v>
      </c>
      <c r="AR534" s="225"/>
    </row>
    <row r="535" spans="1:44" ht="15.75" customHeight="1">
      <c r="A535" s="63">
        <v>45708</v>
      </c>
      <c r="B535" s="29" t="s">
        <v>15</v>
      </c>
      <c r="C535" s="34" t="str" cm="1">
        <f t="array" ref="C53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35" s="27" t="s">
        <v>2019</v>
      </c>
      <c r="E535" s="67" t="s">
        <v>176</v>
      </c>
      <c r="F535" s="29" t="s">
        <v>409</v>
      </c>
      <c r="G535" s="29" t="s">
        <v>34</v>
      </c>
      <c r="H535" s="29"/>
      <c r="I535" s="223"/>
      <c r="J535" s="59">
        <v>45708</v>
      </c>
      <c r="K535" s="327" t="s">
        <v>1810</v>
      </c>
      <c r="L535" s="104" t="s">
        <v>1811</v>
      </c>
      <c r="M535" s="283" t="s">
        <v>19</v>
      </c>
      <c r="N535" s="223"/>
      <c r="O535" s="226"/>
      <c r="P535" s="59" t="s">
        <v>19</v>
      </c>
      <c r="Q535" s="84"/>
      <c r="R535" s="29"/>
      <c r="S535" s="29"/>
      <c r="T535" s="223"/>
      <c r="U535" s="29"/>
      <c r="V535" s="29"/>
      <c r="W535" s="29"/>
      <c r="X535" s="27"/>
      <c r="Y535" s="29" t="s">
        <v>30</v>
      </c>
      <c r="Z535" s="29" t="s">
        <v>42</v>
      </c>
      <c r="AA535" s="29" t="s">
        <v>22</v>
      </c>
      <c r="AB535" s="29" t="s">
        <v>2020</v>
      </c>
      <c r="AC535" s="59">
        <v>45723</v>
      </c>
      <c r="AD535" s="59">
        <v>45723</v>
      </c>
      <c r="AE535" s="59">
        <v>45723</v>
      </c>
      <c r="AF535" s="29"/>
      <c r="AG535" s="29"/>
      <c r="AH535" s="85">
        <v>45736</v>
      </c>
      <c r="AI535" s="29" t="s">
        <v>31</v>
      </c>
      <c r="AJ535" s="224"/>
      <c r="AK535" s="27"/>
      <c r="AL535" s="102"/>
      <c r="AM535" s="41" t="str">
        <f>VLOOKUP(Table2[[#This Row],[country]],Countrycode!A:B,2,FALSE)</f>
        <v>VNM</v>
      </c>
      <c r="AN535" s="34">
        <f>IF(ISBLANK(Table2[[#This Row],[Need_RRA]]), 2,(IF(Table2[[#This Row],[Need_RRA]]="No", 0, (IF(AND(Table2[[#This Row],[Need_RRA]]="Yes",  Table2[[#This Row],[RRA_pub_date]]=""),1, 0)))))</f>
        <v>0</v>
      </c>
      <c r="AO535" s="34">
        <f>IF(ISBLANK(Table2[[#This Row],[Need_EIS]]), 2,(IF(Table2[[#This Row],[Need_EIS]]="No", 0, (IF(AND(Table2[[#This Row],[Need_EIS]]="Yes",  Table2[[#This Row],[EIS_pub_date]]=""),1, 0)))))</f>
        <v>0</v>
      </c>
      <c r="AP535" s="34">
        <f>IF(ISBLANK(Table2[[#This Row],[Need_DON]]), 2,(IF(Table2[[#This Row],[Need_DON]]="No", 0, (IF(AND(Table2[[#This Row],[Need_DON]]="Yes",  Table2[[#This Row],[DON_pub_date]]=""),1, 0)))))</f>
        <v>0</v>
      </c>
      <c r="AQ535" s="34">
        <f>IF(ISBLANK(Table2[[#This Row],[Pending_question]]), 2,(IF(Table2[[#This Row],[Pending_question]]="Yes", 1, 0)))</f>
        <v>0</v>
      </c>
      <c r="AR535" s="225"/>
    </row>
    <row r="536" spans="1:44" ht="15.75" customHeight="1">
      <c r="A536" s="63">
        <v>45709</v>
      </c>
      <c r="B536" s="29" t="s">
        <v>15</v>
      </c>
      <c r="C536" s="34" t="str" cm="1">
        <f t="array" ref="C53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36" s="27" t="s">
        <v>2021</v>
      </c>
      <c r="E536" s="67" t="s">
        <v>176</v>
      </c>
      <c r="F536" s="29" t="s">
        <v>317</v>
      </c>
      <c r="G536" s="29" t="s">
        <v>34</v>
      </c>
      <c r="H536" s="59">
        <v>45709</v>
      </c>
      <c r="I536" s="223"/>
      <c r="J536" s="59">
        <v>45249</v>
      </c>
      <c r="K536" s="59" t="str" cm="1">
        <f t="array" ref="K536">INDEX(_xlfn.TEXTSPLIT(Table2[[#This Row],[EMS comments]], "="), COLUMNS(_xlfn.TEXTSPLIT(Table2[[#This Row],[EMS comments]], "=")))</f>
        <v>2023-E000450</v>
      </c>
      <c r="L536" s="104" t="s">
        <v>2022</v>
      </c>
      <c r="M536" s="283" t="s">
        <v>19</v>
      </c>
      <c r="N536" s="223" t="s">
        <v>2023</v>
      </c>
      <c r="O536" s="226"/>
      <c r="P536" s="59" t="s">
        <v>30</v>
      </c>
      <c r="Q536" s="84">
        <v>1</v>
      </c>
      <c r="R536" s="329" t="s">
        <v>2024</v>
      </c>
      <c r="S536" s="59">
        <v>45713</v>
      </c>
      <c r="T536" s="59">
        <v>45714</v>
      </c>
      <c r="U536" s="59">
        <v>45727</v>
      </c>
      <c r="V536" s="29" t="s">
        <v>20</v>
      </c>
      <c r="W536" s="29" t="s">
        <v>32</v>
      </c>
      <c r="X536" s="27" t="s">
        <v>32</v>
      </c>
      <c r="Y536" s="29" t="s">
        <v>19</v>
      </c>
      <c r="Z536" s="29" t="s">
        <v>42</v>
      </c>
      <c r="AA536" s="29"/>
      <c r="AB536" s="29" t="s">
        <v>2025</v>
      </c>
      <c r="AC536" s="59">
        <v>45748</v>
      </c>
      <c r="AD536" s="223">
        <v>45756</v>
      </c>
      <c r="AE536" s="59">
        <v>45757</v>
      </c>
      <c r="AF536" s="29"/>
      <c r="AG536" s="29"/>
      <c r="AH536" s="27"/>
      <c r="AI536" s="29" t="s">
        <v>30</v>
      </c>
      <c r="AJ536" s="224">
        <v>45778</v>
      </c>
      <c r="AK536" s="85">
        <v>45790</v>
      </c>
      <c r="AL536" s="102"/>
      <c r="AM536" s="41" t="str">
        <f>VLOOKUP(Table2[[#This Row],[country]],Countrycode!A:B,2,FALSE)</f>
        <v>MAR</v>
      </c>
      <c r="AN536" s="34">
        <f>IF(ISBLANK(Table2[[#This Row],[Need_RRA]]), 2,(IF(Table2[[#This Row],[Need_RRA]]="No", 0, (IF(AND(Table2[[#This Row],[Need_RRA]]="Yes",  Table2[[#This Row],[RRA_pub_date]]=""),1, 0)))))</f>
        <v>0</v>
      </c>
      <c r="AO536" s="34">
        <f>IF(ISBLANK(Table2[[#This Row],[Need_EIS]]), 2,(IF(Table2[[#This Row],[Need_EIS]]="No", 0, (IF(AND(Table2[[#This Row],[Need_EIS]]="Yes",  Table2[[#This Row],[EIS_pub_date]]=""),1, 0)))))</f>
        <v>0</v>
      </c>
      <c r="AP536" s="34">
        <f>IF(ISBLANK(Table2[[#This Row],[Need_DON]]), 2,(IF(Table2[[#This Row],[Need_DON]]="No", 0, (IF(AND(Table2[[#This Row],[Need_DON]]="Yes",  Table2[[#This Row],[DON_pub_date]]=""),1, 0)))))</f>
        <v>0</v>
      </c>
      <c r="AQ536" s="34">
        <f>IF(ISBLANK(Table2[[#This Row],[Pending_question]]), 2,(IF(Table2[[#This Row],[Pending_question]]="Yes", 1, 0)))</f>
        <v>0</v>
      </c>
      <c r="AR536" s="225"/>
    </row>
    <row r="537" spans="1:44" ht="15.75" customHeight="1">
      <c r="A537" s="63">
        <v>45714</v>
      </c>
      <c r="B537" s="29" t="s">
        <v>15</v>
      </c>
      <c r="C537" s="34" t="str" cm="1">
        <f t="array" ref="C53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37" s="27" t="s">
        <v>1352</v>
      </c>
      <c r="E537" s="67" t="s">
        <v>114</v>
      </c>
      <c r="F537" s="29" t="s">
        <v>403</v>
      </c>
      <c r="G537" s="29" t="s">
        <v>34</v>
      </c>
      <c r="H537" s="59">
        <v>45714</v>
      </c>
      <c r="I537" s="223"/>
      <c r="J537" s="59">
        <v>45712</v>
      </c>
      <c r="K537" s="59" t="s">
        <v>1677</v>
      </c>
      <c r="L537" s="104" t="s">
        <v>2002</v>
      </c>
      <c r="M537" s="283" t="s">
        <v>19</v>
      </c>
      <c r="N537" s="223"/>
      <c r="O537" s="226"/>
      <c r="P537" s="59" t="s">
        <v>19</v>
      </c>
      <c r="Q537" s="185"/>
      <c r="R537" s="29"/>
      <c r="S537" s="29"/>
      <c r="T537" s="223"/>
      <c r="U537" s="29"/>
      <c r="V537" s="29"/>
      <c r="W537" s="29"/>
      <c r="X537" s="27"/>
      <c r="Y537" s="29" t="s">
        <v>30</v>
      </c>
      <c r="Z537" s="29" t="s">
        <v>42</v>
      </c>
      <c r="AA537" s="29" t="s">
        <v>22</v>
      </c>
      <c r="AB537" s="29" t="s">
        <v>2026</v>
      </c>
      <c r="AC537" s="59">
        <v>45711</v>
      </c>
      <c r="AD537" s="59">
        <v>45711</v>
      </c>
      <c r="AE537" s="59">
        <v>45712</v>
      </c>
      <c r="AF537" s="59">
        <v>45712</v>
      </c>
      <c r="AG537" s="59">
        <v>45713</v>
      </c>
      <c r="AH537" s="85">
        <v>45714</v>
      </c>
      <c r="AI537" s="29" t="s">
        <v>19</v>
      </c>
      <c r="AJ537" s="224"/>
      <c r="AK537" s="27"/>
      <c r="AL537" s="102"/>
      <c r="AM537" s="41" t="str">
        <f>VLOOKUP(Table2[[#This Row],[country]],Countrycode!A:B,2,FALSE)</f>
        <v>USA</v>
      </c>
      <c r="AN537" s="34">
        <f>IF(ISBLANK(Table2[[#This Row],[Need_RRA]]), 2,(IF(Table2[[#This Row],[Need_RRA]]="No", 0, (IF(AND(Table2[[#This Row],[Need_RRA]]="Yes",  Table2[[#This Row],[RRA_pub_date]]=""),1, 0)))))</f>
        <v>0</v>
      </c>
      <c r="AO537" s="34">
        <f>IF(ISBLANK(Table2[[#This Row],[Need_EIS]]), 2,(IF(Table2[[#This Row],[Need_EIS]]="No", 0, (IF(AND(Table2[[#This Row],[Need_EIS]]="Yes",  Table2[[#This Row],[EIS_pub_date]]=""),1, 0)))))</f>
        <v>0</v>
      </c>
      <c r="AP537" s="34">
        <f>IF(ISBLANK(Table2[[#This Row],[Need_DON]]), 2,(IF(Table2[[#This Row],[Need_DON]]="No", 0, (IF(AND(Table2[[#This Row],[Need_DON]]="Yes",  Table2[[#This Row],[DON_pub_date]]=""),1, 0)))))</f>
        <v>0</v>
      </c>
      <c r="AQ537" s="34">
        <f>IF(ISBLANK(Table2[[#This Row],[Pending_question]]), 2,(IF(Table2[[#This Row],[Pending_question]]="Yes", 1, 0)))</f>
        <v>0</v>
      </c>
      <c r="AR537" s="225"/>
    </row>
    <row r="538" spans="1:44" ht="15.75" customHeight="1">
      <c r="A538" s="63">
        <v>45714</v>
      </c>
      <c r="B538" s="29" t="s">
        <v>15</v>
      </c>
      <c r="C538" s="34" t="str" cm="1">
        <f t="array" ref="C53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38" s="27" t="s">
        <v>2027</v>
      </c>
      <c r="E538" s="67" t="s">
        <v>128</v>
      </c>
      <c r="F538" s="29" t="s">
        <v>93</v>
      </c>
      <c r="G538" s="29" t="s">
        <v>93</v>
      </c>
      <c r="H538" s="155" t="s">
        <v>632</v>
      </c>
      <c r="I538" s="335" t="s">
        <v>632</v>
      </c>
      <c r="J538" s="156" t="s">
        <v>632</v>
      </c>
      <c r="K538" s="59" t="s">
        <v>2028</v>
      </c>
      <c r="L538" s="104" t="s">
        <v>2029</v>
      </c>
      <c r="M538" s="283" t="s">
        <v>19</v>
      </c>
      <c r="N538" s="223"/>
      <c r="O538" s="226"/>
      <c r="P538" s="59" t="s">
        <v>30</v>
      </c>
      <c r="Q538" s="84">
        <v>7</v>
      </c>
      <c r="R538" s="29" t="s">
        <v>2030</v>
      </c>
      <c r="S538" s="29" t="s">
        <v>2031</v>
      </c>
      <c r="T538" s="59">
        <v>45714</v>
      </c>
      <c r="U538" s="59">
        <v>45734</v>
      </c>
      <c r="V538" s="29" t="s">
        <v>34</v>
      </c>
      <c r="W538" s="29" t="s">
        <v>34</v>
      </c>
      <c r="X538" s="27" t="s">
        <v>41</v>
      </c>
      <c r="Y538" s="29" t="s">
        <v>19</v>
      </c>
      <c r="Z538" s="29"/>
      <c r="AA538" s="29"/>
      <c r="AB538" s="29" t="s">
        <v>2032</v>
      </c>
      <c r="AC538" s="29"/>
      <c r="AD538" s="223"/>
      <c r="AE538" s="29"/>
      <c r="AF538" s="29"/>
      <c r="AG538" s="29"/>
      <c r="AH538" s="27"/>
      <c r="AI538" s="29" t="s">
        <v>19</v>
      </c>
      <c r="AJ538" s="224"/>
      <c r="AK538" s="27"/>
      <c r="AL538" s="102" t="s">
        <v>2033</v>
      </c>
      <c r="AM538" s="41" t="e">
        <f>VLOOKUP(Table2[[#This Row],[country]],Countrycode!A:B,2,FALSE)</f>
        <v>#N/A</v>
      </c>
      <c r="AN538" s="34">
        <f>IF(ISBLANK(Table2[[#This Row],[Need_RRA]]), 2,(IF(Table2[[#This Row],[Need_RRA]]="No", 0, (IF(AND(Table2[[#This Row],[Need_RRA]]="Yes",  Table2[[#This Row],[RRA_pub_date]]=""),1, 0)))))</f>
        <v>0</v>
      </c>
      <c r="AO538" s="34">
        <f>IF(ISBLANK(Table2[[#This Row],[Need_EIS]]), 2,(IF(Table2[[#This Row],[Need_EIS]]="No", 0, (IF(AND(Table2[[#This Row],[Need_EIS]]="Yes",  Table2[[#This Row],[EIS_pub_date]]=""),1, 0)))))</f>
        <v>0</v>
      </c>
      <c r="AP538" s="34">
        <f>IF(ISBLANK(Table2[[#This Row],[Need_DON]]), 2,(IF(Table2[[#This Row],[Need_DON]]="No", 0, (IF(AND(Table2[[#This Row],[Need_DON]]="Yes",  Table2[[#This Row],[DON_pub_date]]=""),1, 0)))))</f>
        <v>0</v>
      </c>
      <c r="AQ538" s="34">
        <f>IF(ISBLANK(Table2[[#This Row],[Pending_question]]), 2,(IF(Table2[[#This Row],[Pending_question]]="Yes", 1, 0)))</f>
        <v>0</v>
      </c>
      <c r="AR538" s="225"/>
    </row>
    <row r="539" spans="1:44" ht="15.75" customHeight="1">
      <c r="A539" s="63">
        <v>45715</v>
      </c>
      <c r="B539" s="29" t="s">
        <v>15</v>
      </c>
      <c r="C539" s="34" t="str" cm="1">
        <f t="array" ref="C53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39" s="27" t="s">
        <v>1352</v>
      </c>
      <c r="E539" s="67" t="s">
        <v>180</v>
      </c>
      <c r="F539" s="29" t="s">
        <v>363</v>
      </c>
      <c r="G539" s="29" t="s">
        <v>34</v>
      </c>
      <c r="H539" s="59">
        <v>45715</v>
      </c>
      <c r="I539" s="223"/>
      <c r="J539" s="59">
        <v>45669</v>
      </c>
      <c r="K539" s="59" t="s">
        <v>852</v>
      </c>
      <c r="L539" s="112" t="s">
        <v>1153</v>
      </c>
      <c r="M539" s="283"/>
      <c r="N539" s="223"/>
      <c r="O539" s="226"/>
      <c r="P539" s="59" t="s">
        <v>19</v>
      </c>
      <c r="Q539" s="84"/>
      <c r="R539" s="29"/>
      <c r="S539" s="29"/>
      <c r="T539" s="223"/>
      <c r="U539" s="29"/>
      <c r="V539" s="29"/>
      <c r="W539" s="29"/>
      <c r="X539" s="27"/>
      <c r="Y539" s="29" t="s">
        <v>30</v>
      </c>
      <c r="Z539" s="29" t="s">
        <v>21</v>
      </c>
      <c r="AA539" s="29" t="s">
        <v>22</v>
      </c>
      <c r="AB539" s="29" t="s">
        <v>2034</v>
      </c>
      <c r="AC539" s="29"/>
      <c r="AD539" s="59">
        <v>45714</v>
      </c>
      <c r="AE539" s="59">
        <v>45715</v>
      </c>
      <c r="AF539" s="29"/>
      <c r="AG539" s="59">
        <v>45723</v>
      </c>
      <c r="AH539" s="85">
        <v>45723</v>
      </c>
      <c r="AI539" s="29" t="s">
        <v>30</v>
      </c>
      <c r="AJ539" s="224">
        <v>45726</v>
      </c>
      <c r="AK539" s="224">
        <v>45729</v>
      </c>
      <c r="AL539" s="102"/>
      <c r="AM539" s="41" t="str">
        <f>VLOOKUP(Table2[[#This Row],[country]],Countrycode!A:B,2,FALSE)</f>
        <v>SAU</v>
      </c>
      <c r="AN539" s="34">
        <f>IF(ISBLANK(Table2[[#This Row],[Need_RRA]]), 2,(IF(Table2[[#This Row],[Need_RRA]]="No", 0, (IF(AND(Table2[[#This Row],[Need_RRA]]="Yes",  Table2[[#This Row],[RRA_pub_date]]=""),1, 0)))))</f>
        <v>0</v>
      </c>
      <c r="AO539" s="34">
        <f>IF(ISBLANK(Table2[[#This Row],[Need_EIS]]), 2,(IF(Table2[[#This Row],[Need_EIS]]="No", 0, (IF(AND(Table2[[#This Row],[Need_EIS]]="Yes",  Table2[[#This Row],[EIS_pub_date]]=""),1, 0)))))</f>
        <v>0</v>
      </c>
      <c r="AP539" s="34">
        <f>IF(ISBLANK(Table2[[#This Row],[Need_DON]]), 2,(IF(Table2[[#This Row],[Need_DON]]="No", 0, (IF(AND(Table2[[#This Row],[Need_DON]]="Yes",  Table2[[#This Row],[DON_pub_date]]=""),1, 0)))))</f>
        <v>0</v>
      </c>
      <c r="AQ539" s="34">
        <f>IF(ISBLANK(Table2[[#This Row],[Pending_question]]), 2,(IF(Table2[[#This Row],[Pending_question]]="Yes", 1, 0)))</f>
        <v>2</v>
      </c>
      <c r="AR539" s="225"/>
    </row>
    <row r="540" spans="1:44" ht="15.75" customHeight="1">
      <c r="A540" s="63">
        <v>45715</v>
      </c>
      <c r="B540" s="29" t="s">
        <v>15</v>
      </c>
      <c r="C540" s="34" t="str" cm="1">
        <f t="array" ref="C54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40" s="27" t="s">
        <v>1880</v>
      </c>
      <c r="E540" s="70" t="s">
        <v>667</v>
      </c>
      <c r="F540" s="54" t="s">
        <v>374</v>
      </c>
      <c r="G540" s="29" t="s">
        <v>34</v>
      </c>
      <c r="H540" s="55">
        <v>45715</v>
      </c>
      <c r="I540" s="214"/>
      <c r="J540" s="59"/>
      <c r="K540" s="59" t="s">
        <v>2035</v>
      </c>
      <c r="L540" s="104" t="s">
        <v>2036</v>
      </c>
      <c r="M540" s="213" t="s">
        <v>19</v>
      </c>
      <c r="N540" s="214"/>
      <c r="O540" s="215"/>
      <c r="P540" s="55" t="s">
        <v>19</v>
      </c>
      <c r="Q540" s="84"/>
      <c r="R540" s="54"/>
      <c r="S540" s="29"/>
      <c r="T540" s="223"/>
      <c r="U540" s="29"/>
      <c r="V540" s="29"/>
      <c r="W540" s="29"/>
      <c r="X540" s="27"/>
      <c r="Y540" s="54" t="s">
        <v>30</v>
      </c>
      <c r="Z540" s="29" t="s">
        <v>42</v>
      </c>
      <c r="AA540" s="29" t="s">
        <v>43</v>
      </c>
      <c r="AB540" s="54" t="s">
        <v>2037</v>
      </c>
      <c r="AC540" s="59">
        <v>45715</v>
      </c>
      <c r="AD540" s="59">
        <v>45715</v>
      </c>
      <c r="AE540" s="59">
        <v>45716</v>
      </c>
      <c r="AF540" s="29"/>
      <c r="AG540" s="59">
        <v>45728</v>
      </c>
      <c r="AH540" s="85">
        <v>45728</v>
      </c>
      <c r="AI540" s="54" t="s">
        <v>19</v>
      </c>
      <c r="AJ540" s="224"/>
      <c r="AK540" s="27"/>
      <c r="AL540" s="102"/>
      <c r="AM540" s="41" t="str">
        <f>VLOOKUP(Table2[[#This Row],[country]],Countrycode!A:B,2,FALSE)</f>
        <v>ZAF</v>
      </c>
      <c r="AN540" s="34">
        <f>IF(ISBLANK(Table2[[#This Row],[Need_RRA]]), 2,(IF(Table2[[#This Row],[Need_RRA]]="No", 0, (IF(AND(Table2[[#This Row],[Need_RRA]]="Yes",  Table2[[#This Row],[RRA_pub_date]]=""),1, 0)))))</f>
        <v>0</v>
      </c>
      <c r="AO540" s="34">
        <f>IF(ISBLANK(Table2[[#This Row],[Need_EIS]]), 2,(IF(Table2[[#This Row],[Need_EIS]]="No", 0, (IF(AND(Table2[[#This Row],[Need_EIS]]="Yes",  Table2[[#This Row],[EIS_pub_date]]=""),1, 0)))))</f>
        <v>0</v>
      </c>
      <c r="AP540" s="34">
        <f>IF(ISBLANK(Table2[[#This Row],[Need_DON]]), 2,(IF(Table2[[#This Row],[Need_DON]]="No", 0, (IF(AND(Table2[[#This Row],[Need_DON]]="Yes",  Table2[[#This Row],[DON_pub_date]]=""),1, 0)))))</f>
        <v>0</v>
      </c>
      <c r="AQ540" s="34">
        <f>IF(ISBLANK(Table2[[#This Row],[Pending_question]]), 2,(IF(Table2[[#This Row],[Pending_question]]="Yes", 1, 0)))</f>
        <v>0</v>
      </c>
      <c r="AR540" s="225"/>
    </row>
    <row r="541" spans="1:44" ht="15.75" customHeight="1">
      <c r="A541" s="63">
        <v>45715</v>
      </c>
      <c r="B541" s="29" t="s">
        <v>15</v>
      </c>
      <c r="C541" s="34" t="str" cm="1">
        <f t="array" ref="C54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41" s="27" t="s">
        <v>1880</v>
      </c>
      <c r="E541" s="67" t="s">
        <v>667</v>
      </c>
      <c r="F541" s="29" t="s">
        <v>376</v>
      </c>
      <c r="G541" s="29" t="s">
        <v>34</v>
      </c>
      <c r="H541" s="59">
        <v>45715</v>
      </c>
      <c r="I541" s="223"/>
      <c r="J541" s="59">
        <v>45698</v>
      </c>
      <c r="K541" s="59" t="s">
        <v>2038</v>
      </c>
      <c r="L541" s="104" t="s">
        <v>2039</v>
      </c>
      <c r="M541" s="283" t="s">
        <v>19</v>
      </c>
      <c r="N541" s="223"/>
      <c r="O541" s="226"/>
      <c r="P541" s="59" t="s">
        <v>19</v>
      </c>
      <c r="Q541" s="84"/>
      <c r="R541" s="29"/>
      <c r="S541" s="29"/>
      <c r="T541" s="223"/>
      <c r="U541" s="29"/>
      <c r="V541" s="29"/>
      <c r="W541" s="29"/>
      <c r="X541" s="27"/>
      <c r="Y541" s="29" t="s">
        <v>30</v>
      </c>
      <c r="Z541" s="29" t="s">
        <v>42</v>
      </c>
      <c r="AA541" s="16" t="s">
        <v>43</v>
      </c>
      <c r="AB541" s="29" t="s">
        <v>2040</v>
      </c>
      <c r="AC541" s="59">
        <v>45723</v>
      </c>
      <c r="AD541" s="59">
        <v>45723</v>
      </c>
      <c r="AE541" s="59">
        <v>45723</v>
      </c>
      <c r="AF541" s="29"/>
      <c r="AG541" s="59">
        <v>45727</v>
      </c>
      <c r="AH541" s="85">
        <v>45728</v>
      </c>
      <c r="AI541" s="29" t="s">
        <v>19</v>
      </c>
      <c r="AJ541" s="224"/>
      <c r="AK541" s="27"/>
      <c r="AL541" s="102"/>
      <c r="AM541" s="41" t="str">
        <f>VLOOKUP(Table2[[#This Row],[country]],Countrycode!A:B,2,FALSE)</f>
        <v>SSD</v>
      </c>
      <c r="AN541" s="34">
        <f>IF(ISBLANK(Table2[[#This Row],[Need_RRA]]), 2,(IF(Table2[[#This Row],[Need_RRA]]="No", 0, (IF(AND(Table2[[#This Row],[Need_RRA]]="Yes",  Table2[[#This Row],[RRA_pub_date]]=""),1, 0)))))</f>
        <v>0</v>
      </c>
      <c r="AO541" s="34">
        <f>IF(ISBLANK(Table2[[#This Row],[Need_EIS]]), 2,(IF(Table2[[#This Row],[Need_EIS]]="No", 0, (IF(AND(Table2[[#This Row],[Need_EIS]]="Yes",  Table2[[#This Row],[EIS_pub_date]]=""),1, 0)))))</f>
        <v>0</v>
      </c>
      <c r="AP541" s="34">
        <f>IF(ISBLANK(Table2[[#This Row],[Need_DON]]), 2,(IF(Table2[[#This Row],[Need_DON]]="No", 0, (IF(AND(Table2[[#This Row],[Need_DON]]="Yes",  Table2[[#This Row],[DON_pub_date]]=""),1, 0)))))</f>
        <v>0</v>
      </c>
      <c r="AQ541" s="34">
        <f>IF(ISBLANK(Table2[[#This Row],[Pending_question]]), 2,(IF(Table2[[#This Row],[Pending_question]]="Yes", 1, 0)))</f>
        <v>0</v>
      </c>
      <c r="AR541" s="225"/>
    </row>
    <row r="542" spans="1:44" ht="15.75" customHeight="1">
      <c r="A542" s="63">
        <v>45716</v>
      </c>
      <c r="B542" s="29" t="s">
        <v>15</v>
      </c>
      <c r="C542" s="34" t="str" cm="1">
        <f t="array" ref="C54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42" s="27" t="s">
        <v>1939</v>
      </c>
      <c r="E542" s="286" t="s">
        <v>235</v>
      </c>
      <c r="F542" s="287" t="s">
        <v>208</v>
      </c>
      <c r="G542" s="29"/>
      <c r="H542" s="29"/>
      <c r="I542" s="223"/>
      <c r="J542" s="59"/>
      <c r="K542" s="59"/>
      <c r="L542" s="104"/>
      <c r="M542" s="283" t="s">
        <v>19</v>
      </c>
      <c r="N542" s="223"/>
      <c r="O542" s="226"/>
      <c r="P542" s="59" t="s">
        <v>19</v>
      </c>
      <c r="Q542" s="84"/>
      <c r="R542" s="29"/>
      <c r="S542" s="29"/>
      <c r="T542" s="223"/>
      <c r="U542" s="29"/>
      <c r="V542" s="29"/>
      <c r="W542" s="29"/>
      <c r="X542" s="27"/>
      <c r="Y542" s="29" t="s">
        <v>19</v>
      </c>
      <c r="Z542" s="29"/>
      <c r="AA542" s="29"/>
      <c r="AB542" s="29"/>
      <c r="AC542" s="29"/>
      <c r="AD542" s="223"/>
      <c r="AE542" s="29"/>
      <c r="AF542" s="29"/>
      <c r="AG542" s="29"/>
      <c r="AH542" s="27"/>
      <c r="AI542" s="29" t="s">
        <v>30</v>
      </c>
      <c r="AJ542" s="224">
        <v>45716</v>
      </c>
      <c r="AK542" s="226">
        <v>45719</v>
      </c>
      <c r="AL542" s="102"/>
      <c r="AM542" s="41" t="str">
        <f>VLOOKUP(Table2[[#This Row],[country]],Countrycode!A:B,2,FALSE)</f>
        <v>COD</v>
      </c>
      <c r="AN542" s="34">
        <f>IF(ISBLANK(Table2[[#This Row],[Need_RRA]]), 2,(IF(Table2[[#This Row],[Need_RRA]]="No", 0, (IF(AND(Table2[[#This Row],[Need_RRA]]="Yes",  Table2[[#This Row],[RRA_pub_date]]=""),1, 0)))))</f>
        <v>0</v>
      </c>
      <c r="AO542" s="34">
        <f>IF(ISBLANK(Table2[[#This Row],[Need_EIS]]), 2,(IF(Table2[[#This Row],[Need_EIS]]="No", 0, (IF(AND(Table2[[#This Row],[Need_EIS]]="Yes",  Table2[[#This Row],[EIS_pub_date]]=""),1, 0)))))</f>
        <v>0</v>
      </c>
      <c r="AP542" s="34">
        <f>IF(ISBLANK(Table2[[#This Row],[Need_DON]]), 2,(IF(Table2[[#This Row],[Need_DON]]="No", 0, (IF(AND(Table2[[#This Row],[Need_DON]]="Yes",  Table2[[#This Row],[DON_pub_date]]=""),1, 0)))))</f>
        <v>0</v>
      </c>
      <c r="AQ542" s="34">
        <f>IF(ISBLANK(Table2[[#This Row],[Pending_question]]), 2,(IF(Table2[[#This Row],[Pending_question]]="Yes", 1, 0)))</f>
        <v>0</v>
      </c>
      <c r="AR542" s="225"/>
    </row>
    <row r="543" spans="1:44" ht="15.75" customHeight="1">
      <c r="A543" s="63">
        <v>45719</v>
      </c>
      <c r="B543" s="29" t="s">
        <v>15</v>
      </c>
      <c r="C543" s="34" t="str" cm="1">
        <f t="array" ref="C54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43" s="27" t="s">
        <v>1741</v>
      </c>
      <c r="E543" s="67" t="s">
        <v>231</v>
      </c>
      <c r="F543" s="29" t="s">
        <v>397</v>
      </c>
      <c r="G543" s="29"/>
      <c r="H543" s="29"/>
      <c r="I543" s="223"/>
      <c r="J543" s="59"/>
      <c r="K543" s="59"/>
      <c r="L543" s="104"/>
      <c r="M543" s="283" t="s">
        <v>19</v>
      </c>
      <c r="N543" s="223"/>
      <c r="O543" s="226"/>
      <c r="P543" s="59" t="s">
        <v>19</v>
      </c>
      <c r="Q543" s="84"/>
      <c r="R543" s="29"/>
      <c r="S543" s="29"/>
      <c r="T543" s="223"/>
      <c r="U543" s="29"/>
      <c r="V543" s="29"/>
      <c r="W543" s="29"/>
      <c r="X543" s="27"/>
      <c r="Y543" s="29" t="s">
        <v>19</v>
      </c>
      <c r="Z543" s="29"/>
      <c r="AA543" s="29"/>
      <c r="AB543" s="29"/>
      <c r="AC543" s="29"/>
      <c r="AD543" s="223"/>
      <c r="AE543" s="29"/>
      <c r="AF543" s="29"/>
      <c r="AG543" s="29"/>
      <c r="AH543" s="27"/>
      <c r="AI543" s="29" t="s">
        <v>30</v>
      </c>
      <c r="AJ543" s="224">
        <v>45719</v>
      </c>
      <c r="AK543" s="85">
        <v>45724</v>
      </c>
      <c r="AL543" s="102"/>
      <c r="AM543" s="41" t="str">
        <f>VLOOKUP(Table2[[#This Row],[country]],Countrycode!A:B,2,FALSE)</f>
        <v>UGA</v>
      </c>
      <c r="AN543" s="34">
        <f>IF(ISBLANK(Table2[[#This Row],[Need_RRA]]), 2,(IF(Table2[[#This Row],[Need_RRA]]="No", 0, (IF(AND(Table2[[#This Row],[Need_RRA]]="Yes",  Table2[[#This Row],[RRA_pub_date]]=""),1, 0)))))</f>
        <v>0</v>
      </c>
      <c r="AO543" s="34">
        <f>IF(ISBLANK(Table2[[#This Row],[Need_EIS]]), 2,(IF(Table2[[#This Row],[Need_EIS]]="No", 0, (IF(AND(Table2[[#This Row],[Need_EIS]]="Yes",  Table2[[#This Row],[EIS_pub_date]]=""),1, 0)))))</f>
        <v>0</v>
      </c>
      <c r="AP543" s="34">
        <f>IF(ISBLANK(Table2[[#This Row],[Need_DON]]), 2,(IF(Table2[[#This Row],[Need_DON]]="No", 0, (IF(AND(Table2[[#This Row],[Need_DON]]="Yes",  Table2[[#This Row],[DON_pub_date]]=""),1, 0)))))</f>
        <v>0</v>
      </c>
      <c r="AQ543" s="34">
        <f>IF(ISBLANK(Table2[[#This Row],[Pending_question]]), 2,(IF(Table2[[#This Row],[Pending_question]]="Yes", 1, 0)))</f>
        <v>0</v>
      </c>
      <c r="AR543" s="225"/>
    </row>
    <row r="544" spans="1:44" ht="15.75" customHeight="1">
      <c r="A544" s="63">
        <v>45720</v>
      </c>
      <c r="B544" s="29" t="s">
        <v>15</v>
      </c>
      <c r="C544" s="34" t="str" cm="1">
        <f t="array" ref="C54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44" s="34" t="s">
        <v>1233</v>
      </c>
      <c r="E544" s="286" t="s">
        <v>99</v>
      </c>
      <c r="F544" s="29" t="s">
        <v>159</v>
      </c>
      <c r="G544" s="29" t="s">
        <v>34</v>
      </c>
      <c r="H544" s="59">
        <v>45720</v>
      </c>
      <c r="I544" s="223"/>
      <c r="J544" s="59">
        <v>45714</v>
      </c>
      <c r="K544" s="63" t="s">
        <v>2041</v>
      </c>
      <c r="L544" s="104" t="s">
        <v>2042</v>
      </c>
      <c r="M544" s="283" t="s">
        <v>19</v>
      </c>
      <c r="N544" s="223"/>
      <c r="O544" s="226"/>
      <c r="P544" s="59" t="s">
        <v>19</v>
      </c>
      <c r="Q544" s="84"/>
      <c r="R544" s="29"/>
      <c r="S544" s="29"/>
      <c r="T544" s="223"/>
      <c r="U544" s="29"/>
      <c r="V544" s="29"/>
      <c r="W544" s="29"/>
      <c r="X544" s="27"/>
      <c r="Y544" s="29" t="s">
        <v>30</v>
      </c>
      <c r="Z544" s="29" t="s">
        <v>42</v>
      </c>
      <c r="AA544" s="29" t="s">
        <v>22</v>
      </c>
      <c r="AB544" s="29" t="s">
        <v>2043</v>
      </c>
      <c r="AC544" s="59">
        <v>45714</v>
      </c>
      <c r="AD544" s="59">
        <v>45716</v>
      </c>
      <c r="AE544" s="59">
        <v>45716</v>
      </c>
      <c r="AF544" s="59">
        <v>45718</v>
      </c>
      <c r="AG544" s="59">
        <v>45719</v>
      </c>
      <c r="AH544" s="85">
        <v>45719</v>
      </c>
      <c r="AI544" s="29" t="s">
        <v>19</v>
      </c>
      <c r="AJ544" s="224"/>
      <c r="AK544" s="27"/>
      <c r="AL544" s="102"/>
      <c r="AM544" s="41" t="str">
        <f>VLOOKUP(Table2[[#This Row],[country]],Countrycode!A:B,2,FALSE)</f>
        <v>KHM</v>
      </c>
      <c r="AN544" s="34">
        <f>IF(ISBLANK(Table2[[#This Row],[Need_RRA]]), 2,(IF(Table2[[#This Row],[Need_RRA]]="No", 0, (IF(AND(Table2[[#This Row],[Need_RRA]]="Yes",  Table2[[#This Row],[RRA_pub_date]]=""),1, 0)))))</f>
        <v>0</v>
      </c>
      <c r="AO544" s="34">
        <f>IF(ISBLANK(Table2[[#This Row],[Need_EIS]]), 2,(IF(Table2[[#This Row],[Need_EIS]]="No", 0, (IF(AND(Table2[[#This Row],[Need_EIS]]="Yes",  Table2[[#This Row],[EIS_pub_date]]=""),1, 0)))))</f>
        <v>0</v>
      </c>
      <c r="AP544" s="34">
        <f>IF(ISBLANK(Table2[[#This Row],[Need_DON]]), 2,(IF(Table2[[#This Row],[Need_DON]]="No", 0, (IF(AND(Table2[[#This Row],[Need_DON]]="Yes",  Table2[[#This Row],[DON_pub_date]]=""),1, 0)))))</f>
        <v>0</v>
      </c>
      <c r="AQ544" s="34">
        <f>IF(ISBLANK(Table2[[#This Row],[Pending_question]]), 2,(IF(Table2[[#This Row],[Pending_question]]="Yes", 1, 0)))</f>
        <v>0</v>
      </c>
      <c r="AR544" s="225"/>
    </row>
    <row r="545" spans="1:44" ht="15.75" customHeight="1">
      <c r="A545" s="63">
        <v>45720</v>
      </c>
      <c r="B545" s="29" t="s">
        <v>15</v>
      </c>
      <c r="C545" s="34" t="str" cm="1">
        <f t="array" ref="C54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45" s="27" t="s">
        <v>1233</v>
      </c>
      <c r="E545" s="67" t="s">
        <v>188</v>
      </c>
      <c r="F545" s="29" t="s">
        <v>117</v>
      </c>
      <c r="G545" s="29" t="s">
        <v>34</v>
      </c>
      <c r="H545" s="59">
        <v>45720</v>
      </c>
      <c r="I545" s="59">
        <v>45742</v>
      </c>
      <c r="J545" s="59">
        <v>45713</v>
      </c>
      <c r="K545" s="59" t="s">
        <v>2044</v>
      </c>
      <c r="L545" s="104" t="s">
        <v>2045</v>
      </c>
      <c r="M545" s="283" t="s">
        <v>19</v>
      </c>
      <c r="N545" s="223"/>
      <c r="O545" s="226"/>
      <c r="P545" s="59" t="s">
        <v>19</v>
      </c>
      <c r="Q545" s="84"/>
      <c r="R545" s="29"/>
      <c r="S545" s="29"/>
      <c r="T545" s="223"/>
      <c r="U545" s="29"/>
      <c r="V545" s="29"/>
      <c r="W545" s="29"/>
      <c r="X545" s="27"/>
      <c r="Y545" s="29" t="s">
        <v>30</v>
      </c>
      <c r="Z545" s="29" t="s">
        <v>42</v>
      </c>
      <c r="AA545" s="29" t="s">
        <v>22</v>
      </c>
      <c r="AB545" s="287" t="s">
        <v>2046</v>
      </c>
      <c r="AC545" s="59">
        <v>45720</v>
      </c>
      <c r="AD545" s="223">
        <v>45734</v>
      </c>
      <c r="AE545" s="59">
        <v>45734</v>
      </c>
      <c r="AF545" s="29"/>
      <c r="AG545" s="29"/>
      <c r="AH545" s="85">
        <v>45741</v>
      </c>
      <c r="AI545" s="29" t="s">
        <v>19</v>
      </c>
      <c r="AJ545" s="224"/>
      <c r="AK545" s="226"/>
      <c r="AL545" s="102"/>
      <c r="AM545" s="41" t="str">
        <f>VLOOKUP(Table2[[#This Row],[country]],Countrycode!A:B,2,FALSE)</f>
        <v>BGD</v>
      </c>
      <c r="AN545" s="34">
        <f>IF(ISBLANK(Table2[[#This Row],[Need_RRA]]), 2,(IF(Table2[[#This Row],[Need_RRA]]="No", 0, (IF(AND(Table2[[#This Row],[Need_RRA]]="Yes",  Table2[[#This Row],[RRA_pub_date]]=""),1, 0)))))</f>
        <v>0</v>
      </c>
      <c r="AO545" s="34">
        <f>IF(ISBLANK(Table2[[#This Row],[Need_EIS]]), 2,(IF(Table2[[#This Row],[Need_EIS]]="No", 0, (IF(AND(Table2[[#This Row],[Need_EIS]]="Yes",  Table2[[#This Row],[EIS_pub_date]]=""),1, 0)))))</f>
        <v>0</v>
      </c>
      <c r="AP545" s="34">
        <f>IF(ISBLANK(Table2[[#This Row],[Need_DON]]), 2,(IF(Table2[[#This Row],[Need_DON]]="No", 0, (IF(AND(Table2[[#This Row],[Need_DON]]="Yes",  Table2[[#This Row],[DON_pub_date]]=""),1, 0)))))</f>
        <v>0</v>
      </c>
      <c r="AQ545" s="34">
        <f>IF(ISBLANK(Table2[[#This Row],[Pending_question]]), 2,(IF(Table2[[#This Row],[Pending_question]]="Yes", 1, 0)))</f>
        <v>0</v>
      </c>
      <c r="AR545" s="225"/>
    </row>
    <row r="546" spans="1:44" ht="15.75" customHeight="1">
      <c r="A546" s="63">
        <v>45723</v>
      </c>
      <c r="B546" s="29" t="s">
        <v>15</v>
      </c>
      <c r="C546" s="34" t="str" cm="1">
        <f t="array" ref="C54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46" s="27" t="s">
        <v>1880</v>
      </c>
      <c r="E546" s="67" t="s">
        <v>667</v>
      </c>
      <c r="F546" s="29" t="s">
        <v>143</v>
      </c>
      <c r="G546" s="29" t="s">
        <v>34</v>
      </c>
      <c r="H546" s="59">
        <v>45723</v>
      </c>
      <c r="I546" s="223"/>
      <c r="J546" s="59">
        <v>45723</v>
      </c>
      <c r="K546" s="59" t="s">
        <v>2047</v>
      </c>
      <c r="L546" s="64" t="s">
        <v>2048</v>
      </c>
      <c r="M546" s="283" t="s">
        <v>19</v>
      </c>
      <c r="N546" s="223"/>
      <c r="O546" s="226"/>
      <c r="P546" s="59" t="s">
        <v>19</v>
      </c>
      <c r="Q546" s="84"/>
      <c r="R546" s="29"/>
      <c r="S546" s="29"/>
      <c r="T546" s="223"/>
      <c r="U546" s="29"/>
      <c r="V546" s="29"/>
      <c r="W546" s="29"/>
      <c r="X546" s="27"/>
      <c r="Y546" s="29" t="s">
        <v>30</v>
      </c>
      <c r="Z546" s="29" t="s">
        <v>42</v>
      </c>
      <c r="AA546" s="29" t="s">
        <v>22</v>
      </c>
      <c r="AB546" s="29" t="s">
        <v>2049</v>
      </c>
      <c r="AC546" s="59">
        <v>45723</v>
      </c>
      <c r="AD546" s="59">
        <v>45723</v>
      </c>
      <c r="AE546" s="59">
        <v>45723</v>
      </c>
      <c r="AF546" s="59">
        <v>45723</v>
      </c>
      <c r="AG546" s="59">
        <v>45725</v>
      </c>
      <c r="AH546" s="85">
        <v>45726</v>
      </c>
      <c r="AI546" s="29" t="s">
        <v>19</v>
      </c>
      <c r="AJ546" s="224"/>
      <c r="AK546" s="27"/>
      <c r="AL546" s="102"/>
      <c r="AM546" s="41" t="str">
        <f>VLOOKUP(Table2[[#This Row],[country]],Countrycode!A:B,2,FALSE)</f>
        <v>BRA</v>
      </c>
      <c r="AN546" s="34">
        <f>IF(ISBLANK(Table2[[#This Row],[Need_RRA]]), 2,(IF(Table2[[#This Row],[Need_RRA]]="No", 0, (IF(AND(Table2[[#This Row],[Need_RRA]]="Yes",  Table2[[#This Row],[RRA_pub_date]]=""),1, 0)))))</f>
        <v>0</v>
      </c>
      <c r="AO546" s="34">
        <f>IF(ISBLANK(Table2[[#This Row],[Need_EIS]]), 2,(IF(Table2[[#This Row],[Need_EIS]]="No", 0, (IF(AND(Table2[[#This Row],[Need_EIS]]="Yes",  Table2[[#This Row],[EIS_pub_date]]=""),1, 0)))))</f>
        <v>0</v>
      </c>
      <c r="AP546" s="34">
        <f>IF(ISBLANK(Table2[[#This Row],[Need_DON]]), 2,(IF(Table2[[#This Row],[Need_DON]]="No", 0, (IF(AND(Table2[[#This Row],[Need_DON]]="Yes",  Table2[[#This Row],[DON_pub_date]]=""),1, 0)))))</f>
        <v>0</v>
      </c>
      <c r="AQ546" s="34">
        <f>IF(ISBLANK(Table2[[#This Row],[Pending_question]]), 2,(IF(Table2[[#This Row],[Pending_question]]="Yes", 1, 0)))</f>
        <v>0</v>
      </c>
      <c r="AR546" s="225"/>
    </row>
    <row r="547" spans="1:44" ht="15.75" customHeight="1">
      <c r="A547" s="63">
        <v>45726</v>
      </c>
      <c r="B547" s="29" t="s">
        <v>15</v>
      </c>
      <c r="C547" s="34" t="str" cm="1">
        <f t="array" ref="C54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47" s="27" t="s">
        <v>1741</v>
      </c>
      <c r="E547" s="67" t="s">
        <v>174</v>
      </c>
      <c r="F547" s="29" t="s">
        <v>401</v>
      </c>
      <c r="G547" s="29"/>
      <c r="H547" s="29"/>
      <c r="I547" s="223"/>
      <c r="J547" s="59"/>
      <c r="K547" s="59"/>
      <c r="L547" s="104"/>
      <c r="M547" s="283" t="s">
        <v>19</v>
      </c>
      <c r="N547" s="223"/>
      <c r="O547" s="226"/>
      <c r="P547" s="59" t="s">
        <v>19</v>
      </c>
      <c r="Q547" s="84"/>
      <c r="R547" s="29"/>
      <c r="S547" s="29"/>
      <c r="T547" s="223"/>
      <c r="U547" s="29"/>
      <c r="V547" s="29"/>
      <c r="W547" s="29"/>
      <c r="X547" s="27"/>
      <c r="Y547" s="29" t="s">
        <v>19</v>
      </c>
      <c r="Z547" s="29"/>
      <c r="AA547" s="29"/>
      <c r="AB547" s="29"/>
      <c r="AC547" s="29"/>
      <c r="AD547" s="223"/>
      <c r="AE547" s="29"/>
      <c r="AF547" s="29"/>
      <c r="AG547" s="29"/>
      <c r="AH547" s="27"/>
      <c r="AI547" s="29" t="s">
        <v>30</v>
      </c>
      <c r="AJ547" s="224">
        <v>45726</v>
      </c>
      <c r="AK547" s="85">
        <v>45729</v>
      </c>
      <c r="AL547" s="102"/>
      <c r="AM547" s="41" t="str">
        <f>VLOOKUP(Table2[[#This Row],[country]],Countrycode!A:B,2,FALSE)</f>
        <v>TZA</v>
      </c>
      <c r="AN547" s="34">
        <f>IF(ISBLANK(Table2[[#This Row],[Need_RRA]]), 2,(IF(Table2[[#This Row],[Need_RRA]]="No", 0, (IF(AND(Table2[[#This Row],[Need_RRA]]="Yes",  Table2[[#This Row],[RRA_pub_date]]=""),1, 0)))))</f>
        <v>0</v>
      </c>
      <c r="AO547" s="34">
        <f>IF(ISBLANK(Table2[[#This Row],[Need_EIS]]), 2,(IF(Table2[[#This Row],[Need_EIS]]="No", 0, (IF(AND(Table2[[#This Row],[Need_EIS]]="Yes",  Table2[[#This Row],[EIS_pub_date]]=""),1, 0)))))</f>
        <v>0</v>
      </c>
      <c r="AP547" s="34">
        <f>IF(ISBLANK(Table2[[#This Row],[Need_DON]]), 2,(IF(Table2[[#This Row],[Need_DON]]="No", 0, (IF(AND(Table2[[#This Row],[Need_DON]]="Yes",  Table2[[#This Row],[DON_pub_date]]=""),1, 0)))))</f>
        <v>0</v>
      </c>
      <c r="AQ547" s="34">
        <f>IF(ISBLANK(Table2[[#This Row],[Pending_question]]), 2,(IF(Table2[[#This Row],[Pending_question]]="Yes", 1, 0)))</f>
        <v>0</v>
      </c>
      <c r="AR547" s="225"/>
    </row>
    <row r="548" spans="1:44" ht="15.75" customHeight="1">
      <c r="A548" s="63">
        <v>45728</v>
      </c>
      <c r="B548" s="29" t="s">
        <v>15</v>
      </c>
      <c r="C548" s="34" t="str" cm="1">
        <f t="array" ref="C54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48" s="27" t="s">
        <v>2019</v>
      </c>
      <c r="E548" s="67" t="s">
        <v>176</v>
      </c>
      <c r="F548" s="29" t="s">
        <v>403</v>
      </c>
      <c r="G548" s="29" t="s">
        <v>34</v>
      </c>
      <c r="H548" s="29"/>
      <c r="I548" s="223"/>
      <c r="J548" s="59">
        <v>45728</v>
      </c>
      <c r="K548" s="59" t="s">
        <v>2050</v>
      </c>
      <c r="L548" s="104"/>
      <c r="M548" s="283" t="s">
        <v>19</v>
      </c>
      <c r="N548" s="223"/>
      <c r="O548" s="226"/>
      <c r="P548" s="59" t="s">
        <v>19</v>
      </c>
      <c r="Q548" s="84"/>
      <c r="R548" s="29"/>
      <c r="S548" s="29"/>
      <c r="T548" s="223"/>
      <c r="U548" s="29"/>
      <c r="V548" s="29"/>
      <c r="W548" s="29"/>
      <c r="X548" s="27"/>
      <c r="Y548" s="29" t="s">
        <v>30</v>
      </c>
      <c r="Z548" s="29" t="s">
        <v>42</v>
      </c>
      <c r="AA548" s="29" t="s">
        <v>22</v>
      </c>
      <c r="AB548" s="29"/>
      <c r="AC548" s="59">
        <v>45730</v>
      </c>
      <c r="AD548" s="223">
        <v>45730</v>
      </c>
      <c r="AE548" s="29"/>
      <c r="AF548" s="29"/>
      <c r="AG548" s="29"/>
      <c r="AH548" s="85">
        <v>45735</v>
      </c>
      <c r="AI548" s="29" t="s">
        <v>30</v>
      </c>
      <c r="AJ548" s="224">
        <v>45736</v>
      </c>
      <c r="AK548" s="85">
        <v>45743</v>
      </c>
      <c r="AL548" s="102"/>
      <c r="AM548" s="41" t="str">
        <f>VLOOKUP(Table2[[#This Row],[country]],Countrycode!A:B,2,FALSE)</f>
        <v>USA</v>
      </c>
      <c r="AN548" s="34">
        <f>IF(ISBLANK(Table2[[#This Row],[Need_RRA]]), 2,(IF(Table2[[#This Row],[Need_RRA]]="No", 0, (IF(AND(Table2[[#This Row],[Need_RRA]]="Yes",  Table2[[#This Row],[RRA_pub_date]]=""),1, 0)))))</f>
        <v>0</v>
      </c>
      <c r="AO548" s="34">
        <f>IF(ISBLANK(Table2[[#This Row],[Need_EIS]]), 2,(IF(Table2[[#This Row],[Need_EIS]]="No", 0, (IF(AND(Table2[[#This Row],[Need_EIS]]="Yes",  Table2[[#This Row],[EIS_pub_date]]=""),1, 0)))))</f>
        <v>0</v>
      </c>
      <c r="AP548" s="34">
        <f>IF(ISBLANK(Table2[[#This Row],[Need_DON]]), 2,(IF(Table2[[#This Row],[Need_DON]]="No", 0, (IF(AND(Table2[[#This Row],[Need_DON]]="Yes",  Table2[[#This Row],[DON_pub_date]]=""),1, 0)))))</f>
        <v>0</v>
      </c>
      <c r="AQ548" s="34">
        <f>IF(ISBLANK(Table2[[#This Row],[Pending_question]]), 2,(IF(Table2[[#This Row],[Pending_question]]="Yes", 1, 0)))</f>
        <v>0</v>
      </c>
      <c r="AR548" s="225"/>
    </row>
    <row r="549" spans="1:44" ht="15.75" customHeight="1">
      <c r="A549" s="63">
        <v>45734</v>
      </c>
      <c r="B549" s="29" t="s">
        <v>15</v>
      </c>
      <c r="C549" s="34" t="str" cm="1">
        <f t="array" ref="C54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49" s="27" t="s">
        <v>1244</v>
      </c>
      <c r="E549" s="67" t="s">
        <v>178</v>
      </c>
      <c r="F549" s="29" t="s">
        <v>363</v>
      </c>
      <c r="G549" s="29" t="s">
        <v>34</v>
      </c>
      <c r="H549" s="59">
        <v>45734</v>
      </c>
      <c r="I549" s="223"/>
      <c r="J549" s="59">
        <v>45730</v>
      </c>
      <c r="K549" s="59" t="str" cm="1">
        <f t="array" ref="K549">INDEX(_xlfn.TEXTSPLIT(Table2[[#This Row],[EMS comments]], "="), COLUMNS(_xlfn.TEXTSPLIT(Table2[[#This Row],[EMS comments]], "=")))</f>
        <v>2025-E000112</v>
      </c>
      <c r="L549" s="104" t="s">
        <v>2051</v>
      </c>
      <c r="M549" s="283" t="s">
        <v>19</v>
      </c>
      <c r="N549" s="223"/>
      <c r="O549" s="226"/>
      <c r="P549" s="59" t="s">
        <v>30</v>
      </c>
      <c r="Q549" s="84">
        <v>1</v>
      </c>
      <c r="R549" s="287" t="s">
        <v>2052</v>
      </c>
      <c r="S549" s="59">
        <v>45742</v>
      </c>
      <c r="T549" s="223">
        <v>45743</v>
      </c>
      <c r="U549" s="59">
        <v>45758</v>
      </c>
      <c r="V549" s="29" t="s">
        <v>20</v>
      </c>
      <c r="W549" s="29" t="s">
        <v>32</v>
      </c>
      <c r="X549" s="27" t="s">
        <v>51</v>
      </c>
      <c r="Y549" s="29" t="s">
        <v>30</v>
      </c>
      <c r="Z549" s="29" t="s">
        <v>42</v>
      </c>
      <c r="AA549" s="29" t="s">
        <v>22</v>
      </c>
      <c r="AB549" s="287" t="s">
        <v>2053</v>
      </c>
      <c r="AC549" s="59">
        <v>45735</v>
      </c>
      <c r="AD549" s="59">
        <v>45735</v>
      </c>
      <c r="AE549" s="59">
        <v>45737</v>
      </c>
      <c r="AF549" s="29"/>
      <c r="AG549" s="133">
        <v>45743</v>
      </c>
      <c r="AH549" s="85">
        <v>45744</v>
      </c>
      <c r="AI549" s="29" t="s">
        <v>30</v>
      </c>
      <c r="AJ549" s="224">
        <v>45747</v>
      </c>
      <c r="AK549" s="85">
        <v>45758</v>
      </c>
      <c r="AL549" s="102"/>
      <c r="AM549" s="41" t="str">
        <f>VLOOKUP(Table2[[#This Row],[country]],Countrycode!A:B,2,FALSE)</f>
        <v>SAU</v>
      </c>
      <c r="AN549" s="34">
        <f>IF(ISBLANK(Table2[[#This Row],[Need_RRA]]), 2,(IF(Table2[[#This Row],[Need_RRA]]="No", 0, (IF(AND(Table2[[#This Row],[Need_RRA]]="Yes",  Table2[[#This Row],[RRA_pub_date]]=""),1, 0)))))</f>
        <v>0</v>
      </c>
      <c r="AO549" s="34">
        <f>IF(ISBLANK(Table2[[#This Row],[Need_EIS]]), 2,(IF(Table2[[#This Row],[Need_EIS]]="No", 0, (IF(AND(Table2[[#This Row],[Need_EIS]]="Yes",  Table2[[#This Row],[EIS_pub_date]]=""),1, 0)))))</f>
        <v>0</v>
      </c>
      <c r="AP549" s="34">
        <f>IF(ISBLANK(Table2[[#This Row],[Need_DON]]), 2,(IF(Table2[[#This Row],[Need_DON]]="No", 0, (IF(AND(Table2[[#This Row],[Need_DON]]="Yes",  Table2[[#This Row],[DON_pub_date]]=""),1, 0)))))</f>
        <v>0</v>
      </c>
      <c r="AQ549" s="34">
        <f>IF(ISBLANK(Table2[[#This Row],[Pending_question]]), 2,(IF(Table2[[#This Row],[Pending_question]]="Yes", 1, 0)))</f>
        <v>0</v>
      </c>
      <c r="AR549" s="225"/>
    </row>
    <row r="550" spans="1:44" ht="15.75" customHeight="1">
      <c r="A550" s="63">
        <v>45735</v>
      </c>
      <c r="B550" s="29" t="s">
        <v>15</v>
      </c>
      <c r="C550" s="34" t="str" cm="1">
        <f t="array" ref="C55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50" s="27" t="s">
        <v>1244</v>
      </c>
      <c r="E550" s="67" t="s">
        <v>126</v>
      </c>
      <c r="F550" s="29" t="s">
        <v>39</v>
      </c>
      <c r="G550" s="29" t="s">
        <v>90</v>
      </c>
      <c r="H550" s="59">
        <v>45735</v>
      </c>
      <c r="I550" s="223"/>
      <c r="J550" s="59"/>
      <c r="K550" s="59"/>
      <c r="L550" s="104"/>
      <c r="M550" s="283" t="s">
        <v>19</v>
      </c>
      <c r="N550" s="223"/>
      <c r="O550" s="226"/>
      <c r="P550" s="59" t="s">
        <v>19</v>
      </c>
      <c r="Q550" s="84"/>
      <c r="R550" s="29"/>
      <c r="S550" s="29"/>
      <c r="T550" s="223"/>
      <c r="U550" s="29"/>
      <c r="V550" s="29"/>
      <c r="W550" s="29"/>
      <c r="X550" s="27"/>
      <c r="Y550" s="29" t="s">
        <v>30</v>
      </c>
      <c r="Z550" s="29" t="s">
        <v>33</v>
      </c>
      <c r="AA550" s="29" t="s">
        <v>43</v>
      </c>
      <c r="AB550" s="29" t="s">
        <v>2054</v>
      </c>
      <c r="AC550" s="59">
        <v>45735</v>
      </c>
      <c r="AD550" s="59">
        <v>45735</v>
      </c>
      <c r="AE550" s="59">
        <v>45737</v>
      </c>
      <c r="AF550" s="29"/>
      <c r="AG550" s="59">
        <v>45758</v>
      </c>
      <c r="AH550" s="85">
        <v>45761</v>
      </c>
      <c r="AI550" s="29" t="s">
        <v>30</v>
      </c>
      <c r="AJ550" s="224">
        <v>45777</v>
      </c>
      <c r="AK550" s="224">
        <v>45789</v>
      </c>
      <c r="AL550" s="102"/>
      <c r="AM550" s="41" t="str">
        <f>VLOOKUP(Table2[[#This Row],[country]],Countrycode!A:B,2,FALSE)</f>
        <v>MLX</v>
      </c>
      <c r="AN550" s="34">
        <f>IF(ISBLANK(Table2[[#This Row],[Need_RRA]]), 2,(IF(Table2[[#This Row],[Need_RRA]]="No", 0, (IF(AND(Table2[[#This Row],[Need_RRA]]="Yes",  Table2[[#This Row],[RRA_pub_date]]=""),1, 0)))))</f>
        <v>0</v>
      </c>
      <c r="AO550" s="34">
        <f>IF(ISBLANK(Table2[[#This Row],[Need_EIS]]), 2,(IF(Table2[[#This Row],[Need_EIS]]="No", 0, (IF(AND(Table2[[#This Row],[Need_EIS]]="Yes",  Table2[[#This Row],[EIS_pub_date]]=""),1, 0)))))</f>
        <v>0</v>
      </c>
      <c r="AP550" s="34">
        <f>IF(ISBLANK(Table2[[#This Row],[Need_DON]]), 2,(IF(Table2[[#This Row],[Need_DON]]="No", 0, (IF(AND(Table2[[#This Row],[Need_DON]]="Yes",  Table2[[#This Row],[DON_pub_date]]=""),1, 0)))))</f>
        <v>0</v>
      </c>
      <c r="AQ550" s="34">
        <f>IF(ISBLANK(Table2[[#This Row],[Pending_question]]), 2,(IF(Table2[[#This Row],[Pending_question]]="Yes", 1, 0)))</f>
        <v>0</v>
      </c>
      <c r="AR550" s="225"/>
    </row>
    <row r="551" spans="1:44" ht="15.75" customHeight="1">
      <c r="A551" s="63">
        <v>45735</v>
      </c>
      <c r="B551" s="29" t="s">
        <v>15</v>
      </c>
      <c r="C551" s="34" t="str" cm="1">
        <f t="array" ref="C55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51" s="27" t="s">
        <v>2055</v>
      </c>
      <c r="E551" s="67" t="s">
        <v>176</v>
      </c>
      <c r="F551" s="29" t="s">
        <v>39</v>
      </c>
      <c r="G551" s="29" t="s">
        <v>28</v>
      </c>
      <c r="H551" s="59">
        <v>45735</v>
      </c>
      <c r="I551" s="223"/>
      <c r="J551" s="59"/>
      <c r="K551" s="59"/>
      <c r="L551" s="104"/>
      <c r="M551" s="283" t="s">
        <v>19</v>
      </c>
      <c r="N551" s="223"/>
      <c r="O551" s="226"/>
      <c r="P551" s="59" t="s">
        <v>30</v>
      </c>
      <c r="Q551" s="84"/>
      <c r="R551" s="287" t="s">
        <v>2056</v>
      </c>
      <c r="S551" s="59">
        <v>45747</v>
      </c>
      <c r="T551" s="223">
        <v>45748</v>
      </c>
      <c r="U551" s="59">
        <v>45758</v>
      </c>
      <c r="V551" s="29"/>
      <c r="W551" s="29"/>
      <c r="X551" s="27"/>
      <c r="Y551" s="29" t="s">
        <v>19</v>
      </c>
      <c r="Z551" s="29"/>
      <c r="AA551" s="29"/>
      <c r="AB551" s="29"/>
      <c r="AC551" s="29"/>
      <c r="AD551" s="223"/>
      <c r="AE551" s="29"/>
      <c r="AF551" s="29"/>
      <c r="AG551" s="29"/>
      <c r="AH551" s="27"/>
      <c r="AI551" s="29" t="s">
        <v>30</v>
      </c>
      <c r="AJ551" s="224">
        <v>45764</v>
      </c>
      <c r="AK551" s="85">
        <v>45775</v>
      </c>
      <c r="AL551" s="102"/>
      <c r="AM551" s="41" t="str">
        <f>VLOOKUP(Table2[[#This Row],[country]],Countrycode!A:B,2,FALSE)</f>
        <v>MLX</v>
      </c>
      <c r="AN551" s="34">
        <f>IF(ISBLANK(Table2[[#This Row],[Need_RRA]]), 2,(IF(Table2[[#This Row],[Need_RRA]]="No", 0, (IF(AND(Table2[[#This Row],[Need_RRA]]="Yes",  Table2[[#This Row],[RRA_pub_date]]=""),1, 0)))))</f>
        <v>0</v>
      </c>
      <c r="AO551" s="34">
        <f>IF(ISBLANK(Table2[[#This Row],[Need_EIS]]), 2,(IF(Table2[[#This Row],[Need_EIS]]="No", 0, (IF(AND(Table2[[#This Row],[Need_EIS]]="Yes",  Table2[[#This Row],[EIS_pub_date]]=""),1, 0)))))</f>
        <v>0</v>
      </c>
      <c r="AP551" s="34">
        <f>IF(ISBLANK(Table2[[#This Row],[Need_DON]]), 2,(IF(Table2[[#This Row],[Need_DON]]="No", 0, (IF(AND(Table2[[#This Row],[Need_DON]]="Yes",  Table2[[#This Row],[DON_pub_date]]=""),1, 0)))))</f>
        <v>0</v>
      </c>
      <c r="AQ551" s="34">
        <f>IF(ISBLANK(Table2[[#This Row],[Pending_question]]), 2,(IF(Table2[[#This Row],[Pending_question]]="Yes", 1, 0)))</f>
        <v>0</v>
      </c>
      <c r="AR551" s="225"/>
    </row>
    <row r="552" spans="1:44" ht="15.75" customHeight="1">
      <c r="A552" s="63">
        <v>45739</v>
      </c>
      <c r="B552" s="29" t="s">
        <v>15</v>
      </c>
      <c r="C552" s="34" t="str" cm="1">
        <f t="array" ref="C55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52" s="27" t="s">
        <v>2019</v>
      </c>
      <c r="E552" s="67" t="s">
        <v>176</v>
      </c>
      <c r="F552" s="29" t="s">
        <v>290</v>
      </c>
      <c r="G552" s="29" t="s">
        <v>56</v>
      </c>
      <c r="H552" s="29"/>
      <c r="I552" s="223"/>
      <c r="J552" s="59"/>
      <c r="K552" s="59"/>
      <c r="L552" s="104"/>
      <c r="M552" s="283" t="s">
        <v>19</v>
      </c>
      <c r="N552" s="223"/>
      <c r="O552" s="226"/>
      <c r="P552" s="59" t="s">
        <v>19</v>
      </c>
      <c r="Q552" s="84">
        <v>1</v>
      </c>
      <c r="R552" s="29" t="s">
        <v>2057</v>
      </c>
      <c r="S552" s="29"/>
      <c r="T552" s="223"/>
      <c r="U552" s="29"/>
      <c r="V552" s="29"/>
      <c r="W552" s="29"/>
      <c r="X552" s="27"/>
      <c r="Y552" s="29" t="s">
        <v>19</v>
      </c>
      <c r="Z552" s="29"/>
      <c r="AA552" s="29"/>
      <c r="AB552" s="29"/>
      <c r="AC552" s="29"/>
      <c r="AD552" s="223"/>
      <c r="AE552" s="29"/>
      <c r="AF552" s="29"/>
      <c r="AG552" s="29"/>
      <c r="AH552" s="27"/>
      <c r="AI552" s="29" t="s">
        <v>19</v>
      </c>
      <c r="AJ552" s="224"/>
      <c r="AK552" s="27"/>
      <c r="AL552" s="102"/>
      <c r="AM552" s="41" t="str">
        <f>VLOOKUP(Table2[[#This Row],[country]],Countrycode!A:B,2,FALSE)</f>
        <v>KGZ</v>
      </c>
      <c r="AN552" s="34">
        <f>IF(ISBLANK(Table2[[#This Row],[Need_RRA]]), 2,(IF(Table2[[#This Row],[Need_RRA]]="No", 0, (IF(AND(Table2[[#This Row],[Need_RRA]]="Yes",  Table2[[#This Row],[RRA_pub_date]]=""),1, 0)))))</f>
        <v>0</v>
      </c>
      <c r="AO552" s="34">
        <f>IF(ISBLANK(Table2[[#This Row],[Need_EIS]]), 2,(IF(Table2[[#This Row],[Need_EIS]]="No", 0, (IF(AND(Table2[[#This Row],[Need_EIS]]="Yes",  Table2[[#This Row],[EIS_pub_date]]=""),1, 0)))))</f>
        <v>0</v>
      </c>
      <c r="AP552" s="34">
        <f>IF(ISBLANK(Table2[[#This Row],[Need_DON]]), 2,(IF(Table2[[#This Row],[Need_DON]]="No", 0, (IF(AND(Table2[[#This Row],[Need_DON]]="Yes",  Table2[[#This Row],[DON_pub_date]]=""),1, 0)))))</f>
        <v>0</v>
      </c>
      <c r="AQ552" s="34">
        <f>IF(ISBLANK(Table2[[#This Row],[Pending_question]]), 2,(IF(Table2[[#This Row],[Pending_question]]="Yes", 1, 0)))</f>
        <v>0</v>
      </c>
      <c r="AR552" s="225"/>
    </row>
    <row r="553" spans="1:44" ht="15.75" customHeight="1">
      <c r="A553" s="63">
        <v>45740</v>
      </c>
      <c r="B553" s="29" t="s">
        <v>15</v>
      </c>
      <c r="C553" s="34" t="str" cm="1">
        <f t="array" ref="C55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53" s="27" t="s">
        <v>1020</v>
      </c>
      <c r="E553" s="70" t="s">
        <v>99</v>
      </c>
      <c r="F553" s="54" t="s">
        <v>159</v>
      </c>
      <c r="G553" s="29" t="s">
        <v>34</v>
      </c>
      <c r="H553" s="55">
        <v>45740</v>
      </c>
      <c r="I553" s="223"/>
      <c r="J553" s="59">
        <v>45741</v>
      </c>
      <c r="K553" s="59" t="s">
        <v>2058</v>
      </c>
      <c r="L553" s="351" t="s">
        <v>2059</v>
      </c>
      <c r="M553" s="213" t="s">
        <v>19</v>
      </c>
      <c r="N553" s="214"/>
      <c r="O553" s="215"/>
      <c r="P553" s="55" t="s">
        <v>19</v>
      </c>
      <c r="Q553" s="84"/>
      <c r="R553" s="54"/>
      <c r="S553" s="29"/>
      <c r="T553" s="223"/>
      <c r="U553" s="29"/>
      <c r="V553" s="29"/>
      <c r="W553" s="29"/>
      <c r="X553" s="27"/>
      <c r="Y553" s="54" t="s">
        <v>30</v>
      </c>
      <c r="Z553" s="29" t="s">
        <v>42</v>
      </c>
      <c r="AA553" s="29" t="s">
        <v>22</v>
      </c>
      <c r="AB553" s="54" t="s">
        <v>2060</v>
      </c>
      <c r="AC553" s="59">
        <v>45740</v>
      </c>
      <c r="AD553" s="223">
        <v>45743</v>
      </c>
      <c r="AE553" s="59">
        <v>45743</v>
      </c>
      <c r="AF553" s="59">
        <v>45744</v>
      </c>
      <c r="AG553" s="59">
        <v>45748</v>
      </c>
      <c r="AH553" s="85">
        <v>45748</v>
      </c>
      <c r="AI553" s="54" t="s">
        <v>19</v>
      </c>
      <c r="AJ553" s="224"/>
      <c r="AK553" s="27"/>
      <c r="AL553" s="102"/>
      <c r="AM553" s="41" t="str">
        <f>VLOOKUP(Table2[[#This Row],[country]],Countrycode!A:B,2,FALSE)</f>
        <v>KHM</v>
      </c>
      <c r="AN553" s="34">
        <f>IF(ISBLANK(Table2[[#This Row],[Need_RRA]]), 2,(IF(Table2[[#This Row],[Need_RRA]]="No", 0, (IF(AND(Table2[[#This Row],[Need_RRA]]="Yes",  Table2[[#This Row],[RRA_pub_date]]=""),1, 0)))))</f>
        <v>0</v>
      </c>
      <c r="AO553" s="34">
        <f>IF(ISBLANK(Table2[[#This Row],[Need_EIS]]), 2,(IF(Table2[[#This Row],[Need_EIS]]="No", 0, (IF(AND(Table2[[#This Row],[Need_EIS]]="Yes",  Table2[[#This Row],[EIS_pub_date]]=""),1, 0)))))</f>
        <v>0</v>
      </c>
      <c r="AP553" s="34">
        <f>IF(ISBLANK(Table2[[#This Row],[Need_DON]]), 2,(IF(Table2[[#This Row],[Need_DON]]="No", 0, (IF(AND(Table2[[#This Row],[Need_DON]]="Yes",  Table2[[#This Row],[DON_pub_date]]=""),1, 0)))))</f>
        <v>0</v>
      </c>
      <c r="AQ553" s="34">
        <f>IF(ISBLANK(Table2[[#This Row],[Pending_question]]), 2,(IF(Table2[[#This Row],[Pending_question]]="Yes", 1, 0)))</f>
        <v>0</v>
      </c>
      <c r="AR553" s="225"/>
    </row>
    <row r="554" spans="1:44" ht="15.75" customHeight="1">
      <c r="A554" s="60">
        <v>45743</v>
      </c>
      <c r="B554" s="29" t="s">
        <v>15</v>
      </c>
      <c r="C554" s="34" t="str" cm="1">
        <f t="array" ref="C55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54" s="27" t="s">
        <v>2061</v>
      </c>
      <c r="E554" s="67" t="s">
        <v>128</v>
      </c>
      <c r="F554" s="29" t="s">
        <v>72</v>
      </c>
      <c r="G554" s="29" t="s">
        <v>34</v>
      </c>
      <c r="H554" s="29"/>
      <c r="I554" s="223"/>
      <c r="J554" s="59"/>
      <c r="K554" s="59"/>
      <c r="L554" s="104"/>
      <c r="M554" s="283" t="s">
        <v>19</v>
      </c>
      <c r="N554" s="223"/>
      <c r="O554" s="226"/>
      <c r="P554" s="59" t="s">
        <v>19</v>
      </c>
      <c r="Q554" s="84"/>
      <c r="R554" s="29"/>
      <c r="S554" s="29"/>
      <c r="T554" s="223"/>
      <c r="U554" s="29"/>
      <c r="V554" s="29"/>
      <c r="W554" s="29"/>
      <c r="X554" s="27"/>
      <c r="Y554" s="29" t="s">
        <v>19</v>
      </c>
      <c r="Z554" s="29"/>
      <c r="AA554" s="29"/>
      <c r="AB554" s="29"/>
      <c r="AC554" s="29"/>
      <c r="AD554" s="223"/>
      <c r="AE554" s="29"/>
      <c r="AF554" s="29"/>
      <c r="AG554" s="29"/>
      <c r="AH554" s="27"/>
      <c r="AI554" s="29" t="s">
        <v>30</v>
      </c>
      <c r="AJ554" s="224">
        <v>45740</v>
      </c>
      <c r="AK554" s="85">
        <v>45744</v>
      </c>
      <c r="AL554" s="102"/>
      <c r="AM554" s="41" t="str">
        <f>VLOOKUP(Table2[[#This Row],[country]],Countrycode!A:B,2,FALSE)</f>
        <v>AGO</v>
      </c>
      <c r="AN554" s="34">
        <f>IF(ISBLANK(Table2[[#This Row],[Need_RRA]]), 2,(IF(Table2[[#This Row],[Need_RRA]]="No", 0, (IF(AND(Table2[[#This Row],[Need_RRA]]="Yes",  Table2[[#This Row],[RRA_pub_date]]=""),1, 0)))))</f>
        <v>0</v>
      </c>
      <c r="AO554" s="34">
        <f>IF(ISBLANK(Table2[[#This Row],[Need_EIS]]), 2,(IF(Table2[[#This Row],[Need_EIS]]="No", 0, (IF(AND(Table2[[#This Row],[Need_EIS]]="Yes",  Table2[[#This Row],[EIS_pub_date]]=""),1, 0)))))</f>
        <v>0</v>
      </c>
      <c r="AP554" s="34">
        <f>IF(ISBLANK(Table2[[#This Row],[Need_DON]]), 2,(IF(Table2[[#This Row],[Need_DON]]="No", 0, (IF(AND(Table2[[#This Row],[Need_DON]]="Yes",  Table2[[#This Row],[DON_pub_date]]=""),1, 0)))))</f>
        <v>0</v>
      </c>
      <c r="AQ554" s="34">
        <f>IF(ISBLANK(Table2[[#This Row],[Pending_question]]), 2,(IF(Table2[[#This Row],[Pending_question]]="Yes", 1, 0)))</f>
        <v>0</v>
      </c>
      <c r="AR554" s="225"/>
    </row>
    <row r="555" spans="1:44" ht="15.75" customHeight="1">
      <c r="A555" s="60">
        <v>45750</v>
      </c>
      <c r="B555" s="29" t="s">
        <v>15</v>
      </c>
      <c r="C555" s="34" t="str" cm="1">
        <f t="array" ref="C55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55" s="27" t="s">
        <v>1880</v>
      </c>
      <c r="E555" s="67" t="s">
        <v>182</v>
      </c>
      <c r="F555" s="29" t="s">
        <v>400</v>
      </c>
      <c r="G555" s="29" t="s">
        <v>34</v>
      </c>
      <c r="H555" s="59">
        <v>45750</v>
      </c>
      <c r="I555" s="223"/>
      <c r="J555" s="59">
        <v>45741</v>
      </c>
      <c r="K555" s="250" t="str" cm="1">
        <f t="array" ref="K555">INDEX(_xlfn.TEXTSPLIT(Table2[[#This Row],[EMS comments]], "="), COLUMNS(_xlfn.TEXTSPLIT(Table2[[#This Row],[EMS comments]], "=")))</f>
        <v>2024-E000456</v>
      </c>
      <c r="L555" s="104" t="s">
        <v>1899</v>
      </c>
      <c r="M555" s="283" t="s">
        <v>19</v>
      </c>
      <c r="N555" s="223"/>
      <c r="O555" s="226"/>
      <c r="P555" s="59" t="s">
        <v>19</v>
      </c>
      <c r="Q555" s="84"/>
      <c r="R555" s="29"/>
      <c r="S555" s="29"/>
      <c r="T555" s="223"/>
      <c r="U555" s="29"/>
      <c r="V555" s="29"/>
      <c r="W555" s="29"/>
      <c r="X555" s="27"/>
      <c r="Y555" s="29" t="s">
        <v>30</v>
      </c>
      <c r="Z555" s="29" t="s">
        <v>42</v>
      </c>
      <c r="AA555" s="29" t="s">
        <v>22</v>
      </c>
      <c r="AB555" s="29" t="s">
        <v>2062</v>
      </c>
      <c r="AC555" s="59">
        <v>45749</v>
      </c>
      <c r="AD555" s="223">
        <v>45750</v>
      </c>
      <c r="AE555" s="59">
        <v>45751</v>
      </c>
      <c r="AF555" s="59">
        <v>45751</v>
      </c>
      <c r="AG555" s="59">
        <v>45754</v>
      </c>
      <c r="AH555" s="85">
        <v>45754</v>
      </c>
      <c r="AI555" s="29" t="s">
        <v>19</v>
      </c>
      <c r="AJ555" s="224"/>
      <c r="AK555" s="27"/>
      <c r="AL555" s="102"/>
      <c r="AM555" s="41" t="str">
        <f>VLOOKUP(Table2[[#This Row],[country]],Countrycode!A:B,2,FALSE)</f>
        <v>GBR</v>
      </c>
      <c r="AN555" s="34">
        <f>IF(ISBLANK(Table2[[#This Row],[Need_RRA]]), 2,(IF(Table2[[#This Row],[Need_RRA]]="No", 0, (IF(AND(Table2[[#This Row],[Need_RRA]]="Yes",  Table2[[#This Row],[RRA_pub_date]]=""),1, 0)))))</f>
        <v>0</v>
      </c>
      <c r="AO555" s="34">
        <f>IF(ISBLANK(Table2[[#This Row],[Need_EIS]]), 2,(IF(Table2[[#This Row],[Need_EIS]]="No", 0, (IF(AND(Table2[[#This Row],[Need_EIS]]="Yes",  Table2[[#This Row],[EIS_pub_date]]=""),1, 0)))))</f>
        <v>0</v>
      </c>
      <c r="AP555" s="34">
        <f>IF(ISBLANK(Table2[[#This Row],[Need_DON]]), 2,(IF(Table2[[#This Row],[Need_DON]]="No", 0, (IF(AND(Table2[[#This Row],[Need_DON]]="Yes",  Table2[[#This Row],[DON_pub_date]]=""),1, 0)))))</f>
        <v>0</v>
      </c>
      <c r="AQ555" s="34">
        <f>IF(ISBLANK(Table2[[#This Row],[Pending_question]]), 2,(IF(Table2[[#This Row],[Pending_question]]="Yes", 1, 0)))</f>
        <v>0</v>
      </c>
      <c r="AR555" s="225"/>
    </row>
    <row r="556" spans="1:44" ht="15.75" customHeight="1">
      <c r="A556" s="60">
        <v>45751</v>
      </c>
      <c r="B556" s="29" t="s">
        <v>15</v>
      </c>
      <c r="C556" s="34" t="str" cm="1">
        <f t="array" ref="C55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56" s="27" t="s">
        <v>1020</v>
      </c>
      <c r="E556" s="70" t="s">
        <v>99</v>
      </c>
      <c r="F556" s="54" t="s">
        <v>311</v>
      </c>
      <c r="G556" s="29" t="s">
        <v>34</v>
      </c>
      <c r="H556" s="55">
        <v>45751</v>
      </c>
      <c r="I556" s="223"/>
      <c r="J556" s="59">
        <v>45749</v>
      </c>
      <c r="K556" s="438" t="str" cm="1">
        <f t="array" ref="K556">INDEX(_xlfn.TEXTSPLIT(Table2[[#This Row],[EMS comments]], "="), COLUMNS(_xlfn.TEXTSPLIT(Table2[[#This Row],[EMS comments]], "=")))</f>
        <v>2025-E000145</v>
      </c>
      <c r="L556" s="104" t="s">
        <v>2063</v>
      </c>
      <c r="M556" s="213" t="s">
        <v>19</v>
      </c>
      <c r="N556" s="214"/>
      <c r="O556" s="215"/>
      <c r="P556" s="55" t="s">
        <v>19</v>
      </c>
      <c r="Q556" s="84"/>
      <c r="R556" s="54"/>
      <c r="S556" s="29"/>
      <c r="T556" s="223"/>
      <c r="U556" s="29"/>
      <c r="V556" s="29"/>
      <c r="W556" s="29"/>
      <c r="X556" s="27"/>
      <c r="Y556" s="54" t="s">
        <v>30</v>
      </c>
      <c r="Z556" s="29" t="s">
        <v>42</v>
      </c>
      <c r="AA556" s="29" t="s">
        <v>22</v>
      </c>
      <c r="AB556" s="54" t="s">
        <v>2064</v>
      </c>
      <c r="AC556" s="59">
        <v>45750</v>
      </c>
      <c r="AD556" s="223">
        <v>45751</v>
      </c>
      <c r="AE556" s="59">
        <v>45751</v>
      </c>
      <c r="AF556" s="59">
        <v>45751</v>
      </c>
      <c r="AG556" s="59">
        <v>45755</v>
      </c>
      <c r="AH556" s="85">
        <v>45761</v>
      </c>
      <c r="AI556" s="54" t="s">
        <v>30</v>
      </c>
      <c r="AJ556" s="224">
        <v>45757</v>
      </c>
      <c r="AK556" s="85">
        <v>45764</v>
      </c>
      <c r="AL556" s="102"/>
      <c r="AM556" s="41" t="str">
        <f>VLOOKUP(Table2[[#This Row],[country]],Countrycode!A:B,2,FALSE)</f>
        <v>MEX</v>
      </c>
      <c r="AN556" s="34">
        <f>IF(ISBLANK(Table2[[#This Row],[Need_RRA]]), 2,(IF(Table2[[#This Row],[Need_RRA]]="No", 0, (IF(AND(Table2[[#This Row],[Need_RRA]]="Yes",  Table2[[#This Row],[RRA_pub_date]]=""),1, 0)))))</f>
        <v>0</v>
      </c>
      <c r="AO556" s="34">
        <f>IF(ISBLANK(Table2[[#This Row],[Need_EIS]]), 2,(IF(Table2[[#This Row],[Need_EIS]]="No", 0, (IF(AND(Table2[[#This Row],[Need_EIS]]="Yes",  Table2[[#This Row],[EIS_pub_date]]=""),1, 0)))))</f>
        <v>0</v>
      </c>
      <c r="AP556" s="34">
        <f>IF(ISBLANK(Table2[[#This Row],[Need_DON]]), 2,(IF(Table2[[#This Row],[Need_DON]]="No", 0, (IF(AND(Table2[[#This Row],[Need_DON]]="Yes",  Table2[[#This Row],[DON_pub_date]]=""),1, 0)))))</f>
        <v>0</v>
      </c>
      <c r="AQ556" s="34">
        <f>IF(ISBLANK(Table2[[#This Row],[Pending_question]]), 2,(IF(Table2[[#This Row],[Pending_question]]="Yes", 1, 0)))</f>
        <v>0</v>
      </c>
      <c r="AR556" s="225"/>
    </row>
    <row r="557" spans="1:44" ht="15.75" customHeight="1">
      <c r="A557" s="60">
        <v>45751</v>
      </c>
      <c r="B557" s="29" t="s">
        <v>15</v>
      </c>
      <c r="C557" s="34" t="str" cm="1">
        <f t="array" ref="C55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57" s="27" t="s">
        <v>1880</v>
      </c>
      <c r="E557" s="67" t="s">
        <v>182</v>
      </c>
      <c r="F557" s="29" t="s">
        <v>173</v>
      </c>
      <c r="G557" s="29" t="s">
        <v>34</v>
      </c>
      <c r="H557" s="59">
        <v>45751</v>
      </c>
      <c r="I557" s="223"/>
      <c r="J557" s="59">
        <v>44823</v>
      </c>
      <c r="K557" s="59" t="str" cm="1">
        <f t="array" ref="K557">INDEX(_xlfn.TEXTSPLIT(Table2[[#This Row],[EMS comments]], "="), COLUMNS(_xlfn.TEXTSPLIT(Table2[[#This Row],[EMS comments]], "=")))</f>
        <v>2022-E000368</v>
      </c>
      <c r="L557" s="104" t="s">
        <v>1955</v>
      </c>
      <c r="M557" s="283" t="s">
        <v>19</v>
      </c>
      <c r="N557" s="223"/>
      <c r="O557" s="226"/>
      <c r="P557" s="59" t="s">
        <v>19</v>
      </c>
      <c r="Q557" s="84"/>
      <c r="R557" s="29"/>
      <c r="S557" s="29"/>
      <c r="T557" s="223"/>
      <c r="U557" s="29"/>
      <c r="V557" s="29"/>
      <c r="W557" s="29"/>
      <c r="X557" s="27"/>
      <c r="Y557" s="29" t="s">
        <v>30</v>
      </c>
      <c r="Z557" s="29" t="s">
        <v>42</v>
      </c>
      <c r="AA557" s="29" t="s">
        <v>43</v>
      </c>
      <c r="AB557" s="29" t="s">
        <v>2065</v>
      </c>
      <c r="AC557" s="59">
        <v>45751</v>
      </c>
      <c r="AD557" s="223">
        <v>45751</v>
      </c>
      <c r="AE557" s="59">
        <v>45754</v>
      </c>
      <c r="AF557" s="59">
        <v>45755</v>
      </c>
      <c r="AG557" s="59">
        <v>45758</v>
      </c>
      <c r="AH557" s="85">
        <v>45761</v>
      </c>
      <c r="AI557" s="29" t="s">
        <v>19</v>
      </c>
      <c r="AJ557" s="224"/>
      <c r="AK557" s="27"/>
      <c r="AL557" s="102"/>
      <c r="AM557" s="41" t="str">
        <f>VLOOKUP(Table2[[#This Row],[country]],Countrycode!A:B,2,FALSE)</f>
        <v>CHN</v>
      </c>
      <c r="AN557" s="34">
        <f>IF(ISBLANK(Table2[[#This Row],[Need_RRA]]), 2,(IF(Table2[[#This Row],[Need_RRA]]="No", 0, (IF(AND(Table2[[#This Row],[Need_RRA]]="Yes",  Table2[[#This Row],[RRA_pub_date]]=""),1, 0)))))</f>
        <v>0</v>
      </c>
      <c r="AO557" s="34">
        <f>IF(ISBLANK(Table2[[#This Row],[Need_EIS]]), 2,(IF(Table2[[#This Row],[Need_EIS]]="No", 0, (IF(AND(Table2[[#This Row],[Need_EIS]]="Yes",  Table2[[#This Row],[EIS_pub_date]]=""),1, 0)))))</f>
        <v>0</v>
      </c>
      <c r="AP557" s="34">
        <f>IF(ISBLANK(Table2[[#This Row],[Need_DON]]), 2,(IF(Table2[[#This Row],[Need_DON]]="No", 0, (IF(AND(Table2[[#This Row],[Need_DON]]="Yes",  Table2[[#This Row],[DON_pub_date]]=""),1, 0)))))</f>
        <v>0</v>
      </c>
      <c r="AQ557" s="34">
        <f>IF(ISBLANK(Table2[[#This Row],[Pending_question]]), 2,(IF(Table2[[#This Row],[Pending_question]]="Yes", 1, 0)))</f>
        <v>0</v>
      </c>
      <c r="AR557" s="225"/>
    </row>
    <row r="558" spans="1:44" ht="15.75" customHeight="1">
      <c r="A558" s="60">
        <v>45754</v>
      </c>
      <c r="B558" s="29" t="s">
        <v>15</v>
      </c>
      <c r="C558" s="34" t="str" cm="1">
        <f t="array" ref="C55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58" s="27" t="s">
        <v>2066</v>
      </c>
      <c r="E558" s="67" t="s">
        <v>198</v>
      </c>
      <c r="F558" s="29" t="s">
        <v>338</v>
      </c>
      <c r="G558" s="29" t="s">
        <v>34</v>
      </c>
      <c r="H558" s="133">
        <v>45842</v>
      </c>
      <c r="I558" s="223">
        <v>45764</v>
      </c>
      <c r="J558" s="59">
        <v>45754</v>
      </c>
      <c r="K558" s="63" t="s">
        <v>2067</v>
      </c>
      <c r="L558" s="104" t="s">
        <v>2068</v>
      </c>
      <c r="M558" s="283" t="s">
        <v>19</v>
      </c>
      <c r="N558" s="223"/>
      <c r="O558" s="226"/>
      <c r="P558" s="59" t="s">
        <v>19</v>
      </c>
      <c r="Q558" s="84"/>
      <c r="R558" s="29"/>
      <c r="S558" s="29"/>
      <c r="T558" s="223"/>
      <c r="U558" s="29"/>
      <c r="V558" s="29"/>
      <c r="W558" s="29"/>
      <c r="X558" s="27"/>
      <c r="Y558" s="29" t="s">
        <v>30</v>
      </c>
      <c r="Z558" s="29" t="s">
        <v>42</v>
      </c>
      <c r="AA558" s="29" t="s">
        <v>22</v>
      </c>
      <c r="AB558" s="29" t="s">
        <v>2069</v>
      </c>
      <c r="AC558" s="59">
        <v>45754</v>
      </c>
      <c r="AD558" s="223">
        <v>45754</v>
      </c>
      <c r="AE558" s="59">
        <v>45756</v>
      </c>
      <c r="AF558" s="59">
        <v>45756</v>
      </c>
      <c r="AG558" s="59">
        <v>45756</v>
      </c>
      <c r="AH558" s="85">
        <v>45761</v>
      </c>
      <c r="AI558" s="29" t="s">
        <v>31</v>
      </c>
      <c r="AJ558" s="224"/>
      <c r="AK558" s="27"/>
      <c r="AL558" s="102"/>
      <c r="AM558" s="41" t="str">
        <f>VLOOKUP(Table2[[#This Row],[country]],Countrycode!A:B,2,FALSE)</f>
        <v>PNG</v>
      </c>
      <c r="AN558" s="34">
        <f>IF(ISBLANK(Table2[[#This Row],[Need_RRA]]), 2,(IF(Table2[[#This Row],[Need_RRA]]="No", 0, (IF(AND(Table2[[#This Row],[Need_RRA]]="Yes",  Table2[[#This Row],[RRA_pub_date]]=""),1, 0)))))</f>
        <v>0</v>
      </c>
      <c r="AO558" s="34">
        <f>IF(ISBLANK(Table2[[#This Row],[Need_EIS]]), 2,(IF(Table2[[#This Row],[Need_EIS]]="No", 0, (IF(AND(Table2[[#This Row],[Need_EIS]]="Yes",  Table2[[#This Row],[EIS_pub_date]]=""),1, 0)))))</f>
        <v>0</v>
      </c>
      <c r="AP558" s="34">
        <f>IF(ISBLANK(Table2[[#This Row],[Need_DON]]), 2,(IF(Table2[[#This Row],[Need_DON]]="No", 0, (IF(AND(Table2[[#This Row],[Need_DON]]="Yes",  Table2[[#This Row],[DON_pub_date]]=""),1, 0)))))</f>
        <v>0</v>
      </c>
      <c r="AQ558" s="34">
        <f>IF(ISBLANK(Table2[[#This Row],[Pending_question]]), 2,(IF(Table2[[#This Row],[Pending_question]]="Yes", 1, 0)))</f>
        <v>0</v>
      </c>
      <c r="AR558" s="225"/>
    </row>
    <row r="559" spans="1:44" ht="15.75" customHeight="1">
      <c r="A559" s="60">
        <v>45755</v>
      </c>
      <c r="B559" s="29" t="s">
        <v>15</v>
      </c>
      <c r="C559" s="34" t="str" cm="1">
        <f t="array" ref="C55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59" s="27" t="s">
        <v>1244</v>
      </c>
      <c r="E559" s="70" t="s">
        <v>126</v>
      </c>
      <c r="F559" s="54" t="s">
        <v>309</v>
      </c>
      <c r="G559" s="29" t="s">
        <v>34</v>
      </c>
      <c r="H559" s="338">
        <v>45733</v>
      </c>
      <c r="I559" s="223"/>
      <c r="J559" s="59">
        <v>45748</v>
      </c>
      <c r="K559" s="327" t="str" cm="1">
        <f t="array" ref="K559">INDEX(_xlfn.TEXTSPLIT(Table2[[#This Row],[EMS comments]], "="), COLUMNS(_xlfn.TEXTSPLIT(Table2[[#This Row],[EMS comments]], "=")))</f>
        <v>2025-E000138</v>
      </c>
      <c r="L559" s="104" t="s">
        <v>2070</v>
      </c>
      <c r="M559" s="213" t="s">
        <v>19</v>
      </c>
      <c r="N559" s="214"/>
      <c r="O559" s="215"/>
      <c r="P559" s="55" t="s">
        <v>30</v>
      </c>
      <c r="Q559" s="84">
        <v>1</v>
      </c>
      <c r="R559" s="54" t="s">
        <v>2071</v>
      </c>
      <c r="S559" s="59">
        <v>45755</v>
      </c>
      <c r="T559" s="223">
        <v>45758</v>
      </c>
      <c r="U559" s="59">
        <v>45765</v>
      </c>
      <c r="V559" s="29" t="s">
        <v>20</v>
      </c>
      <c r="W559" s="29" t="s">
        <v>32</v>
      </c>
      <c r="X559" s="27" t="s">
        <v>51</v>
      </c>
      <c r="Y559" s="54" t="s">
        <v>19</v>
      </c>
      <c r="Z559" s="29" t="s">
        <v>33</v>
      </c>
      <c r="AA559" s="29"/>
      <c r="AB559" s="54"/>
      <c r="AC559" s="29"/>
      <c r="AD559" s="223"/>
      <c r="AE559" s="29"/>
      <c r="AF559" s="29"/>
      <c r="AG559" s="29"/>
      <c r="AH559" s="27"/>
      <c r="AI559" s="54" t="s">
        <v>19</v>
      </c>
      <c r="AJ559" s="224"/>
      <c r="AK559" s="27"/>
      <c r="AL559" s="102"/>
      <c r="AM559" s="41" t="str">
        <f>VLOOKUP(Table2[[#This Row],[country]],Countrycode!A:B,2,FALSE)</f>
        <v>MUS</v>
      </c>
      <c r="AN559" s="34">
        <f>IF(ISBLANK(Table2[[#This Row],[Need_RRA]]), 2,(IF(Table2[[#This Row],[Need_RRA]]="No", 0, (IF(AND(Table2[[#This Row],[Need_RRA]]="Yes",  Table2[[#This Row],[RRA_pub_date]]=""),1, 0)))))</f>
        <v>0</v>
      </c>
      <c r="AO559" s="34">
        <f>IF(ISBLANK(Table2[[#This Row],[Need_EIS]]), 2,(IF(Table2[[#This Row],[Need_EIS]]="No", 0, (IF(AND(Table2[[#This Row],[Need_EIS]]="Yes",  Table2[[#This Row],[EIS_pub_date]]=""),1, 0)))))</f>
        <v>0</v>
      </c>
      <c r="AP559" s="34">
        <f>IF(ISBLANK(Table2[[#This Row],[Need_DON]]), 2,(IF(Table2[[#This Row],[Need_DON]]="No", 0, (IF(AND(Table2[[#This Row],[Need_DON]]="Yes",  Table2[[#This Row],[DON_pub_date]]=""),1, 0)))))</f>
        <v>0</v>
      </c>
      <c r="AQ559" s="34">
        <f>IF(ISBLANK(Table2[[#This Row],[Pending_question]]), 2,(IF(Table2[[#This Row],[Pending_question]]="Yes", 1, 0)))</f>
        <v>0</v>
      </c>
      <c r="AR559" s="225"/>
    </row>
    <row r="560" spans="1:44" ht="15.75" customHeight="1">
      <c r="A560" s="60">
        <v>45756</v>
      </c>
      <c r="B560" s="29" t="s">
        <v>15</v>
      </c>
      <c r="C560" s="16" t="str" cm="1">
        <f t="array" ref="C56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60" s="27" t="s">
        <v>1020</v>
      </c>
      <c r="E560" s="67" t="s">
        <v>99</v>
      </c>
      <c r="F560" s="29" t="s">
        <v>274</v>
      </c>
      <c r="G560" s="29" t="s">
        <v>34</v>
      </c>
      <c r="H560" s="133">
        <v>45756</v>
      </c>
      <c r="I560" s="223">
        <v>45762</v>
      </c>
      <c r="J560" s="59">
        <v>45751</v>
      </c>
      <c r="K560" s="438" t="s">
        <v>2072</v>
      </c>
      <c r="L560" s="104" t="s">
        <v>2073</v>
      </c>
      <c r="M560" s="283" t="s">
        <v>19</v>
      </c>
      <c r="N560" s="223"/>
      <c r="O560" s="226"/>
      <c r="P560" s="59" t="s">
        <v>19</v>
      </c>
      <c r="Q560" s="84"/>
      <c r="R560" s="29"/>
      <c r="S560" s="59"/>
      <c r="T560" s="223"/>
      <c r="U560" s="29"/>
      <c r="V560" s="29"/>
      <c r="W560" s="29"/>
      <c r="X560" s="27"/>
      <c r="Y560" s="29" t="s">
        <v>30</v>
      </c>
      <c r="Z560" s="29" t="s">
        <v>42</v>
      </c>
      <c r="AA560" s="29" t="s">
        <v>22</v>
      </c>
      <c r="AB560" s="29" t="s">
        <v>2074</v>
      </c>
      <c r="AC560" s="59">
        <v>45755</v>
      </c>
      <c r="AD560" s="223">
        <v>45756</v>
      </c>
      <c r="AE560" s="59">
        <v>45756</v>
      </c>
      <c r="AF560" s="59">
        <v>45757</v>
      </c>
      <c r="AG560" s="29"/>
      <c r="AH560" s="85">
        <v>45770</v>
      </c>
      <c r="AI560" s="29" t="s">
        <v>19</v>
      </c>
      <c r="AJ560" s="224"/>
      <c r="AK560" s="27"/>
      <c r="AL560" s="102"/>
      <c r="AM560" s="41" t="str">
        <f>VLOOKUP(Table2[[#This Row],[country]],Countrycode!A:B,2,FALSE)</f>
        <v>IND</v>
      </c>
      <c r="AN560" s="34">
        <f>IF(ISBLANK(Table2[[#This Row],[Need_RRA]]), 2,(IF(Table2[[#This Row],[Need_RRA]]="No", 0, (IF(AND(Table2[[#This Row],[Need_RRA]]="Yes",  Table2[[#This Row],[RRA_pub_date]]=""),1, 0)))))</f>
        <v>0</v>
      </c>
      <c r="AO560" s="34">
        <f>IF(ISBLANK(Table2[[#This Row],[Need_EIS]]), 2,(IF(Table2[[#This Row],[Need_EIS]]="No", 0, (IF(AND(Table2[[#This Row],[Need_EIS]]="Yes",  Table2[[#This Row],[EIS_pub_date]]=""),1, 0)))))</f>
        <v>0</v>
      </c>
      <c r="AP560" s="34">
        <f>IF(ISBLANK(Table2[[#This Row],[Need_DON]]), 2,(IF(Table2[[#This Row],[Need_DON]]="No", 0, (IF(AND(Table2[[#This Row],[Need_DON]]="Yes",  Table2[[#This Row],[DON_pub_date]]=""),1, 0)))))</f>
        <v>0</v>
      </c>
      <c r="AQ560" s="34">
        <f>IF(ISBLANK(Table2[[#This Row],[Pending_question]]), 2,(IF(Table2[[#This Row],[Pending_question]]="Yes", 1, 0)))</f>
        <v>0</v>
      </c>
      <c r="AR560" s="225"/>
    </row>
    <row r="561" spans="1:44" ht="15.75" customHeight="1">
      <c r="A561" s="60">
        <v>45758</v>
      </c>
      <c r="B561" s="29" t="s">
        <v>15</v>
      </c>
      <c r="C561" s="34" t="str" cm="1">
        <f t="array" ref="C56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61" s="27" t="s">
        <v>1020</v>
      </c>
      <c r="E561" s="70" t="s">
        <v>110</v>
      </c>
      <c r="F561" s="54" t="s">
        <v>173</v>
      </c>
      <c r="G561" s="29" t="s">
        <v>34</v>
      </c>
      <c r="H561" s="338">
        <v>45758</v>
      </c>
      <c r="I561" s="223">
        <v>45762</v>
      </c>
      <c r="J561" s="59">
        <v>45757</v>
      </c>
      <c r="K561" s="59" t="s">
        <v>2075</v>
      </c>
      <c r="L561" s="104" t="s">
        <v>2076</v>
      </c>
      <c r="M561" s="213" t="s">
        <v>19</v>
      </c>
      <c r="N561" s="214"/>
      <c r="O561" s="215"/>
      <c r="P561" s="55" t="s">
        <v>19</v>
      </c>
      <c r="Q561" s="84"/>
      <c r="R561" s="54"/>
      <c r="S561" s="29"/>
      <c r="T561" s="223"/>
      <c r="U561" s="29"/>
      <c r="V561" s="29"/>
      <c r="W561" s="29"/>
      <c r="X561" s="27"/>
      <c r="Y561" s="54" t="s">
        <v>30</v>
      </c>
      <c r="Z561" s="29" t="s">
        <v>42</v>
      </c>
      <c r="AA561" s="29" t="s">
        <v>22</v>
      </c>
      <c r="AB561" s="54" t="s">
        <v>2077</v>
      </c>
      <c r="AC561" s="59">
        <v>45756</v>
      </c>
      <c r="AD561" s="223">
        <v>45758</v>
      </c>
      <c r="AE561" s="59">
        <v>45758</v>
      </c>
      <c r="AF561" s="59"/>
      <c r="AG561" s="59"/>
      <c r="AH561" s="85">
        <v>45762</v>
      </c>
      <c r="AI561" s="54" t="s">
        <v>19</v>
      </c>
      <c r="AJ561" s="224"/>
      <c r="AK561" s="27"/>
      <c r="AL561" s="102"/>
      <c r="AM561" s="41" t="str">
        <f>VLOOKUP(Table2[[#This Row],[country]],Countrycode!A:B,2,FALSE)</f>
        <v>CHN</v>
      </c>
      <c r="AN561" s="34">
        <f>IF(ISBLANK(Table2[[#This Row],[Need_RRA]]), 2,(IF(Table2[[#This Row],[Need_RRA]]="No", 0, (IF(AND(Table2[[#This Row],[Need_RRA]]="Yes",  Table2[[#This Row],[RRA_pub_date]]=""),1, 0)))))</f>
        <v>0</v>
      </c>
      <c r="AO561" s="34">
        <f>IF(ISBLANK(Table2[[#This Row],[Need_EIS]]), 2,(IF(Table2[[#This Row],[Need_EIS]]="No", 0, (IF(AND(Table2[[#This Row],[Need_EIS]]="Yes",  Table2[[#This Row],[EIS_pub_date]]=""),1, 0)))))</f>
        <v>0</v>
      </c>
      <c r="AP561" s="34">
        <f>IF(ISBLANK(Table2[[#This Row],[Need_DON]]), 2,(IF(Table2[[#This Row],[Need_DON]]="No", 0, (IF(AND(Table2[[#This Row],[Need_DON]]="Yes",  Table2[[#This Row],[DON_pub_date]]=""),1, 0)))))</f>
        <v>0</v>
      </c>
      <c r="AQ561" s="34">
        <f>IF(ISBLANK(Table2[[#This Row],[Pending_question]]), 2,(IF(Table2[[#This Row],[Pending_question]]="Yes", 1, 0)))</f>
        <v>0</v>
      </c>
      <c r="AR561" s="225"/>
    </row>
    <row r="562" spans="1:44" ht="15.75" customHeight="1">
      <c r="A562" s="60">
        <v>45758</v>
      </c>
      <c r="B562" s="29" t="s">
        <v>15</v>
      </c>
      <c r="C562" s="34" t="str" cm="1">
        <f t="array" ref="C56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62" s="27" t="s">
        <v>2055</v>
      </c>
      <c r="E562" s="67" t="s">
        <v>176</v>
      </c>
      <c r="F562" s="29" t="s">
        <v>163</v>
      </c>
      <c r="G562" s="29" t="s">
        <v>34</v>
      </c>
      <c r="H562" s="133">
        <v>45965</v>
      </c>
      <c r="I562" s="223"/>
      <c r="J562" s="59">
        <v>45756</v>
      </c>
      <c r="K562" s="59" t="s">
        <v>2078</v>
      </c>
      <c r="L562" s="104" t="s">
        <v>2079</v>
      </c>
      <c r="M562" s="283" t="s">
        <v>19</v>
      </c>
      <c r="N562" s="223"/>
      <c r="O562" s="226"/>
      <c r="P562" s="59" t="s">
        <v>19</v>
      </c>
      <c r="Q562" s="84"/>
      <c r="R562" s="29"/>
      <c r="S562" s="29"/>
      <c r="T562" s="223"/>
      <c r="U562" s="29"/>
      <c r="V562" s="29"/>
      <c r="W562" s="29"/>
      <c r="X562" s="27"/>
      <c r="Y562" s="29" t="s">
        <v>30</v>
      </c>
      <c r="Z562" s="29" t="s">
        <v>42</v>
      </c>
      <c r="AA562" s="29" t="s">
        <v>22</v>
      </c>
      <c r="AB562" s="29" t="s">
        <v>2080</v>
      </c>
      <c r="AC562" s="59">
        <v>45758</v>
      </c>
      <c r="AD562" s="223">
        <v>45758</v>
      </c>
      <c r="AE562" s="29"/>
      <c r="AF562" s="59">
        <v>45761</v>
      </c>
      <c r="AG562" s="59">
        <v>45762</v>
      </c>
      <c r="AH562" s="85">
        <v>45764</v>
      </c>
      <c r="AI562" s="29" t="s">
        <v>31</v>
      </c>
      <c r="AJ562" s="224"/>
      <c r="AK562" s="27"/>
      <c r="AL562" s="102"/>
      <c r="AM562" s="41" t="str">
        <f>VLOOKUP(Table2[[#This Row],[country]],Countrycode!A:B,2,FALSE)</f>
        <v>CAN</v>
      </c>
      <c r="AN562" s="34">
        <f>IF(ISBLANK(Table2[[#This Row],[Need_RRA]]), 2,(IF(Table2[[#This Row],[Need_RRA]]="No", 0, (IF(AND(Table2[[#This Row],[Need_RRA]]="Yes",  Table2[[#This Row],[RRA_pub_date]]=""),1, 0)))))</f>
        <v>0</v>
      </c>
      <c r="AO562" s="34">
        <f>IF(ISBLANK(Table2[[#This Row],[Need_EIS]]), 2,(IF(Table2[[#This Row],[Need_EIS]]="No", 0, (IF(AND(Table2[[#This Row],[Need_EIS]]="Yes",  Table2[[#This Row],[EIS_pub_date]]=""),1, 0)))))</f>
        <v>0</v>
      </c>
      <c r="AP562" s="34">
        <f>IF(ISBLANK(Table2[[#This Row],[Need_DON]]), 2,(IF(Table2[[#This Row],[Need_DON]]="No", 0, (IF(AND(Table2[[#This Row],[Need_DON]]="Yes",  Table2[[#This Row],[DON_pub_date]]=""),1, 0)))))</f>
        <v>0</v>
      </c>
      <c r="AQ562" s="34">
        <f>IF(ISBLANK(Table2[[#This Row],[Pending_question]]), 2,(IF(Table2[[#This Row],[Pending_question]]="Yes", 1, 0)))</f>
        <v>0</v>
      </c>
      <c r="AR562" s="225"/>
    </row>
    <row r="563" spans="1:44" ht="15.75" customHeight="1">
      <c r="A563" s="60">
        <v>45758</v>
      </c>
      <c r="B563" s="29" t="s">
        <v>15</v>
      </c>
      <c r="C563" s="34" t="str" cm="1">
        <f t="array" ref="C56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63" s="27" t="s">
        <v>1880</v>
      </c>
      <c r="E563" s="70" t="s">
        <v>182</v>
      </c>
      <c r="F563" s="54" t="s">
        <v>383</v>
      </c>
      <c r="G563" s="29" t="s">
        <v>34</v>
      </c>
      <c r="H563" s="338">
        <v>45758</v>
      </c>
      <c r="I563" s="223"/>
      <c r="J563" s="59">
        <v>45756</v>
      </c>
      <c r="K563" s="59" t="s">
        <v>2081</v>
      </c>
      <c r="L563" s="104" t="s">
        <v>2082</v>
      </c>
      <c r="M563" s="213" t="s">
        <v>19</v>
      </c>
      <c r="N563" s="214"/>
      <c r="O563" s="215"/>
      <c r="P563" s="55" t="s">
        <v>19</v>
      </c>
      <c r="Q563" s="84"/>
      <c r="R563" s="54"/>
      <c r="S563" s="29"/>
      <c r="T563" s="223"/>
      <c r="U563" s="29"/>
      <c r="V563" s="29"/>
      <c r="W563" s="29"/>
      <c r="X563" s="27"/>
      <c r="Y563" s="54" t="s">
        <v>30</v>
      </c>
      <c r="Z563" s="29" t="s">
        <v>42</v>
      </c>
      <c r="AA563" s="29" t="s">
        <v>22</v>
      </c>
      <c r="AB563" s="54" t="s">
        <v>2083</v>
      </c>
      <c r="AC563" s="59">
        <v>45757</v>
      </c>
      <c r="AD563" s="223">
        <v>45758</v>
      </c>
      <c r="AE563" s="59">
        <v>45761</v>
      </c>
      <c r="AF563" s="59">
        <v>45761</v>
      </c>
      <c r="AG563" s="59">
        <v>45763</v>
      </c>
      <c r="AH563" s="85">
        <v>45765</v>
      </c>
      <c r="AI563" s="54" t="s">
        <v>19</v>
      </c>
      <c r="AJ563" s="224"/>
      <c r="AK563" s="27"/>
      <c r="AL563" s="102"/>
      <c r="AM563" s="41" t="str">
        <f>VLOOKUP(Table2[[#This Row],[country]],Countrycode!A:B,2,FALSE)</f>
        <v>CHE</v>
      </c>
      <c r="AN563" s="34">
        <f>IF(ISBLANK(Table2[[#This Row],[Need_RRA]]), 2,(IF(Table2[[#This Row],[Need_RRA]]="No", 0, (IF(AND(Table2[[#This Row],[Need_RRA]]="Yes",  Table2[[#This Row],[RRA_pub_date]]=""),1, 0)))))</f>
        <v>0</v>
      </c>
      <c r="AO563" s="34">
        <f>IF(ISBLANK(Table2[[#This Row],[Need_EIS]]), 2,(IF(Table2[[#This Row],[Need_EIS]]="No", 0, (IF(AND(Table2[[#This Row],[Need_EIS]]="Yes",  Table2[[#This Row],[EIS_pub_date]]=""),1, 0)))))</f>
        <v>0</v>
      </c>
      <c r="AP563" s="34">
        <f>IF(ISBLANK(Table2[[#This Row],[Need_DON]]), 2,(IF(Table2[[#This Row],[Need_DON]]="No", 0, (IF(AND(Table2[[#This Row],[Need_DON]]="Yes",  Table2[[#This Row],[DON_pub_date]]=""),1, 0)))))</f>
        <v>0</v>
      </c>
      <c r="AQ563" s="34">
        <f>IF(ISBLANK(Table2[[#This Row],[Pending_question]]), 2,(IF(Table2[[#This Row],[Pending_question]]="Yes", 1, 0)))</f>
        <v>0</v>
      </c>
      <c r="AR563" s="225"/>
    </row>
    <row r="564" spans="1:44" ht="15.75" customHeight="1">
      <c r="A564" s="60">
        <v>45761</v>
      </c>
      <c r="B564" s="29" t="s">
        <v>15</v>
      </c>
      <c r="C564" s="34" t="str" cm="1">
        <f t="array" ref="C56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64" s="27" t="s">
        <v>456</v>
      </c>
      <c r="E564" s="67" t="s">
        <v>252</v>
      </c>
      <c r="F564" s="29" t="s">
        <v>39</v>
      </c>
      <c r="G564" s="29" t="s">
        <v>34</v>
      </c>
      <c r="H564" s="29"/>
      <c r="I564" s="223"/>
      <c r="J564" s="59"/>
      <c r="K564" s="59"/>
      <c r="L564" s="104"/>
      <c r="M564" s="283" t="s">
        <v>19</v>
      </c>
      <c r="N564" s="223"/>
      <c r="O564" s="226"/>
      <c r="P564" s="59" t="s">
        <v>19</v>
      </c>
      <c r="Q564" s="84">
        <v>1</v>
      </c>
      <c r="R564" s="29" t="s">
        <v>2084</v>
      </c>
      <c r="S564" s="59">
        <v>45796</v>
      </c>
      <c r="T564" s="223">
        <v>45798</v>
      </c>
      <c r="U564" s="29"/>
      <c r="V564" s="29" t="s">
        <v>34</v>
      </c>
      <c r="W564" s="29" t="s">
        <v>20</v>
      </c>
      <c r="X564" s="27" t="s">
        <v>32</v>
      </c>
      <c r="Y564" s="29" t="s">
        <v>30</v>
      </c>
      <c r="Z564" s="29" t="s">
        <v>33</v>
      </c>
      <c r="AA564" s="29" t="s">
        <v>22</v>
      </c>
      <c r="AB564" s="29"/>
      <c r="AC564" s="59">
        <v>45772</v>
      </c>
      <c r="AD564" s="223">
        <v>45773</v>
      </c>
      <c r="AE564" s="29"/>
      <c r="AF564" s="29"/>
      <c r="AG564" s="29"/>
      <c r="AH564" s="85">
        <v>45788</v>
      </c>
      <c r="AI564" s="29" t="s">
        <v>30</v>
      </c>
      <c r="AJ564" s="224">
        <v>45789</v>
      </c>
      <c r="AK564" s="224">
        <v>45793</v>
      </c>
      <c r="AL564" s="102"/>
      <c r="AM564" s="41" t="str">
        <f>VLOOKUP(Table2[[#This Row],[country]],Countrycode!A:B,2,FALSE)</f>
        <v>MLX</v>
      </c>
      <c r="AN564" s="34">
        <f>IF(ISBLANK(Table2[[#This Row],[Need_RRA]]), 2,(IF(Table2[[#This Row],[Need_RRA]]="No", 0, (IF(AND(Table2[[#This Row],[Need_RRA]]="Yes",  Table2[[#This Row],[RRA_pub_date]]=""),1, 0)))))</f>
        <v>0</v>
      </c>
      <c r="AO564" s="34">
        <f>IF(ISBLANK(Table2[[#This Row],[Need_EIS]]), 2,(IF(Table2[[#This Row],[Need_EIS]]="No", 0, (IF(AND(Table2[[#This Row],[Need_EIS]]="Yes",  Table2[[#This Row],[EIS_pub_date]]=""),1, 0)))))</f>
        <v>0</v>
      </c>
      <c r="AP564" s="34">
        <f>IF(ISBLANK(Table2[[#This Row],[Need_DON]]), 2,(IF(Table2[[#This Row],[Need_DON]]="No", 0, (IF(AND(Table2[[#This Row],[Need_DON]]="Yes",  Table2[[#This Row],[DON_pub_date]]=""),1, 0)))))</f>
        <v>0</v>
      </c>
      <c r="AQ564" s="34">
        <f>IF(ISBLANK(Table2[[#This Row],[Pending_question]]), 2,(IF(Table2[[#This Row],[Pending_question]]="Yes", 1, 0)))</f>
        <v>0</v>
      </c>
      <c r="AR564" s="225"/>
    </row>
    <row r="565" spans="1:44" ht="15.75" customHeight="1">
      <c r="A565" s="60">
        <v>45763</v>
      </c>
      <c r="B565" s="29" t="s">
        <v>15</v>
      </c>
      <c r="C565" s="34" t="str" cm="1">
        <f t="array" ref="C56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65" s="27" t="s">
        <v>1939</v>
      </c>
      <c r="E565" s="67" t="s">
        <v>231</v>
      </c>
      <c r="F565" s="29" t="s">
        <v>397</v>
      </c>
      <c r="G565" s="29" t="s">
        <v>34</v>
      </c>
      <c r="H565" s="29"/>
      <c r="I565" s="223"/>
      <c r="J565" s="59">
        <v>45688</v>
      </c>
      <c r="K565" s="59" t="s">
        <v>1982</v>
      </c>
      <c r="L565" s="104" t="s">
        <v>1986</v>
      </c>
      <c r="M565" s="283" t="s">
        <v>19</v>
      </c>
      <c r="N565" s="223" t="s">
        <v>2085</v>
      </c>
      <c r="O565" s="226"/>
      <c r="P565" s="59" t="s">
        <v>19</v>
      </c>
      <c r="Q565" s="84"/>
      <c r="R565" s="29"/>
      <c r="S565" s="29"/>
      <c r="T565" s="223"/>
      <c r="U565" s="29"/>
      <c r="V565" s="29"/>
      <c r="W565" s="29"/>
      <c r="X565" s="27"/>
      <c r="Y565" s="29" t="s">
        <v>19</v>
      </c>
      <c r="Z565" s="29"/>
      <c r="AA565" s="29"/>
      <c r="AB565" s="29"/>
      <c r="AC565" s="29"/>
      <c r="AD565" s="223"/>
      <c r="AE565" s="29"/>
      <c r="AF565" s="29"/>
      <c r="AG565" s="29"/>
      <c r="AH565" s="27"/>
      <c r="AI565" s="29" t="s">
        <v>30</v>
      </c>
      <c r="AJ565" s="224">
        <v>45769</v>
      </c>
      <c r="AK565" s="85">
        <v>45773</v>
      </c>
      <c r="AL565" s="102"/>
      <c r="AM565" s="41" t="str">
        <f>VLOOKUP(Table2[[#This Row],[country]],Countrycode!A:B,2,FALSE)</f>
        <v>UGA</v>
      </c>
      <c r="AN565" s="34">
        <f>IF(ISBLANK(Table2[[#This Row],[Need_RRA]]), 2,(IF(Table2[[#This Row],[Need_RRA]]="No", 0, (IF(AND(Table2[[#This Row],[Need_RRA]]="Yes",  Table2[[#This Row],[RRA_pub_date]]=""),1, 0)))))</f>
        <v>0</v>
      </c>
      <c r="AO565" s="34">
        <f>IF(ISBLANK(Table2[[#This Row],[Need_EIS]]), 2,(IF(Table2[[#This Row],[Need_EIS]]="No", 0, (IF(AND(Table2[[#This Row],[Need_EIS]]="Yes",  Table2[[#This Row],[EIS_pub_date]]=""),1, 0)))))</f>
        <v>0</v>
      </c>
      <c r="AP565" s="34">
        <f>IF(ISBLANK(Table2[[#This Row],[Need_DON]]), 2,(IF(Table2[[#This Row],[Need_DON]]="No", 0, (IF(AND(Table2[[#This Row],[Need_DON]]="Yes",  Table2[[#This Row],[DON_pub_date]]=""),1, 0)))))</f>
        <v>0</v>
      </c>
      <c r="AQ565" s="34">
        <f>IF(ISBLANK(Table2[[#This Row],[Pending_question]]), 2,(IF(Table2[[#This Row],[Pending_question]]="Yes", 1, 0)))</f>
        <v>0</v>
      </c>
      <c r="AR565" s="225"/>
    </row>
    <row r="566" spans="1:44" ht="15.75" customHeight="1">
      <c r="A566" s="60">
        <v>45763</v>
      </c>
      <c r="B566" s="29" t="s">
        <v>15</v>
      </c>
      <c r="C566" s="34" t="str" cm="1">
        <f t="array" ref="C56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66" s="27" t="s">
        <v>927</v>
      </c>
      <c r="E566" s="67" t="s">
        <v>180</v>
      </c>
      <c r="F566" s="29" t="s">
        <v>363</v>
      </c>
      <c r="G566" s="29" t="s">
        <v>34</v>
      </c>
      <c r="H566" s="59">
        <v>45772</v>
      </c>
      <c r="I566" s="59">
        <v>45777</v>
      </c>
      <c r="J566" s="59">
        <v>45763</v>
      </c>
      <c r="K566" s="59" t="s">
        <v>852</v>
      </c>
      <c r="L566" s="104" t="s">
        <v>1153</v>
      </c>
      <c r="M566" s="283" t="s">
        <v>19</v>
      </c>
      <c r="N566" s="223"/>
      <c r="O566" s="226"/>
      <c r="P566" s="59" t="s">
        <v>19</v>
      </c>
      <c r="Q566" s="84"/>
      <c r="R566" s="29"/>
      <c r="S566" s="29"/>
      <c r="T566" s="223"/>
      <c r="U566" s="29"/>
      <c r="V566" s="29"/>
      <c r="W566" s="29"/>
      <c r="X566" s="27"/>
      <c r="Y566" s="29" t="s">
        <v>30</v>
      </c>
      <c r="Z566" s="29" t="s">
        <v>42</v>
      </c>
      <c r="AA566" s="29" t="s">
        <v>22</v>
      </c>
      <c r="AB566" s="29" t="s">
        <v>2086</v>
      </c>
      <c r="AC566" s="59">
        <v>45763</v>
      </c>
      <c r="AD566" s="59">
        <v>45763</v>
      </c>
      <c r="AE566" s="59">
        <v>45764</v>
      </c>
      <c r="AF566" s="29"/>
      <c r="AG566" s="29"/>
      <c r="AH566" s="85">
        <v>45778</v>
      </c>
      <c r="AI566" s="29" t="s">
        <v>30</v>
      </c>
      <c r="AJ566" s="224">
        <v>45779</v>
      </c>
      <c r="AK566" s="224">
        <v>45789</v>
      </c>
      <c r="AL566" s="102"/>
      <c r="AM566" s="41" t="str">
        <f>VLOOKUP(Table2[[#This Row],[country]],Countrycode!A:B,2,FALSE)</f>
        <v>SAU</v>
      </c>
      <c r="AN566" s="34">
        <f>IF(ISBLANK(Table2[[#This Row],[Need_RRA]]), 2,(IF(Table2[[#This Row],[Need_RRA]]="No", 0, (IF(AND(Table2[[#This Row],[Need_RRA]]="Yes",  Table2[[#This Row],[RRA_pub_date]]=""),1, 0)))))</f>
        <v>0</v>
      </c>
      <c r="AO566" s="34">
        <f>IF(ISBLANK(Table2[[#This Row],[Need_EIS]]), 2,(IF(Table2[[#This Row],[Need_EIS]]="No", 0, (IF(AND(Table2[[#This Row],[Need_EIS]]="Yes",  Table2[[#This Row],[EIS_pub_date]]=""),1, 0)))))</f>
        <v>0</v>
      </c>
      <c r="AP566" s="34">
        <f>IF(ISBLANK(Table2[[#This Row],[Need_DON]]), 2,(IF(Table2[[#This Row],[Need_DON]]="No", 0, (IF(AND(Table2[[#This Row],[Need_DON]]="Yes",  Table2[[#This Row],[DON_pub_date]]=""),1, 0)))))</f>
        <v>0</v>
      </c>
      <c r="AQ566" s="34">
        <f>IF(ISBLANK(Table2[[#This Row],[Pending_question]]), 2,(IF(Table2[[#This Row],[Pending_question]]="Yes", 1, 0)))</f>
        <v>0</v>
      </c>
      <c r="AR566" s="225"/>
    </row>
    <row r="567" spans="1:44" ht="15.75" customHeight="1">
      <c r="A567" s="60">
        <v>45770</v>
      </c>
      <c r="B567" s="29" t="s">
        <v>15</v>
      </c>
      <c r="C567" s="34" t="str" cm="1">
        <f t="array" ref="C56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67" s="34" t="s">
        <v>2017</v>
      </c>
      <c r="E567" s="67" t="s">
        <v>182</v>
      </c>
      <c r="F567" s="29" t="s">
        <v>301</v>
      </c>
      <c r="G567" s="29" t="s">
        <v>34</v>
      </c>
      <c r="H567" s="59">
        <v>45769</v>
      </c>
      <c r="I567" s="223">
        <v>45762</v>
      </c>
      <c r="J567" s="59">
        <v>45771</v>
      </c>
      <c r="K567" s="250" t="s">
        <v>2087</v>
      </c>
      <c r="L567" s="104" t="s">
        <v>2088</v>
      </c>
      <c r="M567" s="283" t="s">
        <v>19</v>
      </c>
      <c r="N567" s="223"/>
      <c r="O567" s="226"/>
      <c r="P567" s="59" t="s">
        <v>19</v>
      </c>
      <c r="Q567" s="84"/>
      <c r="R567" s="29"/>
      <c r="S567" s="29"/>
      <c r="T567" s="223"/>
      <c r="U567" s="29"/>
      <c r="V567" s="29"/>
      <c r="W567" s="29"/>
      <c r="X567" s="27"/>
      <c r="Y567" s="29" t="s">
        <v>30</v>
      </c>
      <c r="Z567" s="29" t="s">
        <v>42</v>
      </c>
      <c r="AA567" s="29" t="s">
        <v>22</v>
      </c>
      <c r="AB567" s="29" t="s">
        <v>2089</v>
      </c>
      <c r="AC567" s="59">
        <v>45770</v>
      </c>
      <c r="AD567" s="223">
        <v>45772</v>
      </c>
      <c r="AE567" s="59">
        <v>45775</v>
      </c>
      <c r="AF567" s="29"/>
      <c r="AG567" s="59">
        <v>45776</v>
      </c>
      <c r="AH567" s="85">
        <v>45777</v>
      </c>
      <c r="AI567" s="29" t="s">
        <v>19</v>
      </c>
      <c r="AJ567" s="224"/>
      <c r="AK567" s="27"/>
      <c r="AL567" s="102"/>
      <c r="AM567" s="41" t="str">
        <f>VLOOKUP(Table2[[#This Row],[country]],Countrycode!A:B,2,FALSE)</f>
        <v>MWI</v>
      </c>
      <c r="AN567" s="34">
        <f>IF(ISBLANK(Table2[[#This Row],[Need_RRA]]), 2,(IF(Table2[[#This Row],[Need_RRA]]="No", 0, (IF(AND(Table2[[#This Row],[Need_RRA]]="Yes",  Table2[[#This Row],[RRA_pub_date]]=""),1, 0)))))</f>
        <v>0</v>
      </c>
      <c r="AO567" s="34">
        <f>IF(ISBLANK(Table2[[#This Row],[Need_EIS]]), 2,(IF(Table2[[#This Row],[Need_EIS]]="No", 0, (IF(AND(Table2[[#This Row],[Need_EIS]]="Yes",  Table2[[#This Row],[EIS_pub_date]]=""),1, 0)))))</f>
        <v>0</v>
      </c>
      <c r="AP567" s="34">
        <f>IF(ISBLANK(Table2[[#This Row],[Need_DON]]), 2,(IF(Table2[[#This Row],[Need_DON]]="No", 0, (IF(AND(Table2[[#This Row],[Need_DON]]="Yes",  Table2[[#This Row],[DON_pub_date]]=""),1, 0)))))</f>
        <v>0</v>
      </c>
      <c r="AQ567" s="34">
        <f>IF(ISBLANK(Table2[[#This Row],[Pending_question]]), 2,(IF(Table2[[#This Row],[Pending_question]]="Yes", 1, 0)))</f>
        <v>0</v>
      </c>
      <c r="AR567" s="225"/>
    </row>
    <row r="568" spans="1:44" ht="15.75" customHeight="1">
      <c r="A568" s="60">
        <v>45771</v>
      </c>
      <c r="B568" s="29" t="s">
        <v>15</v>
      </c>
      <c r="C568" s="34" t="str" cm="1">
        <f t="array" ref="C56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68" s="27" t="s">
        <v>1020</v>
      </c>
      <c r="E568" s="70" t="s">
        <v>99</v>
      </c>
      <c r="F568" s="54" t="s">
        <v>409</v>
      </c>
      <c r="G568" s="29" t="s">
        <v>34</v>
      </c>
      <c r="H568" s="55">
        <v>45771</v>
      </c>
      <c r="I568" s="223">
        <v>45769</v>
      </c>
      <c r="J568" s="59">
        <v>45771</v>
      </c>
      <c r="K568" s="250" t="s">
        <v>2090</v>
      </c>
      <c r="L568" s="104" t="s">
        <v>2091</v>
      </c>
      <c r="M568" s="213" t="s">
        <v>19</v>
      </c>
      <c r="N568" s="214"/>
      <c r="O568" s="215"/>
      <c r="P568" s="55" t="s">
        <v>19</v>
      </c>
      <c r="Q568" s="84"/>
      <c r="R568" s="54"/>
      <c r="S568" s="29"/>
      <c r="T568" s="223"/>
      <c r="U568" s="29"/>
      <c r="V568" s="29"/>
      <c r="W568" s="29"/>
      <c r="X568" s="27"/>
      <c r="Y568" s="54" t="s">
        <v>30</v>
      </c>
      <c r="Z568" s="29" t="s">
        <v>42</v>
      </c>
      <c r="AA568" s="29" t="s">
        <v>22</v>
      </c>
      <c r="AB568" s="54" t="s">
        <v>2092</v>
      </c>
      <c r="AC568" s="59">
        <v>45769</v>
      </c>
      <c r="AD568" s="223">
        <v>45771</v>
      </c>
      <c r="AE568" s="59">
        <v>45771</v>
      </c>
      <c r="AF568" s="59">
        <v>45772</v>
      </c>
      <c r="AG568" s="59">
        <v>45776</v>
      </c>
      <c r="AH568" s="85">
        <v>45776</v>
      </c>
      <c r="AI568" s="54" t="s">
        <v>19</v>
      </c>
      <c r="AJ568" s="224"/>
      <c r="AK568" s="27"/>
      <c r="AL568" s="102"/>
      <c r="AM568" s="41" t="str">
        <f>VLOOKUP(Table2[[#This Row],[country]],Countrycode!A:B,2,FALSE)</f>
        <v>VNM</v>
      </c>
      <c r="AN568" s="34">
        <f>IF(ISBLANK(Table2[[#This Row],[Need_RRA]]), 2,(IF(Table2[[#This Row],[Need_RRA]]="No", 0, (IF(AND(Table2[[#This Row],[Need_RRA]]="Yes",  Table2[[#This Row],[RRA_pub_date]]=""),1, 0)))))</f>
        <v>0</v>
      </c>
      <c r="AO568" s="34">
        <f>IF(ISBLANK(Table2[[#This Row],[Need_EIS]]), 2,(IF(Table2[[#This Row],[Need_EIS]]="No", 0, (IF(AND(Table2[[#This Row],[Need_EIS]]="Yes",  Table2[[#This Row],[EIS_pub_date]]=""),1, 0)))))</f>
        <v>0</v>
      </c>
      <c r="AP568" s="34">
        <f>IF(ISBLANK(Table2[[#This Row],[Need_DON]]), 2,(IF(Table2[[#This Row],[Need_DON]]="No", 0, (IF(AND(Table2[[#This Row],[Need_DON]]="Yes",  Table2[[#This Row],[DON_pub_date]]=""),1, 0)))))</f>
        <v>0</v>
      </c>
      <c r="AQ568" s="34">
        <f>IF(ISBLANK(Table2[[#This Row],[Pending_question]]), 2,(IF(Table2[[#This Row],[Pending_question]]="Yes", 1, 0)))</f>
        <v>0</v>
      </c>
      <c r="AR568" s="225"/>
    </row>
    <row r="569" spans="1:44" ht="15.75" customHeight="1">
      <c r="A569" s="60">
        <v>45775</v>
      </c>
      <c r="B569" s="29" t="s">
        <v>15</v>
      </c>
      <c r="C569" s="34" t="str" cm="1">
        <f t="array" ref="C56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69" s="27" t="s">
        <v>1244</v>
      </c>
      <c r="E569" s="67" t="s">
        <v>254</v>
      </c>
      <c r="F569" s="29" t="s">
        <v>153</v>
      </c>
      <c r="G569" s="29" t="s">
        <v>34</v>
      </c>
      <c r="H569" s="133">
        <v>45767</v>
      </c>
      <c r="I569" s="223">
        <v>45767</v>
      </c>
      <c r="J569" s="59">
        <v>45791</v>
      </c>
      <c r="K569" s="250" t="s">
        <v>2093</v>
      </c>
      <c r="L569" s="104" t="s">
        <v>2094</v>
      </c>
      <c r="M569" s="283" t="s">
        <v>19</v>
      </c>
      <c r="N569" s="223"/>
      <c r="O569" s="226"/>
      <c r="P569" s="59" t="s">
        <v>19</v>
      </c>
      <c r="Q569" s="84"/>
      <c r="R569" s="29"/>
      <c r="S569" s="29"/>
      <c r="T569" s="223"/>
      <c r="U569" s="29"/>
      <c r="V569" s="29"/>
      <c r="W569" s="29"/>
      <c r="X569" s="27"/>
      <c r="Y569" s="29" t="s">
        <v>30</v>
      </c>
      <c r="Z569" s="29" t="s">
        <v>42</v>
      </c>
      <c r="AA569" s="29" t="s">
        <v>22</v>
      </c>
      <c r="AB569" s="29"/>
      <c r="AC569" s="133">
        <v>45775</v>
      </c>
      <c r="AD569" s="223">
        <v>45777</v>
      </c>
      <c r="AE569" s="133">
        <v>45779</v>
      </c>
      <c r="AF569" s="29"/>
      <c r="AG569" s="29"/>
      <c r="AH569" s="85">
        <v>45800</v>
      </c>
      <c r="AI569" s="29" t="s">
        <v>19</v>
      </c>
      <c r="AJ569" s="224"/>
      <c r="AK569" s="27"/>
      <c r="AL569" s="102" t="s">
        <v>2095</v>
      </c>
      <c r="AM569" s="41" t="str">
        <f>VLOOKUP(Table2[[#This Row],[country]],Countrycode!A:B,2,FALSE)</f>
        <v>BFA</v>
      </c>
      <c r="AN569" s="34">
        <f>IF(ISBLANK(Table2[[#This Row],[Need_RRA]]), 2,(IF(Table2[[#This Row],[Need_RRA]]="No", 0, (IF(AND(Table2[[#This Row],[Need_RRA]]="Yes",  Table2[[#This Row],[RRA_pub_date]]=""),1, 0)))))</f>
        <v>0</v>
      </c>
      <c r="AO569" s="34">
        <f>IF(ISBLANK(Table2[[#This Row],[Need_EIS]]), 2,(IF(Table2[[#This Row],[Need_EIS]]="No", 0, (IF(AND(Table2[[#This Row],[Need_EIS]]="Yes",  Table2[[#This Row],[EIS_pub_date]]=""),1, 0)))))</f>
        <v>0</v>
      </c>
      <c r="AP569" s="34">
        <f>IF(ISBLANK(Table2[[#This Row],[Need_DON]]), 2,(IF(Table2[[#This Row],[Need_DON]]="No", 0, (IF(AND(Table2[[#This Row],[Need_DON]]="Yes",  Table2[[#This Row],[DON_pub_date]]=""),1, 0)))))</f>
        <v>0</v>
      </c>
      <c r="AQ569" s="34">
        <f>IF(ISBLANK(Table2[[#This Row],[Pending_question]]), 2,(IF(Table2[[#This Row],[Pending_question]]="Yes", 1, 0)))</f>
        <v>0</v>
      </c>
      <c r="AR569" s="225"/>
    </row>
    <row r="570" spans="1:44" ht="15.75" customHeight="1">
      <c r="A570" s="60">
        <v>45779</v>
      </c>
      <c r="B570" s="29" t="s">
        <v>15</v>
      </c>
      <c r="C570" s="34" t="str" cm="1">
        <f t="array" ref="C57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70" s="27" t="s">
        <v>927</v>
      </c>
      <c r="E570" s="67" t="s">
        <v>57</v>
      </c>
      <c r="F570" s="29" t="s">
        <v>39</v>
      </c>
      <c r="G570" s="29" t="s">
        <v>34</v>
      </c>
      <c r="H570" s="59">
        <v>45813</v>
      </c>
      <c r="I570" s="59">
        <v>45817</v>
      </c>
      <c r="J570" s="59">
        <v>45790</v>
      </c>
      <c r="K570" s="59" t="s">
        <v>2096</v>
      </c>
      <c r="L570" s="403" t="s">
        <v>2097</v>
      </c>
      <c r="M570" s="283" t="s">
        <v>19</v>
      </c>
      <c r="N570" s="223"/>
      <c r="O570" s="226"/>
      <c r="P570" s="59" t="s">
        <v>30</v>
      </c>
      <c r="Q570" s="84">
        <v>1</v>
      </c>
      <c r="R570" s="29" t="s">
        <v>2098</v>
      </c>
      <c r="S570" s="59">
        <v>45779</v>
      </c>
      <c r="T570" s="59">
        <v>45783</v>
      </c>
      <c r="U570" s="59">
        <v>45792</v>
      </c>
      <c r="V570" s="29" t="s">
        <v>20</v>
      </c>
      <c r="W570" s="29" t="s">
        <v>32</v>
      </c>
      <c r="X570" s="27" t="s">
        <v>51</v>
      </c>
      <c r="Y570" s="29" t="s">
        <v>19</v>
      </c>
      <c r="Z570" s="29" t="s">
        <v>33</v>
      </c>
      <c r="AA570" s="29" t="s">
        <v>22</v>
      </c>
      <c r="AB570" s="29" t="s">
        <v>2099</v>
      </c>
      <c r="AC570" s="59">
        <v>45779</v>
      </c>
      <c r="AD570" s="59">
        <v>45797</v>
      </c>
      <c r="AE570" s="59">
        <v>45799</v>
      </c>
      <c r="AF570" s="29"/>
      <c r="AG570" s="29"/>
      <c r="AH570" s="27"/>
      <c r="AI570" s="29" t="s">
        <v>19</v>
      </c>
      <c r="AJ570" s="224"/>
      <c r="AK570" s="27"/>
      <c r="AL570" s="102"/>
      <c r="AM570" s="41" t="str">
        <f>VLOOKUP(Table2[[#This Row],[country]],Countrycode!A:B,2,FALSE)</f>
        <v>MLX</v>
      </c>
      <c r="AN570" s="34">
        <f>IF(ISBLANK(Table2[[#This Row],[Need_RRA]]), 2,(IF(Table2[[#This Row],[Need_RRA]]="No", 0, (IF(AND(Table2[[#This Row],[Need_RRA]]="Yes",  Table2[[#This Row],[RRA_pub_date]]=""),1, 0)))))</f>
        <v>0</v>
      </c>
      <c r="AO570" s="34">
        <f>IF(ISBLANK(Table2[[#This Row],[Need_EIS]]), 2,(IF(Table2[[#This Row],[Need_EIS]]="No", 0, (IF(AND(Table2[[#This Row],[Need_EIS]]="Yes",  Table2[[#This Row],[EIS_pub_date]]=""),1, 0)))))</f>
        <v>0</v>
      </c>
      <c r="AP570" s="34">
        <f>IF(ISBLANK(Table2[[#This Row],[Need_DON]]), 2,(IF(Table2[[#This Row],[Need_DON]]="No", 0, (IF(AND(Table2[[#This Row],[Need_DON]]="Yes",  Table2[[#This Row],[DON_pub_date]]=""),1, 0)))))</f>
        <v>0</v>
      </c>
      <c r="AQ570" s="34">
        <f>IF(ISBLANK(Table2[[#This Row],[Pending_question]]), 2,(IF(Table2[[#This Row],[Pending_question]]="Yes", 1, 0)))</f>
        <v>0</v>
      </c>
      <c r="AR570" s="225"/>
    </row>
    <row r="571" spans="1:44" ht="15.75" customHeight="1">
      <c r="A571" s="60">
        <v>45782</v>
      </c>
      <c r="B571" s="29" t="s">
        <v>15</v>
      </c>
      <c r="C571" s="34" t="str" cm="1">
        <f t="array" ref="C57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71" s="27" t="s">
        <v>1020</v>
      </c>
      <c r="E571" s="70" t="s">
        <v>114</v>
      </c>
      <c r="F571" s="54" t="s">
        <v>117</v>
      </c>
      <c r="G571" s="29" t="s">
        <v>34</v>
      </c>
      <c r="H571" s="404">
        <v>45782</v>
      </c>
      <c r="I571" s="405">
        <v>45790</v>
      </c>
      <c r="J571" s="402">
        <v>45785</v>
      </c>
      <c r="K571" s="402" t="s">
        <v>2100</v>
      </c>
      <c r="L571" s="406" t="s">
        <v>2101</v>
      </c>
      <c r="M571" s="213" t="s">
        <v>19</v>
      </c>
      <c r="N571" s="214"/>
      <c r="O571" s="215"/>
      <c r="P571" s="55" t="s">
        <v>19</v>
      </c>
      <c r="Q571" s="84"/>
      <c r="R571" s="54"/>
      <c r="S571" s="59"/>
      <c r="T571" s="223"/>
      <c r="U571" s="29"/>
      <c r="V571" s="29"/>
      <c r="W571" s="29"/>
      <c r="X571" s="27"/>
      <c r="Y571" s="54" t="s">
        <v>30</v>
      </c>
      <c r="Z571" s="29" t="s">
        <v>42</v>
      </c>
      <c r="AA571" s="29" t="s">
        <v>22</v>
      </c>
      <c r="AB571" s="54" t="s">
        <v>2102</v>
      </c>
      <c r="AC571" s="59">
        <v>45781</v>
      </c>
      <c r="AD571" s="223">
        <v>45784</v>
      </c>
      <c r="AE571" s="59">
        <v>45785</v>
      </c>
      <c r="AF571" s="59">
        <v>45786</v>
      </c>
      <c r="AG571" s="59">
        <v>45791</v>
      </c>
      <c r="AH571" s="85">
        <v>45792</v>
      </c>
      <c r="AI571" s="54" t="s">
        <v>31</v>
      </c>
      <c r="AJ571" s="224"/>
      <c r="AK571" s="27"/>
      <c r="AL571" s="102"/>
      <c r="AM571" s="41" t="str">
        <f>VLOOKUP(Table2[[#This Row],[country]],Countrycode!A:B,2,FALSE)</f>
        <v>BGD</v>
      </c>
      <c r="AN571" s="34">
        <f>IF(ISBLANK(Table2[[#This Row],[Need_RRA]]), 2,(IF(Table2[[#This Row],[Need_RRA]]="No", 0, (IF(AND(Table2[[#This Row],[Need_RRA]]="Yes",  Table2[[#This Row],[RRA_pub_date]]=""),1, 0)))))</f>
        <v>0</v>
      </c>
      <c r="AO571" s="34">
        <f>IF(ISBLANK(Table2[[#This Row],[Need_EIS]]), 2,(IF(Table2[[#This Row],[Need_EIS]]="No", 0, (IF(AND(Table2[[#This Row],[Need_EIS]]="Yes",  Table2[[#This Row],[EIS_pub_date]]=""),1, 0)))))</f>
        <v>0</v>
      </c>
      <c r="AP571" s="34">
        <f>IF(ISBLANK(Table2[[#This Row],[Need_DON]]), 2,(IF(Table2[[#This Row],[Need_DON]]="No", 0, (IF(AND(Table2[[#This Row],[Need_DON]]="Yes",  Table2[[#This Row],[DON_pub_date]]=""),1, 0)))))</f>
        <v>0</v>
      </c>
      <c r="AQ571" s="34">
        <f>IF(ISBLANK(Table2[[#This Row],[Pending_question]]), 2,(IF(Table2[[#This Row],[Pending_question]]="Yes", 1, 0)))</f>
        <v>0</v>
      </c>
      <c r="AR571" s="225"/>
    </row>
    <row r="572" spans="1:44" ht="15.75" customHeight="1">
      <c r="A572" s="60">
        <v>45789</v>
      </c>
      <c r="B572" s="29" t="s">
        <v>15</v>
      </c>
      <c r="C572" s="34" t="str" cm="1">
        <f t="array" ref="C57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72" s="27" t="s">
        <v>2103</v>
      </c>
      <c r="E572" s="67" t="s">
        <v>194</v>
      </c>
      <c r="F572" s="29" t="s">
        <v>338</v>
      </c>
      <c r="G572" s="29" t="s">
        <v>34</v>
      </c>
      <c r="H572" s="55">
        <v>45789</v>
      </c>
      <c r="I572" s="223"/>
      <c r="J572" s="59">
        <v>45754</v>
      </c>
      <c r="K572" s="250" t="s">
        <v>2067</v>
      </c>
      <c r="L572" s="104" t="s">
        <v>2068</v>
      </c>
      <c r="M572" s="283" t="s">
        <v>19</v>
      </c>
      <c r="N572" s="223"/>
      <c r="O572" s="226"/>
      <c r="P572" s="59" t="s">
        <v>19</v>
      </c>
      <c r="Q572" s="84"/>
      <c r="R572" s="29"/>
      <c r="S572" s="29"/>
      <c r="T572" s="223"/>
      <c r="U572" s="29"/>
      <c r="V572" s="29"/>
      <c r="W572" s="29"/>
      <c r="X572" s="27"/>
      <c r="Y572" s="29" t="s">
        <v>30</v>
      </c>
      <c r="Z572" s="29" t="s">
        <v>42</v>
      </c>
      <c r="AA572" s="29" t="s">
        <v>22</v>
      </c>
      <c r="AB572" s="29" t="s">
        <v>2104</v>
      </c>
      <c r="AC572" s="133">
        <v>45786</v>
      </c>
      <c r="AD572" s="223">
        <v>45789</v>
      </c>
      <c r="AE572" s="29"/>
      <c r="AF572" s="29"/>
      <c r="AG572" s="29"/>
      <c r="AH572" s="85">
        <v>45792</v>
      </c>
      <c r="AI572" s="29" t="s">
        <v>30</v>
      </c>
      <c r="AJ572" s="224">
        <v>45793</v>
      </c>
      <c r="AK572" s="224">
        <v>45797</v>
      </c>
      <c r="AL572" s="102"/>
      <c r="AM572" s="41" t="str">
        <f>VLOOKUP(Table2[[#This Row],[country]],Countrycode!A:B,2,FALSE)</f>
        <v>PNG</v>
      </c>
      <c r="AN572" s="34">
        <f>IF(ISBLANK(Table2[[#This Row],[Need_RRA]]), 2,(IF(Table2[[#This Row],[Need_RRA]]="No", 0, (IF(AND(Table2[[#This Row],[Need_RRA]]="Yes",  Table2[[#This Row],[RRA_pub_date]]=""),1, 0)))))</f>
        <v>0</v>
      </c>
      <c r="AO572" s="34">
        <f>IF(ISBLANK(Table2[[#This Row],[Need_EIS]]), 2,(IF(Table2[[#This Row],[Need_EIS]]="No", 0, (IF(AND(Table2[[#This Row],[Need_EIS]]="Yes",  Table2[[#This Row],[EIS_pub_date]]=""),1, 0)))))</f>
        <v>0</v>
      </c>
      <c r="AP572" s="34">
        <f>IF(ISBLANK(Table2[[#This Row],[Need_DON]]), 2,(IF(Table2[[#This Row],[Need_DON]]="No", 0, (IF(AND(Table2[[#This Row],[Need_DON]]="Yes",  Table2[[#This Row],[DON_pub_date]]=""),1, 0)))))</f>
        <v>0</v>
      </c>
      <c r="AQ572" s="34">
        <f>IF(ISBLANK(Table2[[#This Row],[Pending_question]]), 2,(IF(Table2[[#This Row],[Pending_question]]="Yes", 1, 0)))</f>
        <v>0</v>
      </c>
      <c r="AR572" s="225"/>
    </row>
    <row r="573" spans="1:44" ht="15.75" customHeight="1">
      <c r="A573" s="60">
        <v>45789</v>
      </c>
      <c r="B573" s="29" t="s">
        <v>15</v>
      </c>
      <c r="C573" s="34" t="str" cm="1">
        <f t="array" ref="C57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73" s="27" t="s">
        <v>927</v>
      </c>
      <c r="E573" s="70" t="s">
        <v>188</v>
      </c>
      <c r="F573" s="54" t="s">
        <v>274</v>
      </c>
      <c r="G573" s="29" t="s">
        <v>34</v>
      </c>
      <c r="H573" s="55">
        <v>45793</v>
      </c>
      <c r="I573" s="55">
        <v>45792</v>
      </c>
      <c r="J573" s="55">
        <v>45789</v>
      </c>
      <c r="K573" s="402" t="s">
        <v>2105</v>
      </c>
      <c r="L573" s="104" t="s">
        <v>2106</v>
      </c>
      <c r="M573" s="213" t="s">
        <v>19</v>
      </c>
      <c r="N573" s="214"/>
      <c r="O573" s="215"/>
      <c r="P573" s="55" t="s">
        <v>19</v>
      </c>
      <c r="Q573" s="84"/>
      <c r="R573" s="54"/>
      <c r="S573" s="29"/>
      <c r="T573" s="223"/>
      <c r="U573" s="29"/>
      <c r="V573" s="29"/>
      <c r="W573" s="29"/>
      <c r="X573" s="27"/>
      <c r="Y573" s="54" t="s">
        <v>30</v>
      </c>
      <c r="Z573" s="29" t="s">
        <v>42</v>
      </c>
      <c r="AA573" s="29" t="s">
        <v>22</v>
      </c>
      <c r="AB573" s="54" t="s">
        <v>2107</v>
      </c>
      <c r="AC573" s="59">
        <v>45785</v>
      </c>
      <c r="AD573" s="59">
        <v>45789</v>
      </c>
      <c r="AE573" s="59">
        <v>45789</v>
      </c>
      <c r="AF573" s="59">
        <v>45791</v>
      </c>
      <c r="AG573" s="29"/>
      <c r="AH573" s="85">
        <v>45797</v>
      </c>
      <c r="AI573" s="54" t="s">
        <v>19</v>
      </c>
      <c r="AJ573" s="224"/>
      <c r="AK573" s="27"/>
      <c r="AL573" s="102" t="s">
        <v>2108</v>
      </c>
      <c r="AM573" s="41" t="str">
        <f>VLOOKUP(Table2[[#This Row],[country]],Countrycode!A:B,2,FALSE)</f>
        <v>IND</v>
      </c>
      <c r="AN573" s="34">
        <f>IF(ISBLANK(Table2[[#This Row],[Need_RRA]]), 2,(IF(Table2[[#This Row],[Need_RRA]]="No", 0, (IF(AND(Table2[[#This Row],[Need_RRA]]="Yes",  Table2[[#This Row],[RRA_pub_date]]=""),1, 0)))))</f>
        <v>0</v>
      </c>
      <c r="AO573" s="34">
        <f>IF(ISBLANK(Table2[[#This Row],[Need_EIS]]), 2,(IF(Table2[[#This Row],[Need_EIS]]="No", 0, (IF(AND(Table2[[#This Row],[Need_EIS]]="Yes",  Table2[[#This Row],[EIS_pub_date]]=""),1, 0)))))</f>
        <v>0</v>
      </c>
      <c r="AP573" s="34">
        <f>IF(ISBLANK(Table2[[#This Row],[Need_DON]]), 2,(IF(Table2[[#This Row],[Need_DON]]="No", 0, (IF(AND(Table2[[#This Row],[Need_DON]]="Yes",  Table2[[#This Row],[DON_pub_date]]=""),1, 0)))))</f>
        <v>0</v>
      </c>
      <c r="AQ573" s="34">
        <f>IF(ISBLANK(Table2[[#This Row],[Pending_question]]), 2,(IF(Table2[[#This Row],[Pending_question]]="Yes", 1, 0)))</f>
        <v>0</v>
      </c>
      <c r="AR573" s="225"/>
    </row>
    <row r="574" spans="1:44" ht="15.75" customHeight="1">
      <c r="A574" s="60">
        <v>45789</v>
      </c>
      <c r="B574" s="29" t="s">
        <v>15</v>
      </c>
      <c r="C574" s="34" t="s">
        <v>1947</v>
      </c>
      <c r="D574" s="27" t="s">
        <v>1020</v>
      </c>
      <c r="E574" s="70" t="s">
        <v>99</v>
      </c>
      <c r="F574" s="54" t="s">
        <v>173</v>
      </c>
      <c r="G574" s="29" t="s">
        <v>34</v>
      </c>
      <c r="H574" s="55">
        <v>45789</v>
      </c>
      <c r="I574" s="223"/>
      <c r="J574" s="59">
        <v>45789</v>
      </c>
      <c r="K574" s="59" t="s">
        <v>2109</v>
      </c>
      <c r="L574" s="351" t="s">
        <v>2110</v>
      </c>
      <c r="M574" s="213" t="s">
        <v>19</v>
      </c>
      <c r="N574" s="214"/>
      <c r="O574" s="215"/>
      <c r="P574" s="55" t="s">
        <v>19</v>
      </c>
      <c r="Q574" s="84"/>
      <c r="R574" s="54"/>
      <c r="S574" s="29"/>
      <c r="T574" s="223"/>
      <c r="U574" s="29"/>
      <c r="V574" s="29"/>
      <c r="W574" s="29"/>
      <c r="X574" s="27"/>
      <c r="Y574" s="54" t="s">
        <v>30</v>
      </c>
      <c r="Z574" s="29" t="s">
        <v>42</v>
      </c>
      <c r="AA574" s="29" t="s">
        <v>22</v>
      </c>
      <c r="AB574" s="54" t="s">
        <v>2111</v>
      </c>
      <c r="AC574" s="133">
        <v>45787</v>
      </c>
      <c r="AD574" s="223">
        <v>45789</v>
      </c>
      <c r="AE574" s="59">
        <v>45790</v>
      </c>
      <c r="AF574" s="59">
        <v>45791</v>
      </c>
      <c r="AG574" s="59">
        <v>45805</v>
      </c>
      <c r="AH574" s="85">
        <v>45793</v>
      </c>
      <c r="AI574" s="54" t="s">
        <v>19</v>
      </c>
      <c r="AJ574" s="224"/>
      <c r="AK574" s="27"/>
      <c r="AL574" s="102"/>
      <c r="AM574" s="41" t="str">
        <f>VLOOKUP(Table2[[#This Row],[country]],Countrycode!A:B,2,FALSE)</f>
        <v>CHN</v>
      </c>
      <c r="AN574" s="34">
        <f>IF(ISBLANK(Table2[[#This Row],[Need_RRA]]), 2,(IF(Table2[[#This Row],[Need_RRA]]="No", 0, (IF(AND(Table2[[#This Row],[Need_RRA]]="Yes",  Table2[[#This Row],[RRA_pub_date]]=""),1, 0)))))</f>
        <v>0</v>
      </c>
      <c r="AO574" s="34">
        <f>IF(ISBLANK(Table2[[#This Row],[Need_EIS]]), 2,(IF(Table2[[#This Row],[Need_EIS]]="No", 0, (IF(AND(Table2[[#This Row],[Need_EIS]]="Yes",  Table2[[#This Row],[EIS_pub_date]]=""),1, 0)))))</f>
        <v>0</v>
      </c>
      <c r="AP574" s="34">
        <f>IF(ISBLANK(Table2[[#This Row],[Need_DON]]), 2,(IF(Table2[[#This Row],[Need_DON]]="No", 0, (IF(AND(Table2[[#This Row],[Need_DON]]="Yes",  Table2[[#This Row],[DON_pub_date]]=""),1, 0)))))</f>
        <v>0</v>
      </c>
      <c r="AQ574" s="34">
        <f>IF(ISBLANK(Table2[[#This Row],[Pending_question]]), 2,(IF(Table2[[#This Row],[Pending_question]]="Yes", 1, 0)))</f>
        <v>0</v>
      </c>
      <c r="AR574" s="225"/>
    </row>
    <row r="575" spans="1:44" ht="15.75" customHeight="1">
      <c r="A575" s="60">
        <v>45789</v>
      </c>
      <c r="B575" s="29" t="s">
        <v>15</v>
      </c>
      <c r="C575" s="160" t="s">
        <v>1947</v>
      </c>
      <c r="D575" s="27" t="s">
        <v>1020</v>
      </c>
      <c r="E575" s="70" t="s">
        <v>110</v>
      </c>
      <c r="F575" s="54" t="s">
        <v>173</v>
      </c>
      <c r="G575" s="29" t="s">
        <v>34</v>
      </c>
      <c r="H575" s="55">
        <v>45789</v>
      </c>
      <c r="I575" s="223"/>
      <c r="J575" s="59">
        <v>45789</v>
      </c>
      <c r="K575" s="59" t="s">
        <v>2112</v>
      </c>
      <c r="L575" s="104" t="s">
        <v>2113</v>
      </c>
      <c r="M575" s="213" t="s">
        <v>19</v>
      </c>
      <c r="N575" s="214"/>
      <c r="O575" s="215"/>
      <c r="P575" s="55" t="s">
        <v>19</v>
      </c>
      <c r="Q575" s="84"/>
      <c r="R575" s="54"/>
      <c r="S575" s="29"/>
      <c r="T575" s="223"/>
      <c r="U575" s="29"/>
      <c r="V575" s="29"/>
      <c r="W575" s="29"/>
      <c r="X575" s="27"/>
      <c r="Y575" s="54" t="s">
        <v>30</v>
      </c>
      <c r="Z575" s="29" t="s">
        <v>42</v>
      </c>
      <c r="AA575" s="29" t="s">
        <v>22</v>
      </c>
      <c r="AB575" s="54" t="s">
        <v>2114</v>
      </c>
      <c r="AC575" s="133">
        <v>45787</v>
      </c>
      <c r="AD575" s="223">
        <v>45789</v>
      </c>
      <c r="AE575" s="59">
        <v>45790</v>
      </c>
      <c r="AF575" s="59">
        <v>45798</v>
      </c>
      <c r="AG575" s="59">
        <v>45798</v>
      </c>
      <c r="AH575" s="85">
        <v>45799</v>
      </c>
      <c r="AI575" s="54" t="s">
        <v>19</v>
      </c>
      <c r="AJ575" s="224"/>
      <c r="AK575" s="27"/>
      <c r="AL575" s="102"/>
      <c r="AM575" s="41" t="str">
        <f>VLOOKUP(Table2[[#This Row],[country]],Countrycode!A:B,2,FALSE)</f>
        <v>CHN</v>
      </c>
      <c r="AN575" s="34">
        <f>IF(ISBLANK(Table2[[#This Row],[Need_RRA]]), 2,(IF(Table2[[#This Row],[Need_RRA]]="No", 0, (IF(AND(Table2[[#This Row],[Need_RRA]]="Yes",  Table2[[#This Row],[RRA_pub_date]]=""),1, 0)))))</f>
        <v>0</v>
      </c>
      <c r="AO575" s="34">
        <f>IF(ISBLANK(Table2[[#This Row],[Need_EIS]]), 2,(IF(Table2[[#This Row],[Need_EIS]]="No", 0, (IF(AND(Table2[[#This Row],[Need_EIS]]="Yes",  Table2[[#This Row],[EIS_pub_date]]=""),1, 0)))))</f>
        <v>0</v>
      </c>
      <c r="AP575" s="34">
        <f>IF(ISBLANK(Table2[[#This Row],[Need_DON]]), 2,(IF(Table2[[#This Row],[Need_DON]]="No", 0, (IF(AND(Table2[[#This Row],[Need_DON]]="Yes",  Table2[[#This Row],[DON_pub_date]]=""),1, 0)))))</f>
        <v>0</v>
      </c>
      <c r="AQ575" s="34">
        <f>IF(ISBLANK(Table2[[#This Row],[Pending_question]]), 2,(IF(Table2[[#This Row],[Pending_question]]="Yes", 1, 0)))</f>
        <v>0</v>
      </c>
      <c r="AR575" s="225"/>
    </row>
    <row r="576" spans="1:44" ht="15.75" customHeight="1">
      <c r="A576" s="60">
        <v>45789</v>
      </c>
      <c r="B576" s="29" t="s">
        <v>15</v>
      </c>
      <c r="C576" s="160" t="s">
        <v>1947</v>
      </c>
      <c r="D576" s="27" t="s">
        <v>1020</v>
      </c>
      <c r="E576" s="70" t="s">
        <v>68</v>
      </c>
      <c r="F576" s="54" t="s">
        <v>173</v>
      </c>
      <c r="G576" s="29" t="s">
        <v>34</v>
      </c>
      <c r="H576" s="55">
        <v>45789</v>
      </c>
      <c r="I576" s="223">
        <v>45798</v>
      </c>
      <c r="J576" s="407">
        <v>45789</v>
      </c>
      <c r="K576" s="59" t="s">
        <v>2115</v>
      </c>
      <c r="L576" s="104" t="s">
        <v>2116</v>
      </c>
      <c r="M576" s="213" t="s">
        <v>19</v>
      </c>
      <c r="N576" s="214"/>
      <c r="O576" s="215"/>
      <c r="P576" s="55" t="s">
        <v>19</v>
      </c>
      <c r="Q576" s="84"/>
      <c r="R576" s="54"/>
      <c r="S576" s="29"/>
      <c r="T576" s="223"/>
      <c r="U576" s="29"/>
      <c r="V576" s="29"/>
      <c r="W576" s="29"/>
      <c r="X576" s="27"/>
      <c r="Y576" s="54" t="s">
        <v>30</v>
      </c>
      <c r="Z576" s="29" t="s">
        <v>42</v>
      </c>
      <c r="AA576" s="29" t="s">
        <v>22</v>
      </c>
      <c r="AB576" s="54" t="s">
        <v>2117</v>
      </c>
      <c r="AC576" s="133">
        <v>45787</v>
      </c>
      <c r="AD576" s="223">
        <v>45789</v>
      </c>
      <c r="AE576" s="59">
        <v>45790</v>
      </c>
      <c r="AF576" s="59">
        <v>45791</v>
      </c>
      <c r="AG576" s="29"/>
      <c r="AH576" s="85">
        <v>45793</v>
      </c>
      <c r="AI576" s="54" t="s">
        <v>19</v>
      </c>
      <c r="AJ576" s="224"/>
      <c r="AK576" s="27"/>
      <c r="AL576" s="102"/>
      <c r="AM576" s="41" t="str">
        <f>VLOOKUP(Table2[[#This Row],[country]],Countrycode!A:B,2,FALSE)</f>
        <v>CHN</v>
      </c>
      <c r="AN576" s="34">
        <f>IF(ISBLANK(Table2[[#This Row],[Need_RRA]]), 2,(IF(Table2[[#This Row],[Need_RRA]]="No", 0, (IF(AND(Table2[[#This Row],[Need_RRA]]="Yes",  Table2[[#This Row],[RRA_pub_date]]=""),1, 0)))))</f>
        <v>0</v>
      </c>
      <c r="AO576" s="34">
        <f>IF(ISBLANK(Table2[[#This Row],[Need_EIS]]), 2,(IF(Table2[[#This Row],[Need_EIS]]="No", 0, (IF(AND(Table2[[#This Row],[Need_EIS]]="Yes",  Table2[[#This Row],[EIS_pub_date]]=""),1, 0)))))</f>
        <v>0</v>
      </c>
      <c r="AP576" s="34">
        <f>IF(ISBLANK(Table2[[#This Row],[Need_DON]]), 2,(IF(Table2[[#This Row],[Need_DON]]="No", 0, (IF(AND(Table2[[#This Row],[Need_DON]]="Yes",  Table2[[#This Row],[DON_pub_date]]=""),1, 0)))))</f>
        <v>0</v>
      </c>
      <c r="AQ576" s="34">
        <f>IF(ISBLANK(Table2[[#This Row],[Pending_question]]), 2,(IF(Table2[[#This Row],[Pending_question]]="Yes", 1, 0)))</f>
        <v>0</v>
      </c>
      <c r="AR576" s="225"/>
    </row>
    <row r="577" spans="1:44" ht="15.75" customHeight="1">
      <c r="A577" s="60">
        <v>45790</v>
      </c>
      <c r="B577" s="29" t="s">
        <v>15</v>
      </c>
      <c r="C577" s="34" t="str" cm="1">
        <f t="array" ref="C57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77" s="27" t="s">
        <v>927</v>
      </c>
      <c r="E577" s="67" t="s">
        <v>57</v>
      </c>
      <c r="F577" s="29" t="s">
        <v>386</v>
      </c>
      <c r="G577" s="29" t="s">
        <v>34</v>
      </c>
      <c r="H577" s="59">
        <v>45811</v>
      </c>
      <c r="I577" s="55">
        <v>45796</v>
      </c>
      <c r="J577" s="59">
        <v>45789</v>
      </c>
      <c r="K577" s="59" t="s">
        <v>2118</v>
      </c>
      <c r="L577" s="112" t="s">
        <v>2119</v>
      </c>
      <c r="M577" s="283" t="s">
        <v>19</v>
      </c>
      <c r="N577" s="223"/>
      <c r="O577" s="226"/>
      <c r="P577" s="59" t="s">
        <v>19</v>
      </c>
      <c r="Q577" s="84"/>
      <c r="R577" s="29"/>
      <c r="S577" s="29"/>
      <c r="T577" s="223"/>
      <c r="U577" s="29"/>
      <c r="V577" s="29"/>
      <c r="W577" s="29"/>
      <c r="X577" s="27"/>
      <c r="Y577" s="29" t="s">
        <v>30</v>
      </c>
      <c r="Z577" s="29" t="s">
        <v>42</v>
      </c>
      <c r="AA577" s="29" t="s">
        <v>22</v>
      </c>
      <c r="AB577" s="29" t="s">
        <v>2120</v>
      </c>
      <c r="AC577" s="59">
        <v>45789</v>
      </c>
      <c r="AD577" s="59">
        <v>45789</v>
      </c>
      <c r="AE577" s="59">
        <v>45791</v>
      </c>
      <c r="AF577" s="29"/>
      <c r="AG577" s="59">
        <v>45796</v>
      </c>
      <c r="AH577" s="85">
        <v>45799</v>
      </c>
      <c r="AI577" s="29" t="s">
        <v>30</v>
      </c>
      <c r="AJ577" s="224">
        <v>45800</v>
      </c>
      <c r="AK577" s="85">
        <v>45806</v>
      </c>
      <c r="AL577" s="102"/>
      <c r="AM577" s="41" t="str">
        <f>VLOOKUP(Table2[[#This Row],[country]],Countrycode!A:B,2,FALSE)</f>
        <v>THA</v>
      </c>
      <c r="AN577" s="34">
        <f>IF(ISBLANK(Table2[[#This Row],[Need_RRA]]), 2,(IF(Table2[[#This Row],[Need_RRA]]="No", 0, (IF(AND(Table2[[#This Row],[Need_RRA]]="Yes",  Table2[[#This Row],[RRA_pub_date]]=""),1, 0)))))</f>
        <v>0</v>
      </c>
      <c r="AO577" s="34">
        <f>IF(ISBLANK(Table2[[#This Row],[Need_EIS]]), 2,(IF(Table2[[#This Row],[Need_EIS]]="No", 0, (IF(AND(Table2[[#This Row],[Need_EIS]]="Yes",  Table2[[#This Row],[EIS_pub_date]]=""),1, 0)))))</f>
        <v>0</v>
      </c>
      <c r="AP577" s="34">
        <f>IF(ISBLANK(Table2[[#This Row],[Need_DON]]), 2,(IF(Table2[[#This Row],[Need_DON]]="No", 0, (IF(AND(Table2[[#This Row],[Need_DON]]="Yes",  Table2[[#This Row],[DON_pub_date]]=""),1, 0)))))</f>
        <v>0</v>
      </c>
      <c r="AQ577" s="34">
        <f>IF(ISBLANK(Table2[[#This Row],[Pending_question]]), 2,(IF(Table2[[#This Row],[Pending_question]]="Yes", 1, 0)))</f>
        <v>0</v>
      </c>
      <c r="AR577" s="225"/>
    </row>
    <row r="578" spans="1:44" ht="15.75" customHeight="1">
      <c r="A578" s="60">
        <v>45792</v>
      </c>
      <c r="B578" s="29" t="s">
        <v>15</v>
      </c>
      <c r="C578" s="34" t="str" cm="1">
        <f t="array" ref="C57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78" s="27" t="s">
        <v>1020</v>
      </c>
      <c r="E578" s="67" t="s">
        <v>182</v>
      </c>
      <c r="F578" s="29" t="s">
        <v>105</v>
      </c>
      <c r="G578" s="29" t="s">
        <v>34</v>
      </c>
      <c r="H578" s="59">
        <v>45792</v>
      </c>
      <c r="I578" s="223">
        <v>45799</v>
      </c>
      <c r="J578" s="59">
        <v>45792</v>
      </c>
      <c r="K578" s="250" t="s">
        <v>2121</v>
      </c>
      <c r="L578" s="104" t="s">
        <v>2122</v>
      </c>
      <c r="M578" s="283" t="s">
        <v>19</v>
      </c>
      <c r="N578" s="223"/>
      <c r="O578" s="226"/>
      <c r="P578" s="59" t="s">
        <v>19</v>
      </c>
      <c r="Q578" s="84"/>
      <c r="R578" s="29"/>
      <c r="S578" s="29"/>
      <c r="T578" s="223"/>
      <c r="U578" s="29"/>
      <c r="V578" s="29"/>
      <c r="W578" s="29"/>
      <c r="X578" s="27"/>
      <c r="Y578" s="29" t="s">
        <v>30</v>
      </c>
      <c r="Z578" s="29" t="s">
        <v>42</v>
      </c>
      <c r="AA578" s="29" t="s">
        <v>22</v>
      </c>
      <c r="AB578" s="29" t="s">
        <v>2123</v>
      </c>
      <c r="AC578" s="59">
        <v>45792</v>
      </c>
      <c r="AD578" s="223">
        <v>45792</v>
      </c>
      <c r="AE578" s="59">
        <v>45792</v>
      </c>
      <c r="AF578" s="59">
        <v>45792</v>
      </c>
      <c r="AG578" s="59">
        <v>45796</v>
      </c>
      <c r="AH578" s="85">
        <v>45799</v>
      </c>
      <c r="AI578" s="29" t="s">
        <v>31</v>
      </c>
      <c r="AJ578" s="224"/>
      <c r="AK578" s="27"/>
      <c r="AL578" s="102"/>
      <c r="AM578" s="41" t="str">
        <f>VLOOKUP(Table2[[#This Row],[country]],Countrycode!A:B,2,FALSE)</f>
        <v>AUS</v>
      </c>
      <c r="AN578" s="34">
        <f>IF(ISBLANK(Table2[[#This Row],[Need_RRA]]), 2,(IF(Table2[[#This Row],[Need_RRA]]="No", 0, (IF(AND(Table2[[#This Row],[Need_RRA]]="Yes",  Table2[[#This Row],[RRA_pub_date]]=""),1, 0)))))</f>
        <v>0</v>
      </c>
      <c r="AO578" s="34">
        <f>IF(ISBLANK(Table2[[#This Row],[Need_EIS]]), 2,(IF(Table2[[#This Row],[Need_EIS]]="No", 0, (IF(AND(Table2[[#This Row],[Need_EIS]]="Yes",  Table2[[#This Row],[EIS_pub_date]]=""),1, 0)))))</f>
        <v>0</v>
      </c>
      <c r="AP578" s="34">
        <f>IF(ISBLANK(Table2[[#This Row],[Need_DON]]), 2,(IF(Table2[[#This Row],[Need_DON]]="No", 0, (IF(AND(Table2[[#This Row],[Need_DON]]="Yes",  Table2[[#This Row],[DON_pub_date]]=""),1, 0)))))</f>
        <v>0</v>
      </c>
      <c r="AQ578" s="34">
        <f>IF(ISBLANK(Table2[[#This Row],[Pending_question]]), 2,(IF(Table2[[#This Row],[Pending_question]]="Yes", 1, 0)))</f>
        <v>0</v>
      </c>
      <c r="AR578" s="225"/>
    </row>
    <row r="579" spans="1:44" ht="15.75" customHeight="1">
      <c r="A579" s="60">
        <v>45792</v>
      </c>
      <c r="B579" s="29" t="s">
        <v>15</v>
      </c>
      <c r="C579" s="34" t="str" cm="1">
        <f t="array" ref="C57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79" s="27" t="s">
        <v>1020</v>
      </c>
      <c r="E579" s="67" t="s">
        <v>182</v>
      </c>
      <c r="F579" s="29" t="s">
        <v>173</v>
      </c>
      <c r="G579" s="29" t="s">
        <v>34</v>
      </c>
      <c r="H579" s="59">
        <v>45792</v>
      </c>
      <c r="I579" s="223">
        <v>45804</v>
      </c>
      <c r="J579" s="59">
        <v>45789</v>
      </c>
      <c r="K579" s="59" t="s">
        <v>1954</v>
      </c>
      <c r="L579" s="104" t="s">
        <v>1955</v>
      </c>
      <c r="M579" s="283" t="s">
        <v>19</v>
      </c>
      <c r="N579" s="223"/>
      <c r="O579" s="226"/>
      <c r="P579" s="59" t="s">
        <v>19</v>
      </c>
      <c r="Q579" s="84"/>
      <c r="R579" s="29"/>
      <c r="S579" s="29"/>
      <c r="T579" s="223"/>
      <c r="U579" s="29"/>
      <c r="V579" s="29"/>
      <c r="W579" s="29"/>
      <c r="X579" s="27"/>
      <c r="Y579" s="29" t="s">
        <v>30</v>
      </c>
      <c r="Z579" s="29" t="s">
        <v>42</v>
      </c>
      <c r="AA579" s="29" t="s">
        <v>22</v>
      </c>
      <c r="AB579" s="29" t="s">
        <v>2124</v>
      </c>
      <c r="AC579" s="59">
        <v>45792</v>
      </c>
      <c r="AD579" s="223">
        <v>45792</v>
      </c>
      <c r="AE579" s="59">
        <v>45793</v>
      </c>
      <c r="AF579" s="59">
        <v>45793</v>
      </c>
      <c r="AG579" s="59">
        <v>45804</v>
      </c>
      <c r="AH579" s="27" t="s">
        <v>2125</v>
      </c>
      <c r="AI579" s="29" t="s">
        <v>19</v>
      </c>
      <c r="AJ579" s="224"/>
      <c r="AK579" s="27"/>
      <c r="AL579" s="102"/>
      <c r="AM579" s="41" t="str">
        <f>VLOOKUP(Table2[[#This Row],[country]],Countrycode!A:B,2,FALSE)</f>
        <v>CHN</v>
      </c>
      <c r="AN579" s="34">
        <f>IF(ISBLANK(Table2[[#This Row],[Need_RRA]]), 2,(IF(Table2[[#This Row],[Need_RRA]]="No", 0, (IF(AND(Table2[[#This Row],[Need_RRA]]="Yes",  Table2[[#This Row],[RRA_pub_date]]=""),1, 0)))))</f>
        <v>0</v>
      </c>
      <c r="AO579" s="34">
        <f>IF(ISBLANK(Table2[[#This Row],[Need_EIS]]), 2,(IF(Table2[[#This Row],[Need_EIS]]="No", 0, (IF(AND(Table2[[#This Row],[Need_EIS]]="Yes",  Table2[[#This Row],[EIS_pub_date]]=""),1, 0)))))</f>
        <v>0</v>
      </c>
      <c r="AP579" s="34">
        <f>IF(ISBLANK(Table2[[#This Row],[Need_DON]]), 2,(IF(Table2[[#This Row],[Need_DON]]="No", 0, (IF(AND(Table2[[#This Row],[Need_DON]]="Yes",  Table2[[#This Row],[DON_pub_date]]=""),1, 0)))))</f>
        <v>0</v>
      </c>
      <c r="AQ579" s="34">
        <f>IF(ISBLANK(Table2[[#This Row],[Pending_question]]), 2,(IF(Table2[[#This Row],[Pending_question]]="Yes", 1, 0)))</f>
        <v>0</v>
      </c>
      <c r="AR579" s="225"/>
    </row>
    <row r="580" spans="1:44" ht="15.75" customHeight="1">
      <c r="A580" s="60">
        <v>45793</v>
      </c>
      <c r="B580" s="29" t="s">
        <v>15</v>
      </c>
      <c r="C580" s="34" t="str" cm="1">
        <f t="array" ref="C58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80" s="27" t="s">
        <v>1020</v>
      </c>
      <c r="E580" s="70" t="s">
        <v>182</v>
      </c>
      <c r="F580" s="54" t="s">
        <v>93</v>
      </c>
      <c r="G580" s="29" t="s">
        <v>34</v>
      </c>
      <c r="H580" s="55">
        <v>45793</v>
      </c>
      <c r="I580" s="223"/>
      <c r="J580" s="59"/>
      <c r="K580" s="250" t="s">
        <v>948</v>
      </c>
      <c r="L580" s="182" t="s">
        <v>949</v>
      </c>
      <c r="M580" s="213" t="s">
        <v>19</v>
      </c>
      <c r="N580" s="214"/>
      <c r="O580" s="215"/>
      <c r="P580" s="55" t="s">
        <v>30</v>
      </c>
      <c r="Q580" s="84">
        <v>4</v>
      </c>
      <c r="R580" s="54" t="s">
        <v>2126</v>
      </c>
      <c r="S580" s="59">
        <v>45790</v>
      </c>
      <c r="T580" s="223">
        <v>45796</v>
      </c>
      <c r="U580" s="59">
        <v>45812</v>
      </c>
      <c r="V580" s="29"/>
      <c r="W580" s="29"/>
      <c r="X580" s="27" t="s">
        <v>32</v>
      </c>
      <c r="Y580" s="54" t="s">
        <v>19</v>
      </c>
      <c r="Z580" s="29"/>
      <c r="AA580" s="29"/>
      <c r="AB580" s="54"/>
      <c r="AC580" s="59"/>
      <c r="AD580" s="223"/>
      <c r="AE580" s="29"/>
      <c r="AF580" s="29"/>
      <c r="AG580" s="29"/>
      <c r="AH580" s="27"/>
      <c r="AI580" s="54" t="s">
        <v>19</v>
      </c>
      <c r="AJ580" s="224"/>
      <c r="AK580" s="27"/>
      <c r="AL580" s="102"/>
      <c r="AM580" s="41" t="e">
        <f>VLOOKUP(Table2[[#This Row],[country]],Countrycode!A:B,2,FALSE)</f>
        <v>#N/A</v>
      </c>
      <c r="AN580" s="34">
        <f>IF(ISBLANK(Table2[[#This Row],[Need_RRA]]), 2,(IF(Table2[[#This Row],[Need_RRA]]="No", 0, (IF(AND(Table2[[#This Row],[Need_RRA]]="Yes",  Table2[[#This Row],[RRA_pub_date]]=""),1, 0)))))</f>
        <v>0</v>
      </c>
      <c r="AO580" s="34">
        <f>IF(ISBLANK(Table2[[#This Row],[Need_EIS]]), 2,(IF(Table2[[#This Row],[Need_EIS]]="No", 0, (IF(AND(Table2[[#This Row],[Need_EIS]]="Yes",  Table2[[#This Row],[EIS_pub_date]]=""),1, 0)))))</f>
        <v>0</v>
      </c>
      <c r="AP580" s="34">
        <f>IF(ISBLANK(Table2[[#This Row],[Need_DON]]), 2,(IF(Table2[[#This Row],[Need_DON]]="No", 0, (IF(AND(Table2[[#This Row],[Need_DON]]="Yes",  Table2[[#This Row],[DON_pub_date]]=""),1, 0)))))</f>
        <v>0</v>
      </c>
      <c r="AQ580" s="34">
        <f>IF(ISBLANK(Table2[[#This Row],[Pending_question]]), 2,(IF(Table2[[#This Row],[Pending_question]]="Yes", 1, 0)))</f>
        <v>0</v>
      </c>
      <c r="AR580" s="225"/>
    </row>
    <row r="581" spans="1:44" ht="15.75" customHeight="1">
      <c r="A581" s="60">
        <v>45797</v>
      </c>
      <c r="B581" s="29" t="s">
        <v>15</v>
      </c>
      <c r="C581" s="34" t="str" cm="1">
        <f t="array" ref="C58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81" s="27" t="s">
        <v>1741</v>
      </c>
      <c r="E581" s="67" t="s">
        <v>132</v>
      </c>
      <c r="F581" s="29" t="s">
        <v>93</v>
      </c>
      <c r="G581" s="29"/>
      <c r="H581" s="29"/>
      <c r="I581" s="223"/>
      <c r="J581" s="59"/>
      <c r="K581" s="59"/>
      <c r="L581" s="104"/>
      <c r="M581" s="283" t="s">
        <v>19</v>
      </c>
      <c r="N581" s="223"/>
      <c r="O581" s="226"/>
      <c r="P581" s="59" t="s">
        <v>19</v>
      </c>
      <c r="Q581" s="84"/>
      <c r="R581" s="29"/>
      <c r="S581" s="29"/>
      <c r="T581" s="223"/>
      <c r="U581" s="29"/>
      <c r="V581" s="29"/>
      <c r="W581" s="29"/>
      <c r="X581" s="27"/>
      <c r="Y581" s="29" t="s">
        <v>19</v>
      </c>
      <c r="Z581" s="29"/>
      <c r="AA581" s="29"/>
      <c r="AB581" s="29"/>
      <c r="AC581" s="29"/>
      <c r="AD581" s="223"/>
      <c r="AE581" s="29"/>
      <c r="AF581" s="29"/>
      <c r="AG581" s="29"/>
      <c r="AH581" s="27"/>
      <c r="AI581" s="29" t="s">
        <v>30</v>
      </c>
      <c r="AJ581" s="224">
        <v>45797</v>
      </c>
      <c r="AK581" s="85">
        <v>45805</v>
      </c>
      <c r="AL581" s="102"/>
      <c r="AM581" s="41" t="e">
        <f>VLOOKUP(Table2[[#This Row],[country]],Countrycode!A:B,2,FALSE)</f>
        <v>#N/A</v>
      </c>
      <c r="AN581" s="34">
        <f>IF(ISBLANK(Table2[[#This Row],[Need_RRA]]), 2,(IF(Table2[[#This Row],[Need_RRA]]="No", 0, (IF(AND(Table2[[#This Row],[Need_RRA]]="Yes",  Table2[[#This Row],[RRA_pub_date]]=""),1, 0)))))</f>
        <v>0</v>
      </c>
      <c r="AO581" s="34">
        <f>IF(ISBLANK(Table2[[#This Row],[Need_EIS]]), 2,(IF(Table2[[#This Row],[Need_EIS]]="No", 0, (IF(AND(Table2[[#This Row],[Need_EIS]]="Yes",  Table2[[#This Row],[EIS_pub_date]]=""),1, 0)))))</f>
        <v>0</v>
      </c>
      <c r="AP581" s="34">
        <f>IF(ISBLANK(Table2[[#This Row],[Need_DON]]), 2,(IF(Table2[[#This Row],[Need_DON]]="No", 0, (IF(AND(Table2[[#This Row],[Need_DON]]="Yes",  Table2[[#This Row],[DON_pub_date]]=""),1, 0)))))</f>
        <v>0</v>
      </c>
      <c r="AQ581" s="34">
        <f>IF(ISBLANK(Table2[[#This Row],[Pending_question]]), 2,(IF(Table2[[#This Row],[Pending_question]]="Yes", 1, 0)))</f>
        <v>0</v>
      </c>
      <c r="AR581" s="225"/>
    </row>
    <row r="582" spans="1:44" ht="15.75" customHeight="1">
      <c r="A582" s="60">
        <v>45807</v>
      </c>
      <c r="B582" s="29" t="s">
        <v>15</v>
      </c>
      <c r="C582" s="34" t="str" cm="1">
        <f t="array" ref="C58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82" s="27" t="s">
        <v>927</v>
      </c>
      <c r="E582" s="67" t="s">
        <v>99</v>
      </c>
      <c r="F582" s="29" t="s">
        <v>159</v>
      </c>
      <c r="G582" s="29" t="s">
        <v>34</v>
      </c>
      <c r="H582" s="59">
        <v>45810</v>
      </c>
      <c r="I582" s="59">
        <v>45813</v>
      </c>
      <c r="J582" s="59">
        <v>45806</v>
      </c>
      <c r="K582" s="59" t="s">
        <v>2127</v>
      </c>
      <c r="L582" s="112" t="s">
        <v>2128</v>
      </c>
      <c r="M582" s="283" t="s">
        <v>19</v>
      </c>
      <c r="N582" s="223"/>
      <c r="O582" s="226"/>
      <c r="P582" s="59" t="s">
        <v>19</v>
      </c>
      <c r="Q582" s="84"/>
      <c r="R582" s="29"/>
      <c r="S582" s="29"/>
      <c r="T582" s="223"/>
      <c r="U582" s="29"/>
      <c r="V582" s="29"/>
      <c r="W582" s="29"/>
      <c r="X582" s="27"/>
      <c r="Y582" s="29" t="s">
        <v>30</v>
      </c>
      <c r="Z582" s="29" t="s">
        <v>42</v>
      </c>
      <c r="AA582" s="29" t="s">
        <v>22</v>
      </c>
      <c r="AB582" s="29" t="s">
        <v>2129</v>
      </c>
      <c r="AC582" s="59">
        <v>45806</v>
      </c>
      <c r="AD582" s="59">
        <v>45807</v>
      </c>
      <c r="AE582" s="59">
        <v>45810</v>
      </c>
      <c r="AF582" s="59">
        <v>45811</v>
      </c>
      <c r="AG582" s="59">
        <v>45813</v>
      </c>
      <c r="AH582" s="85">
        <v>45813</v>
      </c>
      <c r="AI582" s="29" t="s">
        <v>19</v>
      </c>
      <c r="AJ582" s="224"/>
      <c r="AK582" s="27"/>
      <c r="AL582" s="102"/>
      <c r="AM582" s="41" t="str">
        <f>VLOOKUP(Table2[[#This Row],[country]],Countrycode!A:B,2,FALSE)</f>
        <v>KHM</v>
      </c>
      <c r="AN582" s="34">
        <f>IF(ISBLANK(Table2[[#This Row],[Need_RRA]]), 2,(IF(Table2[[#This Row],[Need_RRA]]="No", 0, (IF(AND(Table2[[#This Row],[Need_RRA]]="Yes",  Table2[[#This Row],[RRA_pub_date]]=""),1, 0)))))</f>
        <v>0</v>
      </c>
      <c r="AO582" s="34">
        <f>IF(ISBLANK(Table2[[#This Row],[Need_EIS]]), 2,(IF(Table2[[#This Row],[Need_EIS]]="No", 0, (IF(AND(Table2[[#This Row],[Need_EIS]]="Yes",  Table2[[#This Row],[EIS_pub_date]]=""),1, 0)))))</f>
        <v>0</v>
      </c>
      <c r="AP582" s="34">
        <f>IF(ISBLANK(Table2[[#This Row],[Need_DON]]), 2,(IF(Table2[[#This Row],[Need_DON]]="No", 0, (IF(AND(Table2[[#This Row],[Need_DON]]="Yes",  Table2[[#This Row],[DON_pub_date]]=""),1, 0)))))</f>
        <v>0</v>
      </c>
      <c r="AQ582" s="34">
        <f>IF(ISBLANK(Table2[[#This Row],[Pending_question]]), 2,(IF(Table2[[#This Row],[Pending_question]]="Yes", 1, 0)))</f>
        <v>0</v>
      </c>
      <c r="AR582" s="225"/>
    </row>
    <row r="583" spans="1:44" ht="15.75" customHeight="1">
      <c r="A583" s="60">
        <v>45811</v>
      </c>
      <c r="B583" s="29" t="s">
        <v>15</v>
      </c>
      <c r="C583" s="34" t="str" cm="1">
        <f t="array" ref="C58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83" s="27" t="s">
        <v>1020</v>
      </c>
      <c r="E583" s="70" t="s">
        <v>114</v>
      </c>
      <c r="F583" s="54" t="s">
        <v>117</v>
      </c>
      <c r="G583" s="29" t="s">
        <v>34</v>
      </c>
      <c r="H583" s="55">
        <v>45811</v>
      </c>
      <c r="I583" s="223">
        <v>45814</v>
      </c>
      <c r="J583" s="59">
        <v>45810</v>
      </c>
      <c r="K583" s="55" t="s">
        <v>2100</v>
      </c>
      <c r="L583" s="435" t="s">
        <v>2101</v>
      </c>
      <c r="M583" s="213" t="s">
        <v>19</v>
      </c>
      <c r="N583" s="214"/>
      <c r="O583" s="215"/>
      <c r="P583" s="55" t="s">
        <v>19</v>
      </c>
      <c r="Q583" s="84"/>
      <c r="R583" s="54"/>
      <c r="S583" s="29"/>
      <c r="T583" s="223"/>
      <c r="U583" s="29"/>
      <c r="V583" s="29"/>
      <c r="W583" s="29"/>
      <c r="X583" s="27"/>
      <c r="Y583" s="54" t="s">
        <v>30</v>
      </c>
      <c r="Z583" s="29" t="s">
        <v>21</v>
      </c>
      <c r="AA583" s="29" t="s">
        <v>22</v>
      </c>
      <c r="AB583" s="16" t="s">
        <v>2130</v>
      </c>
      <c r="AC583" s="59">
        <v>45810</v>
      </c>
      <c r="AD583" s="223">
        <v>45811</v>
      </c>
      <c r="AE583" s="59">
        <v>45811</v>
      </c>
      <c r="AF583" s="59">
        <v>45812</v>
      </c>
      <c r="AG583" s="59">
        <v>45814</v>
      </c>
      <c r="AH583" s="85">
        <v>45814</v>
      </c>
      <c r="AI583" s="54" t="s">
        <v>19</v>
      </c>
      <c r="AJ583" s="224"/>
      <c r="AK583" s="27"/>
      <c r="AL583" s="102"/>
      <c r="AM583" s="41" t="str">
        <f>VLOOKUP(Table2[[#This Row],[country]],Countrycode!A:B,2,FALSE)</f>
        <v>BGD</v>
      </c>
      <c r="AN583" s="34">
        <f>IF(ISBLANK(Table2[[#This Row],[Need_RRA]]), 2,(IF(Table2[[#This Row],[Need_RRA]]="No", 0, (IF(AND(Table2[[#This Row],[Need_RRA]]="Yes",  Table2[[#This Row],[RRA_pub_date]]=""),1, 0)))))</f>
        <v>0</v>
      </c>
      <c r="AO583" s="34">
        <f>IF(ISBLANK(Table2[[#This Row],[Need_EIS]]), 2,(IF(Table2[[#This Row],[Need_EIS]]="No", 0, (IF(AND(Table2[[#This Row],[Need_EIS]]="Yes",  Table2[[#This Row],[EIS_pub_date]]=""),1, 0)))))</f>
        <v>0</v>
      </c>
      <c r="AP583" s="34">
        <f>IF(ISBLANK(Table2[[#This Row],[Need_DON]]), 2,(IF(Table2[[#This Row],[Need_DON]]="No", 0, (IF(AND(Table2[[#This Row],[Need_DON]]="Yes",  Table2[[#This Row],[DON_pub_date]]=""),1, 0)))))</f>
        <v>0</v>
      </c>
      <c r="AQ583" s="34">
        <f>IF(ISBLANK(Table2[[#This Row],[Pending_question]]), 2,(IF(Table2[[#This Row],[Pending_question]]="Yes", 1, 0)))</f>
        <v>0</v>
      </c>
      <c r="AR583" s="225"/>
    </row>
    <row r="584" spans="1:44" ht="15.75" customHeight="1">
      <c r="A584" s="60">
        <v>45817</v>
      </c>
      <c r="B584" s="29" t="s">
        <v>15</v>
      </c>
      <c r="C584" s="34" t="s">
        <v>1947</v>
      </c>
      <c r="D584" s="27" t="s">
        <v>1020</v>
      </c>
      <c r="E584" s="70" t="s">
        <v>110</v>
      </c>
      <c r="F584" s="54" t="s">
        <v>173</v>
      </c>
      <c r="G584" s="29" t="s">
        <v>34</v>
      </c>
      <c r="H584" s="55">
        <v>45817</v>
      </c>
      <c r="I584" s="223">
        <v>45821</v>
      </c>
      <c r="J584" s="59">
        <v>45818</v>
      </c>
      <c r="K584" s="59" t="s">
        <v>2131</v>
      </c>
      <c r="L584" s="104" t="s">
        <v>2132</v>
      </c>
      <c r="M584" s="213" t="s">
        <v>19</v>
      </c>
      <c r="N584" s="214"/>
      <c r="O584" s="215"/>
      <c r="P584" s="55" t="s">
        <v>19</v>
      </c>
      <c r="Q584" s="84"/>
      <c r="R584" s="54"/>
      <c r="S584" s="29"/>
      <c r="T584" s="223"/>
      <c r="U584" s="29"/>
      <c r="V584" s="29"/>
      <c r="W584" s="29"/>
      <c r="X584" s="27"/>
      <c r="Y584" s="54" t="s">
        <v>30</v>
      </c>
      <c r="Z584" s="29" t="s">
        <v>42</v>
      </c>
      <c r="AA584" s="29" t="s">
        <v>22</v>
      </c>
      <c r="AB584" s="54" t="s">
        <v>2133</v>
      </c>
      <c r="AC584" s="59">
        <v>45817</v>
      </c>
      <c r="AD584" s="223">
        <v>45817</v>
      </c>
      <c r="AE584" s="59">
        <v>45818</v>
      </c>
      <c r="AF584" s="59">
        <v>45819</v>
      </c>
      <c r="AG584" s="59">
        <v>45821</v>
      </c>
      <c r="AH584" s="85">
        <v>45821</v>
      </c>
      <c r="AI584" s="54" t="s">
        <v>19</v>
      </c>
      <c r="AJ584" s="224"/>
      <c r="AK584" s="27"/>
      <c r="AL584" s="102"/>
      <c r="AM584" s="41" t="str">
        <f>VLOOKUP(Table2[[#This Row],[country]],Countrycode!A:B,2,FALSE)</f>
        <v>CHN</v>
      </c>
      <c r="AN584" s="34">
        <f>IF(ISBLANK(Table2[[#This Row],[Need_RRA]]), 2,(IF(Table2[[#This Row],[Need_RRA]]="No", 0, (IF(AND(Table2[[#This Row],[Need_RRA]]="Yes",  Table2[[#This Row],[RRA_pub_date]]=""),1, 0)))))</f>
        <v>0</v>
      </c>
      <c r="AO584" s="34">
        <f>IF(ISBLANK(Table2[[#This Row],[Need_EIS]]), 2,(IF(Table2[[#This Row],[Need_EIS]]="No", 0, (IF(AND(Table2[[#This Row],[Need_EIS]]="Yes",  Table2[[#This Row],[EIS_pub_date]]=""),1, 0)))))</f>
        <v>0</v>
      </c>
      <c r="AP584" s="34">
        <f>IF(ISBLANK(Table2[[#This Row],[Need_DON]]), 2,(IF(Table2[[#This Row],[Need_DON]]="No", 0, (IF(AND(Table2[[#This Row],[Need_DON]]="Yes",  Table2[[#This Row],[DON_pub_date]]=""),1, 0)))))</f>
        <v>0</v>
      </c>
      <c r="AQ584" s="34">
        <f>IF(ISBLANK(Table2[[#This Row],[Pending_question]]), 2,(IF(Table2[[#This Row],[Pending_question]]="Yes", 1, 0)))</f>
        <v>0</v>
      </c>
      <c r="AR584" s="225"/>
    </row>
    <row r="585" spans="1:44" ht="15.75" customHeight="1">
      <c r="A585" s="60">
        <v>45817</v>
      </c>
      <c r="B585" s="29" t="s">
        <v>15</v>
      </c>
      <c r="C585" s="34" t="str" cm="1">
        <f t="array" ref="C58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85" s="27" t="s">
        <v>1020</v>
      </c>
      <c r="E585" s="70" t="s">
        <v>68</v>
      </c>
      <c r="F585" s="54" t="s">
        <v>173</v>
      </c>
      <c r="G585" s="29" t="s">
        <v>34</v>
      </c>
      <c r="H585" s="55">
        <v>45817</v>
      </c>
      <c r="I585" s="223">
        <v>45821</v>
      </c>
      <c r="J585" s="59">
        <v>45818</v>
      </c>
      <c r="K585" s="59" t="s">
        <v>2134</v>
      </c>
      <c r="L585" s="104" t="s">
        <v>2135</v>
      </c>
      <c r="M585" s="213" t="s">
        <v>19</v>
      </c>
      <c r="N585" s="214"/>
      <c r="O585" s="215"/>
      <c r="P585" s="55" t="s">
        <v>19</v>
      </c>
      <c r="Q585" s="84"/>
      <c r="R585" s="54"/>
      <c r="S585" s="29"/>
      <c r="T585" s="223"/>
      <c r="U585" s="29"/>
      <c r="V585" s="29"/>
      <c r="W585" s="29"/>
      <c r="X585" s="27"/>
      <c r="Y585" s="54" t="s">
        <v>30</v>
      </c>
      <c r="Z585" s="29" t="s">
        <v>42</v>
      </c>
      <c r="AA585" s="29" t="s">
        <v>22</v>
      </c>
      <c r="AB585" s="54" t="s">
        <v>2136</v>
      </c>
      <c r="AC585" s="59">
        <v>45817</v>
      </c>
      <c r="AD585" s="223">
        <v>45817</v>
      </c>
      <c r="AE585" s="59">
        <v>45818</v>
      </c>
      <c r="AF585" s="59">
        <v>45819</v>
      </c>
      <c r="AG585" s="59">
        <v>45824</v>
      </c>
      <c r="AH585" s="85">
        <v>45824</v>
      </c>
      <c r="AI585" s="54" t="s">
        <v>19</v>
      </c>
      <c r="AJ585" s="224"/>
      <c r="AK585" s="27"/>
      <c r="AL585" s="102"/>
      <c r="AM585" s="41" t="str">
        <f>VLOOKUP(Table2[[#This Row],[country]],Countrycode!A:B,2,FALSE)</f>
        <v>CHN</v>
      </c>
      <c r="AN585" s="34">
        <f>IF(ISBLANK(Table2[[#This Row],[Need_RRA]]), 2,(IF(Table2[[#This Row],[Need_RRA]]="No", 0, (IF(AND(Table2[[#This Row],[Need_RRA]]="Yes",  Table2[[#This Row],[RRA_pub_date]]=""),1, 0)))))</f>
        <v>0</v>
      </c>
      <c r="AO585" s="34">
        <f>IF(ISBLANK(Table2[[#This Row],[Need_EIS]]), 2,(IF(Table2[[#This Row],[Need_EIS]]="No", 0, (IF(AND(Table2[[#This Row],[Need_EIS]]="Yes",  Table2[[#This Row],[EIS_pub_date]]=""),1, 0)))))</f>
        <v>0</v>
      </c>
      <c r="AP585" s="34">
        <f>IF(ISBLANK(Table2[[#This Row],[Need_DON]]), 2,(IF(Table2[[#This Row],[Need_DON]]="No", 0, (IF(AND(Table2[[#This Row],[Need_DON]]="Yes",  Table2[[#This Row],[DON_pub_date]]=""),1, 0)))))</f>
        <v>0</v>
      </c>
      <c r="AQ585" s="34">
        <f>IF(ISBLANK(Table2[[#This Row],[Pending_question]]), 2,(IF(Table2[[#This Row],[Pending_question]]="Yes", 1, 0)))</f>
        <v>0</v>
      </c>
      <c r="AR585" s="225"/>
    </row>
    <row r="586" spans="1:44" ht="15.75" customHeight="1">
      <c r="A586" s="60">
        <v>45824</v>
      </c>
      <c r="B586" s="29" t="s">
        <v>15</v>
      </c>
      <c r="C586" s="34" t="str" cm="1">
        <f t="array" ref="C58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86" s="27" t="s">
        <v>927</v>
      </c>
      <c r="E586" s="70" t="s">
        <v>99</v>
      </c>
      <c r="F586" s="54" t="s">
        <v>159</v>
      </c>
      <c r="G586" s="29" t="s">
        <v>34</v>
      </c>
      <c r="H586" s="59">
        <v>45831</v>
      </c>
      <c r="I586" s="55">
        <v>45826</v>
      </c>
      <c r="J586" s="59">
        <v>45824</v>
      </c>
      <c r="K586" s="59" t="s">
        <v>2137</v>
      </c>
      <c r="L586" s="104" t="s">
        <v>2138</v>
      </c>
      <c r="M586" s="213" t="s">
        <v>19</v>
      </c>
      <c r="N586" s="214"/>
      <c r="O586" s="215"/>
      <c r="P586" s="55" t="s">
        <v>19</v>
      </c>
      <c r="Q586" s="84"/>
      <c r="R586" s="54"/>
      <c r="S586" s="29"/>
      <c r="T586" s="223"/>
      <c r="U586" s="29"/>
      <c r="V586" s="29"/>
      <c r="W586" s="29"/>
      <c r="X586" s="27"/>
      <c r="Y586" s="54" t="s">
        <v>30</v>
      </c>
      <c r="Z586" s="29" t="s">
        <v>42</v>
      </c>
      <c r="AA586" s="29" t="s">
        <v>22</v>
      </c>
      <c r="AB586" s="54" t="s">
        <v>2139</v>
      </c>
      <c r="AC586" s="59">
        <v>45823</v>
      </c>
      <c r="AD586" s="59">
        <v>45825</v>
      </c>
      <c r="AE586" s="59">
        <v>45825</v>
      </c>
      <c r="AF586" s="59">
        <v>45826</v>
      </c>
      <c r="AG586" s="59"/>
      <c r="AH586" s="59">
        <v>45828</v>
      </c>
      <c r="AI586" s="54" t="s">
        <v>19</v>
      </c>
      <c r="AJ586" s="224"/>
      <c r="AK586" s="27"/>
      <c r="AL586" s="102"/>
      <c r="AM586" s="41" t="str">
        <f>VLOOKUP(Table2[[#This Row],[country]],Countrycode!A:B,2,FALSE)</f>
        <v>KHM</v>
      </c>
      <c r="AN586" s="34">
        <f>IF(ISBLANK(Table2[[#This Row],[Need_RRA]]), 2,(IF(Table2[[#This Row],[Need_RRA]]="No", 0, (IF(AND(Table2[[#This Row],[Need_RRA]]="Yes",  Table2[[#This Row],[RRA_pub_date]]=""),1, 0)))))</f>
        <v>0</v>
      </c>
      <c r="AO586" s="34">
        <f>IF(ISBLANK(Table2[[#This Row],[Need_EIS]]), 2,(IF(Table2[[#This Row],[Need_EIS]]="No", 0, (IF(AND(Table2[[#This Row],[Need_EIS]]="Yes",  Table2[[#This Row],[EIS_pub_date]]=""),1, 0)))))</f>
        <v>0</v>
      </c>
      <c r="AP586" s="34">
        <f>IF(ISBLANK(Table2[[#This Row],[Need_DON]]), 2,(IF(Table2[[#This Row],[Need_DON]]="No", 0, (IF(AND(Table2[[#This Row],[Need_DON]]="Yes",  Table2[[#This Row],[DON_pub_date]]=""),1, 0)))))</f>
        <v>0</v>
      </c>
      <c r="AQ586" s="34">
        <f>IF(ISBLANK(Table2[[#This Row],[Pending_question]]), 2,(IF(Table2[[#This Row],[Pending_question]]="Yes", 1, 0)))</f>
        <v>0</v>
      </c>
      <c r="AR586" s="225"/>
    </row>
    <row r="587" spans="1:44" ht="15.75" customHeight="1">
      <c r="A587" s="60">
        <v>45827</v>
      </c>
      <c r="B587" s="29" t="s">
        <v>15</v>
      </c>
      <c r="C587" s="34" t="str" cm="1">
        <f t="array" ref="C58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87" s="27" t="s">
        <v>927</v>
      </c>
      <c r="E587" s="67" t="s">
        <v>99</v>
      </c>
      <c r="F587" s="29" t="s">
        <v>159</v>
      </c>
      <c r="G587" s="29" t="s">
        <v>34</v>
      </c>
      <c r="H587" s="59">
        <v>45828</v>
      </c>
      <c r="I587" s="59">
        <v>45830</v>
      </c>
      <c r="J587" s="59">
        <v>45827</v>
      </c>
      <c r="K587" s="59" t="s">
        <v>2140</v>
      </c>
      <c r="L587" s="104" t="s">
        <v>2141</v>
      </c>
      <c r="M587" s="283" t="s">
        <v>19</v>
      </c>
      <c r="N587" s="223"/>
      <c r="O587" s="226"/>
      <c r="P587" s="59" t="s">
        <v>19</v>
      </c>
      <c r="Q587" s="84"/>
      <c r="R587" s="29"/>
      <c r="S587" s="29"/>
      <c r="T587" s="223"/>
      <c r="U587" s="29"/>
      <c r="V587" s="29"/>
      <c r="W587" s="29"/>
      <c r="X587" s="27"/>
      <c r="Y587" s="29" t="s">
        <v>30</v>
      </c>
      <c r="Z587" s="29" t="s">
        <v>42</v>
      </c>
      <c r="AA587" s="29" t="s">
        <v>22</v>
      </c>
      <c r="AB587" s="29" t="s">
        <v>2142</v>
      </c>
      <c r="AC587" s="59">
        <v>45827</v>
      </c>
      <c r="AD587" s="223"/>
      <c r="AE587" s="59">
        <v>45831</v>
      </c>
      <c r="AF587" s="29"/>
      <c r="AG587" s="29"/>
      <c r="AH587" s="85">
        <v>45834</v>
      </c>
      <c r="AI587" s="29" t="s">
        <v>19</v>
      </c>
      <c r="AJ587" s="224"/>
      <c r="AK587" s="27"/>
      <c r="AL587" s="250" t="s">
        <v>2143</v>
      </c>
      <c r="AM587" s="41" t="str">
        <f>VLOOKUP(Table2[[#This Row],[country]],Countrycode!A:B,2,FALSE)</f>
        <v>KHM</v>
      </c>
      <c r="AN587" s="34">
        <f>IF(ISBLANK(Table2[[#This Row],[Need_RRA]]), 2,(IF(Table2[[#This Row],[Need_RRA]]="No", 0, (IF(AND(Table2[[#This Row],[Need_RRA]]="Yes",  Table2[[#This Row],[RRA_pub_date]]=""),1, 0)))))</f>
        <v>0</v>
      </c>
      <c r="AO587" s="34">
        <f>IF(ISBLANK(Table2[[#This Row],[Need_EIS]]), 2,(IF(Table2[[#This Row],[Need_EIS]]="No", 0, (IF(AND(Table2[[#This Row],[Need_EIS]]="Yes",  Table2[[#This Row],[EIS_pub_date]]=""),1, 0)))))</f>
        <v>0</v>
      </c>
      <c r="AP587" s="34">
        <f>IF(ISBLANK(Table2[[#This Row],[Need_DON]]), 2,(IF(Table2[[#This Row],[Need_DON]]="No", 0, (IF(AND(Table2[[#This Row],[Need_DON]]="Yes",  Table2[[#This Row],[DON_pub_date]]=""),1, 0)))))</f>
        <v>0</v>
      </c>
      <c r="AQ587" s="34">
        <f>IF(ISBLANK(Table2[[#This Row],[Pending_question]]), 2,(IF(Table2[[#This Row],[Pending_question]]="Yes", 1, 0)))</f>
        <v>0</v>
      </c>
      <c r="AR587" s="225"/>
    </row>
    <row r="588" spans="1:44" ht="15.75" customHeight="1">
      <c r="A588" s="60">
        <v>45831</v>
      </c>
      <c r="B588" s="29" t="s">
        <v>15</v>
      </c>
      <c r="C588" s="34" t="s">
        <v>2144</v>
      </c>
      <c r="D588" s="27" t="s">
        <v>927</v>
      </c>
      <c r="E588" s="70" t="s">
        <v>99</v>
      </c>
      <c r="F588" s="54" t="s">
        <v>159</v>
      </c>
      <c r="G588" s="29" t="s">
        <v>34</v>
      </c>
      <c r="H588" s="55">
        <v>45831</v>
      </c>
      <c r="I588" s="223"/>
      <c r="J588" s="59">
        <v>45831</v>
      </c>
      <c r="K588" s="59" t="s">
        <v>2145</v>
      </c>
      <c r="L588" s="104" t="s">
        <v>2146</v>
      </c>
      <c r="M588" s="213" t="s">
        <v>19</v>
      </c>
      <c r="N588" s="214"/>
      <c r="O588" s="215"/>
      <c r="P588" s="55" t="s">
        <v>19</v>
      </c>
      <c r="Q588" s="84"/>
      <c r="R588" s="54"/>
      <c r="S588" s="29"/>
      <c r="T588" s="223"/>
      <c r="U588" s="29"/>
      <c r="V588" s="29"/>
      <c r="W588" s="29"/>
      <c r="X588" s="27"/>
      <c r="Y588" s="54" t="s">
        <v>30</v>
      </c>
      <c r="Z588" s="29" t="s">
        <v>42</v>
      </c>
      <c r="AA588" s="29" t="s">
        <v>22</v>
      </c>
      <c r="AB588" s="54" t="s">
        <v>2147</v>
      </c>
      <c r="AC588" s="59">
        <v>45829</v>
      </c>
      <c r="AD588" s="223">
        <v>45831</v>
      </c>
      <c r="AE588" s="59">
        <v>45831</v>
      </c>
      <c r="AF588" s="29"/>
      <c r="AG588" s="29"/>
      <c r="AH588" s="85">
        <v>45834</v>
      </c>
      <c r="AI588" s="54" t="s">
        <v>19</v>
      </c>
      <c r="AJ588" s="224"/>
      <c r="AK588" s="27"/>
      <c r="AL588" s="250" t="s">
        <v>2148</v>
      </c>
      <c r="AM588" s="41" t="str">
        <f>VLOOKUP(Table2[[#This Row],[country]],Countrycode!A:B,2,FALSE)</f>
        <v>KHM</v>
      </c>
      <c r="AN588" s="34">
        <f>IF(ISBLANK(Table2[[#This Row],[Need_RRA]]), 2,(IF(Table2[[#This Row],[Need_RRA]]="No", 0, (IF(AND(Table2[[#This Row],[Need_RRA]]="Yes",  Table2[[#This Row],[RRA_pub_date]]=""),1, 0)))))</f>
        <v>0</v>
      </c>
      <c r="AO588" s="34">
        <f>IF(ISBLANK(Table2[[#This Row],[Need_EIS]]), 2,(IF(Table2[[#This Row],[Need_EIS]]="No", 0, (IF(AND(Table2[[#This Row],[Need_EIS]]="Yes",  Table2[[#This Row],[EIS_pub_date]]=""),1, 0)))))</f>
        <v>0</v>
      </c>
      <c r="AP588" s="34">
        <f>IF(ISBLANK(Table2[[#This Row],[Need_DON]]), 2,(IF(Table2[[#This Row],[Need_DON]]="No", 0, (IF(AND(Table2[[#This Row],[Need_DON]]="Yes",  Table2[[#This Row],[DON_pub_date]]=""),1, 0)))))</f>
        <v>0</v>
      </c>
      <c r="AQ588" s="34">
        <f>IF(ISBLANK(Table2[[#This Row],[Pending_question]]), 2,(IF(Table2[[#This Row],[Pending_question]]="Yes", 1, 0)))</f>
        <v>0</v>
      </c>
      <c r="AR588" s="225"/>
    </row>
    <row r="589" spans="1:44" ht="15.75" customHeight="1">
      <c r="A589" s="60">
        <v>45831</v>
      </c>
      <c r="B589" s="29" t="s">
        <v>15</v>
      </c>
      <c r="C589" s="34" t="s">
        <v>1947</v>
      </c>
      <c r="D589" s="27" t="s">
        <v>1020</v>
      </c>
      <c r="E589" s="70" t="s">
        <v>99</v>
      </c>
      <c r="F589" s="54" t="s">
        <v>159</v>
      </c>
      <c r="G589" s="29" t="s">
        <v>34</v>
      </c>
      <c r="H589" s="55">
        <v>45833</v>
      </c>
      <c r="I589" s="223">
        <v>45839</v>
      </c>
      <c r="J589" s="59">
        <v>45838</v>
      </c>
      <c r="K589" s="369" t="s">
        <v>2149</v>
      </c>
      <c r="L589" s="104" t="s">
        <v>2150</v>
      </c>
      <c r="M589" s="213" t="s">
        <v>19</v>
      </c>
      <c r="N589" s="214"/>
      <c r="O589" s="215"/>
      <c r="P589" s="55" t="s">
        <v>19</v>
      </c>
      <c r="Q589" s="84"/>
      <c r="R589" s="54"/>
      <c r="S589" s="29"/>
      <c r="T589" s="223"/>
      <c r="U589" s="29"/>
      <c r="V589" s="29"/>
      <c r="W589" s="29"/>
      <c r="X589" s="27"/>
      <c r="Y589" s="54" t="s">
        <v>30</v>
      </c>
      <c r="Z589" s="29" t="s">
        <v>42</v>
      </c>
      <c r="AA589" s="29" t="s">
        <v>22</v>
      </c>
      <c r="AB589" s="54" t="s">
        <v>2151</v>
      </c>
      <c r="AC589" s="59">
        <v>45831</v>
      </c>
      <c r="AD589" s="223">
        <v>45838</v>
      </c>
      <c r="AE589" s="59">
        <v>45839</v>
      </c>
      <c r="AF589" s="59">
        <v>45840</v>
      </c>
      <c r="AG589" s="59">
        <v>45842</v>
      </c>
      <c r="AH589" s="85">
        <v>45842</v>
      </c>
      <c r="AI589" s="54" t="s">
        <v>30</v>
      </c>
      <c r="AJ589" s="224">
        <v>45839</v>
      </c>
      <c r="AK589" s="85">
        <v>45843</v>
      </c>
      <c r="AL589" s="102"/>
      <c r="AM589" s="41" t="str">
        <f>VLOOKUP(Table2[[#This Row],[country]],Countrycode!A:B,2,FALSE)</f>
        <v>KHM</v>
      </c>
      <c r="AN589" s="34">
        <f>IF(ISBLANK(Table2[[#This Row],[Need_RRA]]), 2,(IF(Table2[[#This Row],[Need_RRA]]="No", 0, (IF(AND(Table2[[#This Row],[Need_RRA]]="Yes",  Table2[[#This Row],[RRA_pub_date]]=""),1, 0)))))</f>
        <v>0</v>
      </c>
      <c r="AO589" s="34">
        <f>IF(ISBLANK(Table2[[#This Row],[Need_EIS]]), 2,(IF(Table2[[#This Row],[Need_EIS]]="No", 0, (IF(AND(Table2[[#This Row],[Need_EIS]]="Yes",  Table2[[#This Row],[EIS_pub_date]]=""),1, 0)))))</f>
        <v>0</v>
      </c>
      <c r="AP589" s="34">
        <f>IF(ISBLANK(Table2[[#This Row],[Need_DON]]), 2,(IF(Table2[[#This Row],[Need_DON]]="No", 0, (IF(AND(Table2[[#This Row],[Need_DON]]="Yes",  Table2[[#This Row],[DON_pub_date]]=""),1, 0)))))</f>
        <v>0</v>
      </c>
      <c r="AQ589" s="34">
        <f>IF(ISBLANK(Table2[[#This Row],[Pending_question]]), 2,(IF(Table2[[#This Row],[Pending_question]]="Yes", 1, 0)))</f>
        <v>0</v>
      </c>
      <c r="AR589" s="225"/>
    </row>
    <row r="590" spans="1:44" ht="15.75" customHeight="1">
      <c r="A590" s="60">
        <v>45834</v>
      </c>
      <c r="B590" s="29" t="s">
        <v>15</v>
      </c>
      <c r="C590" s="34" t="str" cm="1">
        <f t="array" ref="C59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90" s="27" t="s">
        <v>927</v>
      </c>
      <c r="E590" s="67" t="s">
        <v>211</v>
      </c>
      <c r="F590" s="29" t="s">
        <v>387</v>
      </c>
      <c r="G590" s="29" t="s">
        <v>34</v>
      </c>
      <c r="H590" s="59">
        <v>45852</v>
      </c>
      <c r="I590" s="55">
        <v>45848</v>
      </c>
      <c r="J590" s="59">
        <v>45832</v>
      </c>
      <c r="K590" s="59" t="s">
        <v>2152</v>
      </c>
      <c r="L590" s="104" t="s">
        <v>2153</v>
      </c>
      <c r="M590" s="283" t="s">
        <v>19</v>
      </c>
      <c r="N590" s="223"/>
      <c r="O590" s="226"/>
      <c r="P590" s="59" t="s">
        <v>19</v>
      </c>
      <c r="Q590" s="84"/>
      <c r="R590" s="29"/>
      <c r="S590" s="29"/>
      <c r="T590" s="223"/>
      <c r="U590" s="29"/>
      <c r="V590" s="29"/>
      <c r="W590" s="29"/>
      <c r="X590" s="27"/>
      <c r="Y590" s="29" t="s">
        <v>30</v>
      </c>
      <c r="Z590" s="29" t="s">
        <v>42</v>
      </c>
      <c r="AA590" s="29" t="s">
        <v>22</v>
      </c>
      <c r="AB590" s="29" t="s">
        <v>2154</v>
      </c>
      <c r="AC590" s="59">
        <v>45834</v>
      </c>
      <c r="AD590" s="59">
        <v>45834</v>
      </c>
      <c r="AE590" s="59">
        <v>45841</v>
      </c>
      <c r="AF590" s="29"/>
      <c r="AG590" s="59">
        <v>45848</v>
      </c>
      <c r="AH590" s="436">
        <v>45852</v>
      </c>
      <c r="AI590" s="29" t="s">
        <v>30</v>
      </c>
      <c r="AJ590" s="436">
        <v>45853</v>
      </c>
      <c r="AK590" s="85">
        <v>45862</v>
      </c>
      <c r="AL590" s="102"/>
      <c r="AM590" s="41" t="str">
        <f>VLOOKUP(Table2[[#This Row],[country]],Countrycode!A:B,2,FALSE)</f>
        <v>TLS</v>
      </c>
      <c r="AN590" s="34">
        <f>IF(ISBLANK(Table2[[#This Row],[Need_RRA]]), 2,(IF(Table2[[#This Row],[Need_RRA]]="No", 0, (IF(AND(Table2[[#This Row],[Need_RRA]]="Yes",  Table2[[#This Row],[RRA_pub_date]]=""),1, 0)))))</f>
        <v>0</v>
      </c>
      <c r="AO590" s="34">
        <f>IF(ISBLANK(Table2[[#This Row],[Need_EIS]]), 2,(IF(Table2[[#This Row],[Need_EIS]]="No", 0, (IF(AND(Table2[[#This Row],[Need_EIS]]="Yes",  Table2[[#This Row],[EIS_pub_date]]=""),1, 0)))))</f>
        <v>0</v>
      </c>
      <c r="AP590" s="34">
        <f>IF(ISBLANK(Table2[[#This Row],[Need_DON]]), 2,(IF(Table2[[#This Row],[Need_DON]]="No", 0, (IF(AND(Table2[[#This Row],[Need_DON]]="Yes",  Table2[[#This Row],[DON_pub_date]]=""),1, 0)))))</f>
        <v>0</v>
      </c>
      <c r="AQ590" s="34">
        <f>IF(ISBLANK(Table2[[#This Row],[Pending_question]]), 2,(IF(Table2[[#This Row],[Pending_question]]="Yes", 1, 0)))</f>
        <v>0</v>
      </c>
      <c r="AR590" s="225"/>
    </row>
    <row r="591" spans="1:44" ht="15.75" customHeight="1">
      <c r="A591" s="60">
        <v>45839</v>
      </c>
      <c r="B591" s="29" t="s">
        <v>15</v>
      </c>
      <c r="C591" s="34" t="str" cm="1">
        <f t="array" ref="C59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91" s="27" t="s">
        <v>2155</v>
      </c>
      <c r="E591" s="16" t="s">
        <v>252</v>
      </c>
      <c r="F591" s="29" t="s">
        <v>93</v>
      </c>
      <c r="G591" s="29" t="s">
        <v>34</v>
      </c>
      <c r="H591" s="29"/>
      <c r="I591" s="223"/>
      <c r="J591" s="59"/>
      <c r="K591" s="59"/>
      <c r="L591" s="104"/>
      <c r="M591" s="283" t="s">
        <v>19</v>
      </c>
      <c r="N591" s="223"/>
      <c r="O591" s="226"/>
      <c r="P591" s="59" t="s">
        <v>31</v>
      </c>
      <c r="Q591" s="84">
        <v>1</v>
      </c>
      <c r="R591" s="29" t="s">
        <v>2156</v>
      </c>
      <c r="S591" s="59">
        <v>45839</v>
      </c>
      <c r="T591" s="223">
        <v>45839</v>
      </c>
      <c r="U591" s="29"/>
      <c r="V591" s="29"/>
      <c r="W591" s="29"/>
      <c r="X591" s="27"/>
      <c r="Y591" s="29" t="s">
        <v>31</v>
      </c>
      <c r="Z591" s="29" t="s">
        <v>33</v>
      </c>
      <c r="AA591" s="29"/>
      <c r="AB591" s="29"/>
      <c r="AC591" s="29"/>
      <c r="AD591" s="223"/>
      <c r="AE591" s="29"/>
      <c r="AF591" s="29"/>
      <c r="AG591" s="29"/>
      <c r="AH591" s="27"/>
      <c r="AI591" s="29" t="s">
        <v>31</v>
      </c>
      <c r="AJ591" s="224"/>
      <c r="AK591" s="27"/>
      <c r="AL591" s="102" t="s">
        <v>2157</v>
      </c>
      <c r="AM591" s="41" t="e">
        <f>VLOOKUP(Table2[[#This Row],[country]],Countrycode!A:B,2,FALSE)</f>
        <v>#N/A</v>
      </c>
      <c r="AN591" s="34">
        <f>IF(ISBLANK(Table2[[#This Row],[Need_RRA]]), 2,(IF(Table2[[#This Row],[Need_RRA]]="No", 0, (IF(AND(Table2[[#This Row],[Need_RRA]]="Yes",  Table2[[#This Row],[RRA_pub_date]]=""),1, 0)))))</f>
        <v>0</v>
      </c>
      <c r="AO591" s="34">
        <f>IF(ISBLANK(Table2[[#This Row],[Need_EIS]]), 2,(IF(Table2[[#This Row],[Need_EIS]]="No", 0, (IF(AND(Table2[[#This Row],[Need_EIS]]="Yes",  Table2[[#This Row],[EIS_pub_date]]=""),1, 0)))))</f>
        <v>0</v>
      </c>
      <c r="AP591" s="34">
        <f>IF(ISBLANK(Table2[[#This Row],[Need_DON]]), 2,(IF(Table2[[#This Row],[Need_DON]]="No", 0, (IF(AND(Table2[[#This Row],[Need_DON]]="Yes",  Table2[[#This Row],[DON_pub_date]]=""),1, 0)))))</f>
        <v>0</v>
      </c>
      <c r="AQ591" s="34">
        <f>IF(ISBLANK(Table2[[#This Row],[Pending_question]]), 2,(IF(Table2[[#This Row],[Pending_question]]="Yes", 1, 0)))</f>
        <v>0</v>
      </c>
      <c r="AR591" s="225"/>
    </row>
    <row r="592" spans="1:44" ht="15.75" customHeight="1">
      <c r="A592" s="60">
        <v>45847</v>
      </c>
      <c r="B592" s="29" t="s">
        <v>15</v>
      </c>
      <c r="C592" s="34" t="s">
        <v>2144</v>
      </c>
      <c r="D592" s="27" t="s">
        <v>1020</v>
      </c>
      <c r="E592" s="67" t="s">
        <v>110</v>
      </c>
      <c r="F592" s="29" t="s">
        <v>173</v>
      </c>
      <c r="G592" s="29" t="s">
        <v>34</v>
      </c>
      <c r="H592" s="59">
        <v>45847</v>
      </c>
      <c r="I592" s="223"/>
      <c r="J592" s="59"/>
      <c r="K592" s="59"/>
      <c r="L592" s="104"/>
      <c r="M592" s="283" t="s">
        <v>19</v>
      </c>
      <c r="N592" s="223"/>
      <c r="O592" s="226"/>
      <c r="P592" s="59" t="s">
        <v>19</v>
      </c>
      <c r="Q592" s="84"/>
      <c r="R592" s="29"/>
      <c r="S592" s="29"/>
      <c r="T592" s="223"/>
      <c r="U592" s="29"/>
      <c r="V592" s="29"/>
      <c r="W592" s="29"/>
      <c r="X592" s="27"/>
      <c r="Y592" s="29" t="s">
        <v>30</v>
      </c>
      <c r="Z592" s="29" t="s">
        <v>42</v>
      </c>
      <c r="AA592" s="29" t="s">
        <v>22</v>
      </c>
      <c r="AB592" s="29" t="s">
        <v>2158</v>
      </c>
      <c r="AC592" s="59">
        <v>45847</v>
      </c>
      <c r="AD592" s="223">
        <v>45847</v>
      </c>
      <c r="AE592" s="59">
        <v>45847</v>
      </c>
      <c r="AF592" s="59">
        <v>45848</v>
      </c>
      <c r="AG592" s="59">
        <v>45854</v>
      </c>
      <c r="AH592" s="85">
        <v>45854</v>
      </c>
      <c r="AI592" s="29" t="s">
        <v>19</v>
      </c>
      <c r="AJ592" s="224"/>
      <c r="AK592" s="27"/>
      <c r="AL592" s="102"/>
      <c r="AM592" s="41" t="str">
        <f>VLOOKUP(Table2[[#This Row],[country]],Countrycode!A:B,2,FALSE)</f>
        <v>CHN</v>
      </c>
      <c r="AN592" s="34">
        <f>IF(ISBLANK(Table2[[#This Row],[Need_RRA]]), 2,(IF(Table2[[#This Row],[Need_RRA]]="No", 0, (IF(AND(Table2[[#This Row],[Need_RRA]]="Yes",  Table2[[#This Row],[RRA_pub_date]]=""),1, 0)))))</f>
        <v>0</v>
      </c>
      <c r="AO592" s="34">
        <f>IF(ISBLANK(Table2[[#This Row],[Need_EIS]]), 2,(IF(Table2[[#This Row],[Need_EIS]]="No", 0, (IF(AND(Table2[[#This Row],[Need_EIS]]="Yes",  Table2[[#This Row],[EIS_pub_date]]=""),1, 0)))))</f>
        <v>0</v>
      </c>
      <c r="AP592" s="34">
        <f>IF(ISBLANK(Table2[[#This Row],[Need_DON]]), 2,(IF(Table2[[#This Row],[Need_DON]]="No", 0, (IF(AND(Table2[[#This Row],[Need_DON]]="Yes",  Table2[[#This Row],[DON_pub_date]]=""),1, 0)))))</f>
        <v>0</v>
      </c>
      <c r="AQ592" s="34">
        <f>IF(ISBLANK(Table2[[#This Row],[Pending_question]]), 2,(IF(Table2[[#This Row],[Pending_question]]="Yes", 1, 0)))</f>
        <v>0</v>
      </c>
      <c r="AR592" s="225"/>
    </row>
    <row r="593" spans="1:44" ht="15.75" customHeight="1">
      <c r="A593" s="60">
        <v>45847</v>
      </c>
      <c r="B593" s="29" t="s">
        <v>15</v>
      </c>
      <c r="C593" s="34" t="s">
        <v>2144</v>
      </c>
      <c r="D593" s="27" t="s">
        <v>1352</v>
      </c>
      <c r="E593" s="70" t="s">
        <v>99</v>
      </c>
      <c r="F593" s="54" t="s">
        <v>159</v>
      </c>
      <c r="G593" s="29" t="s">
        <v>34</v>
      </c>
      <c r="H593" s="55">
        <v>45848</v>
      </c>
      <c r="I593" s="59">
        <v>45852</v>
      </c>
      <c r="J593" s="55">
        <v>45848</v>
      </c>
      <c r="K593" s="59" t="s">
        <v>2159</v>
      </c>
      <c r="L593" s="104" t="s">
        <v>2160</v>
      </c>
      <c r="M593" s="213" t="s">
        <v>19</v>
      </c>
      <c r="N593" s="214"/>
      <c r="O593" s="215"/>
      <c r="P593" s="55" t="s">
        <v>19</v>
      </c>
      <c r="Q593" s="84"/>
      <c r="R593" s="54"/>
      <c r="S593" s="29"/>
      <c r="T593" s="223"/>
      <c r="U593" s="29"/>
      <c r="V593" s="29"/>
      <c r="W593" s="29"/>
      <c r="X593" s="27"/>
      <c r="Y593" s="54" t="s">
        <v>30</v>
      </c>
      <c r="Z593" s="29" t="s">
        <v>42</v>
      </c>
      <c r="AA593" s="29" t="s">
        <v>22</v>
      </c>
      <c r="AB593" s="29" t="s">
        <v>2161</v>
      </c>
      <c r="AC593" s="59">
        <v>45842</v>
      </c>
      <c r="AD593" s="59">
        <v>45847</v>
      </c>
      <c r="AE593" s="59">
        <v>45848</v>
      </c>
      <c r="AF593" s="59">
        <v>45848</v>
      </c>
      <c r="AG593" s="59">
        <v>45854</v>
      </c>
      <c r="AH593" s="85">
        <v>45855</v>
      </c>
      <c r="AI593" s="54" t="s">
        <v>19</v>
      </c>
      <c r="AJ593" s="224"/>
      <c r="AK593" s="27"/>
      <c r="AL593" s="102"/>
      <c r="AM593" s="41" t="str">
        <f>VLOOKUP(Table2[[#This Row],[country]],Countrycode!A:B,2,FALSE)</f>
        <v>KHM</v>
      </c>
      <c r="AN593" s="34">
        <f>IF(ISBLANK(Table2[[#This Row],[Need_RRA]]), 2,(IF(Table2[[#This Row],[Need_RRA]]="No", 0, (IF(AND(Table2[[#This Row],[Need_RRA]]="Yes",  Table2[[#This Row],[RRA_pub_date]]=""),1, 0)))))</f>
        <v>0</v>
      </c>
      <c r="AO593" s="34">
        <f>IF(ISBLANK(Table2[[#This Row],[Need_EIS]]), 2,(IF(Table2[[#This Row],[Need_EIS]]="No", 0, (IF(AND(Table2[[#This Row],[Need_EIS]]="Yes",  Table2[[#This Row],[EIS_pub_date]]=""),1, 0)))))</f>
        <v>0</v>
      </c>
      <c r="AP593" s="34">
        <f>IF(ISBLANK(Table2[[#This Row],[Need_DON]]), 2,(IF(Table2[[#This Row],[Need_DON]]="No", 0, (IF(AND(Table2[[#This Row],[Need_DON]]="Yes",  Table2[[#This Row],[DON_pub_date]]=""),1, 0)))))</f>
        <v>0</v>
      </c>
      <c r="AQ593" s="34">
        <f>IF(ISBLANK(Table2[[#This Row],[Pending_question]]), 2,(IF(Table2[[#This Row],[Pending_question]]="Yes", 1, 0)))</f>
        <v>0</v>
      </c>
      <c r="AR593" s="225"/>
    </row>
    <row r="594" spans="1:44" ht="15.75" customHeight="1">
      <c r="A594" s="60">
        <v>45848</v>
      </c>
      <c r="B594" s="29" t="s">
        <v>15</v>
      </c>
      <c r="C594" s="34" t="str" cm="1">
        <f t="array" ref="C59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94" s="27" t="s">
        <v>1352</v>
      </c>
      <c r="E594" s="67" t="s">
        <v>188</v>
      </c>
      <c r="F594" s="29" t="s">
        <v>274</v>
      </c>
      <c r="G594" s="29" t="s">
        <v>34</v>
      </c>
      <c r="H594" s="59">
        <v>45849</v>
      </c>
      <c r="I594" s="59">
        <v>45856</v>
      </c>
      <c r="J594" s="59">
        <v>45849</v>
      </c>
      <c r="K594" s="59" t="s">
        <v>2105</v>
      </c>
      <c r="L594" s="104" t="s">
        <v>2162</v>
      </c>
      <c r="M594" s="283" t="s">
        <v>19</v>
      </c>
      <c r="N594" s="223"/>
      <c r="O594" s="226"/>
      <c r="P594" s="59" t="s">
        <v>19</v>
      </c>
      <c r="Q594" s="84"/>
      <c r="R594" s="29"/>
      <c r="S594" s="29"/>
      <c r="T594" s="223"/>
      <c r="U594" s="29"/>
      <c r="V594" s="29"/>
      <c r="W594" s="29"/>
      <c r="X594" s="27"/>
      <c r="Y594" s="29" t="s">
        <v>30</v>
      </c>
      <c r="Z594" s="29" t="s">
        <v>42</v>
      </c>
      <c r="AA594" s="29" t="s">
        <v>22</v>
      </c>
      <c r="AB594" s="29" t="s">
        <v>2163</v>
      </c>
      <c r="AC594" s="59">
        <v>45847</v>
      </c>
      <c r="AD594" s="59">
        <v>45848</v>
      </c>
      <c r="AE594" s="59">
        <v>45849</v>
      </c>
      <c r="AF594" s="59">
        <v>45850</v>
      </c>
      <c r="AG594" s="59">
        <v>45858</v>
      </c>
      <c r="AH594" s="85">
        <v>45859</v>
      </c>
      <c r="AI594" s="29" t="s">
        <v>30</v>
      </c>
      <c r="AJ594" s="224">
        <v>45866</v>
      </c>
      <c r="AK594" s="224">
        <v>45875</v>
      </c>
      <c r="AL594" s="102"/>
      <c r="AM594" s="41" t="str">
        <f>VLOOKUP(Table2[[#This Row],[country]],Countrycode!A:B,2,FALSE)</f>
        <v>IND</v>
      </c>
      <c r="AN594" s="34">
        <f>IF(ISBLANK(Table2[[#This Row],[Need_RRA]]), 2,(IF(Table2[[#This Row],[Need_RRA]]="No", 0, (IF(AND(Table2[[#This Row],[Need_RRA]]="Yes",  Table2[[#This Row],[RRA_pub_date]]=""),1, 0)))))</f>
        <v>0</v>
      </c>
      <c r="AO594" s="34">
        <f>IF(ISBLANK(Table2[[#This Row],[Need_EIS]]), 2,(IF(Table2[[#This Row],[Need_EIS]]="No", 0, (IF(AND(Table2[[#This Row],[Need_EIS]]="Yes",  Table2[[#This Row],[EIS_pub_date]]=""),1, 0)))))</f>
        <v>0</v>
      </c>
      <c r="AP594" s="34">
        <f>IF(ISBLANK(Table2[[#This Row],[Need_DON]]), 2,(IF(Table2[[#This Row],[Need_DON]]="No", 0, (IF(AND(Table2[[#This Row],[Need_DON]]="Yes",  Table2[[#This Row],[DON_pub_date]]=""),1, 0)))))</f>
        <v>0</v>
      </c>
      <c r="AQ594" s="34">
        <f>IF(ISBLANK(Table2[[#This Row],[Pending_question]]), 2,(IF(Table2[[#This Row],[Pending_question]]="Yes", 1, 0)))</f>
        <v>0</v>
      </c>
      <c r="AR594" s="225"/>
    </row>
    <row r="595" spans="1:44" ht="15.75" customHeight="1">
      <c r="A595" s="60">
        <v>45848</v>
      </c>
      <c r="B595" s="29" t="s">
        <v>15</v>
      </c>
      <c r="C595" s="34" t="str" cm="1">
        <f t="array" ref="C59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95" s="27" t="s">
        <v>1020</v>
      </c>
      <c r="E595" s="70" t="s">
        <v>182</v>
      </c>
      <c r="F595" s="54" t="s">
        <v>318</v>
      </c>
      <c r="G595" s="29" t="s">
        <v>34</v>
      </c>
      <c r="H595" s="55">
        <v>45855</v>
      </c>
      <c r="I595" s="223">
        <v>45859</v>
      </c>
      <c r="J595" s="59">
        <v>45860</v>
      </c>
      <c r="K595" s="59" t="s">
        <v>2164</v>
      </c>
      <c r="L595" s="104" t="s">
        <v>2165</v>
      </c>
      <c r="M595" s="213" t="s">
        <v>19</v>
      </c>
      <c r="N595" s="214"/>
      <c r="O595" s="215"/>
      <c r="P595" s="55" t="s">
        <v>19</v>
      </c>
      <c r="Q595" s="84"/>
      <c r="R595" s="54"/>
      <c r="S595" s="29"/>
      <c r="T595" s="223"/>
      <c r="U595" s="29"/>
      <c r="V595" s="29"/>
      <c r="W595" s="29"/>
      <c r="X595" s="27"/>
      <c r="Y595" s="54" t="s">
        <v>30</v>
      </c>
      <c r="Z595" s="29" t="s">
        <v>42</v>
      </c>
      <c r="AA595" s="29" t="s">
        <v>22</v>
      </c>
      <c r="AB595" s="54" t="s">
        <v>2166</v>
      </c>
      <c r="AC595" s="59">
        <v>45855</v>
      </c>
      <c r="AD595" s="223">
        <v>45860</v>
      </c>
      <c r="AE595" s="59">
        <v>45861</v>
      </c>
      <c r="AF595" s="59">
        <v>45864</v>
      </c>
      <c r="AG595" s="29"/>
      <c r="AH595" s="85">
        <v>45867</v>
      </c>
      <c r="AI595" s="54" t="s">
        <v>19</v>
      </c>
      <c r="AJ595" s="224"/>
      <c r="AK595" s="27"/>
      <c r="AL595" s="102"/>
      <c r="AM595" s="41" t="str">
        <f>VLOOKUP(Table2[[#This Row],[country]],Countrycode!A:B,2,FALSE)</f>
        <v>MOZ</v>
      </c>
      <c r="AN595" s="34">
        <f>IF(ISBLANK(Table2[[#This Row],[Need_RRA]]), 2,(IF(Table2[[#This Row],[Need_RRA]]="No", 0, (IF(AND(Table2[[#This Row],[Need_RRA]]="Yes",  Table2[[#This Row],[RRA_pub_date]]=""),1, 0)))))</f>
        <v>0</v>
      </c>
      <c r="AO595" s="34">
        <f>IF(ISBLANK(Table2[[#This Row],[Need_EIS]]), 2,(IF(Table2[[#This Row],[Need_EIS]]="No", 0, (IF(AND(Table2[[#This Row],[Need_EIS]]="Yes",  Table2[[#This Row],[EIS_pub_date]]=""),1, 0)))))</f>
        <v>0</v>
      </c>
      <c r="AP595" s="34">
        <f>IF(ISBLANK(Table2[[#This Row],[Need_DON]]), 2,(IF(Table2[[#This Row],[Need_DON]]="No", 0, (IF(AND(Table2[[#This Row],[Need_DON]]="Yes",  Table2[[#This Row],[DON_pub_date]]=""),1, 0)))))</f>
        <v>0</v>
      </c>
      <c r="AQ595" s="34">
        <f>IF(ISBLANK(Table2[[#This Row],[Pending_question]]), 2,(IF(Table2[[#This Row],[Pending_question]]="Yes", 1, 0)))</f>
        <v>0</v>
      </c>
      <c r="AR595" s="225"/>
    </row>
    <row r="596" spans="1:44" ht="15.75" customHeight="1">
      <c r="A596" s="60">
        <v>45866</v>
      </c>
      <c r="B596" s="29" t="s">
        <v>15</v>
      </c>
      <c r="C596" s="34" t="str" cm="1">
        <f t="array" ref="C59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96" s="27" t="s">
        <v>1020</v>
      </c>
      <c r="E596" s="67" t="s">
        <v>99</v>
      </c>
      <c r="F596" s="29" t="s">
        <v>159</v>
      </c>
      <c r="G596" s="29" t="s">
        <v>34</v>
      </c>
      <c r="H596" s="59">
        <v>45866</v>
      </c>
      <c r="I596" s="223">
        <v>45877</v>
      </c>
      <c r="J596" s="59">
        <v>45860</v>
      </c>
      <c r="K596" s="59" t="s">
        <v>2167</v>
      </c>
      <c r="L596" s="104" t="s">
        <v>2168</v>
      </c>
      <c r="M596" s="283" t="s">
        <v>19</v>
      </c>
      <c r="N596" s="223"/>
      <c r="O596" s="226"/>
      <c r="P596" s="59" t="s">
        <v>19</v>
      </c>
      <c r="Q596" s="84"/>
      <c r="R596" s="29"/>
      <c r="S596" s="29"/>
      <c r="T596" s="223"/>
      <c r="U596" s="29"/>
      <c r="V596" s="29"/>
      <c r="W596" s="29"/>
      <c r="X596" s="27"/>
      <c r="Y596" s="29" t="s">
        <v>30</v>
      </c>
      <c r="Z596" s="29" t="s">
        <v>21</v>
      </c>
      <c r="AA596" s="29" t="s">
        <v>22</v>
      </c>
      <c r="AB596" s="29" t="s">
        <v>2169</v>
      </c>
      <c r="AC596" s="59">
        <v>45865</v>
      </c>
      <c r="AD596" s="223">
        <v>45869</v>
      </c>
      <c r="AE596" s="29"/>
      <c r="AF596" s="29"/>
      <c r="AG596" s="29"/>
      <c r="AH596" s="85">
        <v>45878</v>
      </c>
      <c r="AI596" s="29" t="s">
        <v>19</v>
      </c>
      <c r="AJ596" s="224"/>
      <c r="AK596" s="27"/>
      <c r="AL596" s="102"/>
      <c r="AM596" s="41" t="str">
        <f>VLOOKUP(Table2[[#This Row],[country]],Countrycode!A:B,2,FALSE)</f>
        <v>KHM</v>
      </c>
      <c r="AN596" s="34">
        <f>IF(ISBLANK(Table2[[#This Row],[Need_RRA]]), 2,(IF(Table2[[#This Row],[Need_RRA]]="No", 0, (IF(AND(Table2[[#This Row],[Need_RRA]]="Yes",  Table2[[#This Row],[RRA_pub_date]]=""),1, 0)))))</f>
        <v>0</v>
      </c>
      <c r="AO596" s="34">
        <f>IF(ISBLANK(Table2[[#This Row],[Need_EIS]]), 2,(IF(Table2[[#This Row],[Need_EIS]]="No", 0, (IF(AND(Table2[[#This Row],[Need_EIS]]="Yes",  Table2[[#This Row],[EIS_pub_date]]=""),1, 0)))))</f>
        <v>0</v>
      </c>
      <c r="AP596" s="34">
        <f>IF(ISBLANK(Table2[[#This Row],[Need_DON]]), 2,(IF(Table2[[#This Row],[Need_DON]]="No", 0, (IF(AND(Table2[[#This Row],[Need_DON]]="Yes",  Table2[[#This Row],[DON_pub_date]]=""),1, 0)))))</f>
        <v>0</v>
      </c>
      <c r="AQ596" s="34">
        <f>IF(ISBLANK(Table2[[#This Row],[Pending_question]]), 2,(IF(Table2[[#This Row],[Pending_question]]="Yes", 1, 0)))</f>
        <v>0</v>
      </c>
      <c r="AR596" s="225"/>
    </row>
    <row r="597" spans="1:44" ht="15.75" customHeight="1">
      <c r="A597" s="60">
        <v>45873</v>
      </c>
      <c r="B597" s="29" t="s">
        <v>15</v>
      </c>
      <c r="C597" s="34" t="str" cm="1">
        <f t="array" ref="C59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97" s="27" t="s">
        <v>1020</v>
      </c>
      <c r="E597" s="70" t="s">
        <v>182</v>
      </c>
      <c r="F597" s="54" t="s">
        <v>208</v>
      </c>
      <c r="G597" s="29" t="s">
        <v>34</v>
      </c>
      <c r="H597" s="55">
        <v>45873</v>
      </c>
      <c r="I597" s="223"/>
      <c r="J597" s="59">
        <v>44739</v>
      </c>
      <c r="K597" s="59" t="s">
        <v>1444</v>
      </c>
      <c r="L597" s="104" t="s">
        <v>1423</v>
      </c>
      <c r="M597" s="213" t="s">
        <v>19</v>
      </c>
      <c r="N597" s="214"/>
      <c r="O597" s="215"/>
      <c r="P597" s="55" t="s">
        <v>19</v>
      </c>
      <c r="Q597" s="84"/>
      <c r="R597" s="54"/>
      <c r="S597" s="29"/>
      <c r="T597" s="223"/>
      <c r="U597" s="29"/>
      <c r="V597" s="29"/>
      <c r="W597" s="29"/>
      <c r="X597" s="27"/>
      <c r="Y597" s="54" t="s">
        <v>30</v>
      </c>
      <c r="Z597" s="29" t="s">
        <v>42</v>
      </c>
      <c r="AA597" s="29" t="s">
        <v>43</v>
      </c>
      <c r="AB597" s="54" t="s">
        <v>2170</v>
      </c>
      <c r="AC597" s="59">
        <v>45869</v>
      </c>
      <c r="AD597" s="223">
        <v>45873</v>
      </c>
      <c r="AE597" s="59">
        <v>45873</v>
      </c>
      <c r="AF597" s="29"/>
      <c r="AG597" s="59">
        <v>45877</v>
      </c>
      <c r="AH597" s="85">
        <v>45877</v>
      </c>
      <c r="AI597" s="54" t="s">
        <v>19</v>
      </c>
      <c r="AJ597" s="224"/>
      <c r="AK597" s="27"/>
      <c r="AL597" s="102"/>
      <c r="AM597" s="41" t="str">
        <f>VLOOKUP(Table2[[#This Row],[country]],Countrycode!A:B,2,FALSE)</f>
        <v>COD</v>
      </c>
      <c r="AN597" s="34">
        <f>IF(ISBLANK(Table2[[#This Row],[Need_RRA]]), 2,(IF(Table2[[#This Row],[Need_RRA]]="No", 0, (IF(AND(Table2[[#This Row],[Need_RRA]]="Yes",  Table2[[#This Row],[RRA_pub_date]]=""),1, 0)))))</f>
        <v>0</v>
      </c>
      <c r="AO597" s="34">
        <f>IF(ISBLANK(Table2[[#This Row],[Need_EIS]]), 2,(IF(Table2[[#This Row],[Need_EIS]]="No", 0, (IF(AND(Table2[[#This Row],[Need_EIS]]="Yes",  Table2[[#This Row],[EIS_pub_date]]=""),1, 0)))))</f>
        <v>0</v>
      </c>
      <c r="AP597" s="34">
        <f>IF(ISBLANK(Table2[[#This Row],[Need_DON]]), 2,(IF(Table2[[#This Row],[Need_DON]]="No", 0, (IF(AND(Table2[[#This Row],[Need_DON]]="Yes",  Table2[[#This Row],[DON_pub_date]]=""),1, 0)))))</f>
        <v>0</v>
      </c>
      <c r="AQ597" s="34">
        <f>IF(ISBLANK(Table2[[#This Row],[Pending_question]]), 2,(IF(Table2[[#This Row],[Pending_question]]="Yes", 1, 0)))</f>
        <v>0</v>
      </c>
      <c r="AR597" s="225"/>
    </row>
    <row r="598" spans="1:44" ht="15.75" customHeight="1">
      <c r="A598" s="60">
        <v>45876</v>
      </c>
      <c r="B598" s="29" t="s">
        <v>15</v>
      </c>
      <c r="C598" s="34" t="str" cm="1">
        <f t="array" ref="C59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98" s="27" t="s">
        <v>2171</v>
      </c>
      <c r="E598" s="67" t="s">
        <v>203</v>
      </c>
      <c r="F598" s="29" t="s">
        <v>280</v>
      </c>
      <c r="G598" s="29" t="s">
        <v>56</v>
      </c>
      <c r="H598" s="59">
        <v>45873</v>
      </c>
      <c r="I598" s="223">
        <v>45873</v>
      </c>
      <c r="J598" s="59">
        <v>45873</v>
      </c>
      <c r="K598" s="59" t="s">
        <v>2172</v>
      </c>
      <c r="L598" s="104" t="s">
        <v>2173</v>
      </c>
      <c r="M598" s="283" t="s">
        <v>19</v>
      </c>
      <c r="N598" s="223"/>
      <c r="O598" s="226"/>
      <c r="P598" s="59" t="s">
        <v>19</v>
      </c>
      <c r="Q598" s="84"/>
      <c r="R598" s="29"/>
      <c r="S598" s="29"/>
      <c r="T598" s="223"/>
      <c r="U598" s="29"/>
      <c r="V598" s="29"/>
      <c r="W598" s="29"/>
      <c r="X598" s="27"/>
      <c r="Y598" s="29" t="s">
        <v>30</v>
      </c>
      <c r="Z598" s="29" t="s">
        <v>42</v>
      </c>
      <c r="AA598" s="29" t="s">
        <v>43</v>
      </c>
      <c r="AB598" s="29" t="s">
        <v>2174</v>
      </c>
      <c r="AC598" s="59">
        <v>45874</v>
      </c>
      <c r="AD598" s="223">
        <v>45875</v>
      </c>
      <c r="AE598" s="59">
        <v>45876</v>
      </c>
      <c r="AF598" s="59">
        <v>45877</v>
      </c>
      <c r="AG598" s="59">
        <v>45881</v>
      </c>
      <c r="AH598" s="85">
        <v>45882</v>
      </c>
      <c r="AI598" s="29" t="s">
        <v>30</v>
      </c>
      <c r="AJ598" s="224">
        <v>45883</v>
      </c>
      <c r="AK598" s="224">
        <v>45889</v>
      </c>
      <c r="AL598" s="102"/>
      <c r="AM598" s="41" t="str">
        <f>VLOOKUP(Table2[[#This Row],[country]],Countrycode!A:B,2,FALSE)</f>
        <v>ISR</v>
      </c>
      <c r="AN598" s="34">
        <f>IF(ISBLANK(Table2[[#This Row],[Need_RRA]]), 2,(IF(Table2[[#This Row],[Need_RRA]]="No", 0, (IF(AND(Table2[[#This Row],[Need_RRA]]="Yes",  Table2[[#This Row],[RRA_pub_date]]=""),1, 0)))))</f>
        <v>0</v>
      </c>
      <c r="AO598" s="34">
        <f>IF(ISBLANK(Table2[[#This Row],[Need_EIS]]), 2,(IF(Table2[[#This Row],[Need_EIS]]="No", 0, (IF(AND(Table2[[#This Row],[Need_EIS]]="Yes",  Table2[[#This Row],[EIS_pub_date]]=""),1, 0)))))</f>
        <v>0</v>
      </c>
      <c r="AP598" s="34">
        <f>IF(ISBLANK(Table2[[#This Row],[Need_DON]]), 2,(IF(Table2[[#This Row],[Need_DON]]="No", 0, (IF(AND(Table2[[#This Row],[Need_DON]]="Yes",  Table2[[#This Row],[DON_pub_date]]=""),1, 0)))))</f>
        <v>0</v>
      </c>
      <c r="AQ598" s="34">
        <f>IF(ISBLANK(Table2[[#This Row],[Pending_question]]), 2,(IF(Table2[[#This Row],[Pending_question]]="Yes", 1, 0)))</f>
        <v>0</v>
      </c>
      <c r="AR598" s="225"/>
    </row>
    <row r="599" spans="1:44" ht="15.75" customHeight="1">
      <c r="A599" s="60">
        <v>45876</v>
      </c>
      <c r="B599" s="29" t="s">
        <v>15</v>
      </c>
      <c r="C599" s="34" t="str" cm="1">
        <f t="array" ref="C59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599" s="27" t="s">
        <v>2175</v>
      </c>
      <c r="E599" s="67" t="s">
        <v>126</v>
      </c>
      <c r="F599" s="29" t="s">
        <v>173</v>
      </c>
      <c r="G599" s="29" t="s">
        <v>67</v>
      </c>
      <c r="H599" s="59">
        <v>45880</v>
      </c>
      <c r="I599" s="223"/>
      <c r="J599" s="59">
        <v>45859</v>
      </c>
      <c r="K599" s="59" t="s">
        <v>2176</v>
      </c>
      <c r="L599" s="104" t="s">
        <v>2177</v>
      </c>
      <c r="M599" s="283" t="s">
        <v>19</v>
      </c>
      <c r="N599" s="223"/>
      <c r="O599" s="226"/>
      <c r="P599" s="59" t="s">
        <v>19</v>
      </c>
      <c r="Q599" s="84"/>
      <c r="R599" s="29"/>
      <c r="S599" s="29"/>
      <c r="T599" s="223"/>
      <c r="U599" s="29"/>
      <c r="V599" s="29"/>
      <c r="W599" s="29"/>
      <c r="X599" s="27"/>
      <c r="Y599" s="29" t="s">
        <v>19</v>
      </c>
      <c r="Z599" s="29" t="s">
        <v>42</v>
      </c>
      <c r="AA599" s="29" t="s">
        <v>22</v>
      </c>
      <c r="AB599" s="29" t="s">
        <v>2178</v>
      </c>
      <c r="AC599" s="59">
        <v>45875</v>
      </c>
      <c r="AD599" s="223">
        <v>45880</v>
      </c>
      <c r="AE599" s="59">
        <v>45881</v>
      </c>
      <c r="AF599" s="29"/>
      <c r="AG599" s="29"/>
      <c r="AH599" s="27"/>
      <c r="AI599" s="29" t="s">
        <v>19</v>
      </c>
      <c r="AJ599" s="224"/>
      <c r="AK599" s="27"/>
      <c r="AL599" s="102"/>
      <c r="AM599" s="41" t="str">
        <f>VLOOKUP(Table2[[#This Row],[country]],Countrycode!A:B,2,FALSE)</f>
        <v>CHN</v>
      </c>
      <c r="AN599" s="34">
        <f>IF(ISBLANK(Table2[[#This Row],[Need_RRA]]), 2,(IF(Table2[[#This Row],[Need_RRA]]="No", 0, (IF(AND(Table2[[#This Row],[Need_RRA]]="Yes",  Table2[[#This Row],[RRA_pub_date]]=""),1, 0)))))</f>
        <v>0</v>
      </c>
      <c r="AO599" s="34">
        <f>IF(ISBLANK(Table2[[#This Row],[Need_EIS]]), 2,(IF(Table2[[#This Row],[Need_EIS]]="No", 0, (IF(AND(Table2[[#This Row],[Need_EIS]]="Yes",  Table2[[#This Row],[EIS_pub_date]]=""),1, 0)))))</f>
        <v>0</v>
      </c>
      <c r="AP599" s="34">
        <f>IF(ISBLANK(Table2[[#This Row],[Need_DON]]), 2,(IF(Table2[[#This Row],[Need_DON]]="No", 0, (IF(AND(Table2[[#This Row],[Need_DON]]="Yes",  Table2[[#This Row],[DON_pub_date]]=""),1, 0)))))</f>
        <v>0</v>
      </c>
      <c r="AQ599" s="34">
        <f>IF(ISBLANK(Table2[[#This Row],[Pending_question]]), 2,(IF(Table2[[#This Row],[Pending_question]]="Yes", 1, 0)))</f>
        <v>0</v>
      </c>
      <c r="AR599" s="225"/>
    </row>
    <row r="600" spans="1:44" ht="15.75" customHeight="1">
      <c r="A600" s="60">
        <v>45878</v>
      </c>
      <c r="B600" s="29" t="s">
        <v>15</v>
      </c>
      <c r="C600" s="34" t="str" cm="1">
        <f t="array" ref="C60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00" s="27" t="s">
        <v>927</v>
      </c>
      <c r="E600" s="67" t="s">
        <v>99</v>
      </c>
      <c r="F600" s="29" t="s">
        <v>274</v>
      </c>
      <c r="G600" s="29" t="s">
        <v>34</v>
      </c>
      <c r="H600" s="59">
        <v>45884</v>
      </c>
      <c r="I600" s="59">
        <v>45882</v>
      </c>
      <c r="J600" s="59">
        <v>45856</v>
      </c>
      <c r="K600" s="59" t="s">
        <v>2179</v>
      </c>
      <c r="L600" s="104" t="s">
        <v>2180</v>
      </c>
      <c r="M600" s="283" t="s">
        <v>19</v>
      </c>
      <c r="N600" s="223"/>
      <c r="O600" s="226"/>
      <c r="P600" s="59" t="s">
        <v>19</v>
      </c>
      <c r="Q600" s="84"/>
      <c r="R600" s="29"/>
      <c r="S600" s="29"/>
      <c r="T600" s="223"/>
      <c r="U600" s="29"/>
      <c r="V600" s="29"/>
      <c r="W600" s="29"/>
      <c r="X600" s="27"/>
      <c r="Y600" s="29" t="s">
        <v>30</v>
      </c>
      <c r="Z600" s="29" t="s">
        <v>42</v>
      </c>
      <c r="AA600" s="29" t="s">
        <v>22</v>
      </c>
      <c r="AB600" s="150" t="s">
        <v>2181</v>
      </c>
      <c r="AC600" s="59">
        <v>45878</v>
      </c>
      <c r="AD600" s="59">
        <v>45878</v>
      </c>
      <c r="AE600" s="59">
        <v>45880</v>
      </c>
      <c r="AF600" s="59">
        <v>45882</v>
      </c>
      <c r="AG600" s="59">
        <v>45887</v>
      </c>
      <c r="AH600" s="85">
        <v>45888</v>
      </c>
      <c r="AI600" s="29" t="s">
        <v>19</v>
      </c>
      <c r="AJ600" s="224"/>
      <c r="AK600" s="27"/>
      <c r="AL600" s="102"/>
      <c r="AM600" s="41" t="str">
        <f>VLOOKUP(Table2[[#This Row],[country]],Countrycode!A:B,2,FALSE)</f>
        <v>IND</v>
      </c>
      <c r="AN600" s="34">
        <f>IF(ISBLANK(Table2[[#This Row],[Need_RRA]]), 2,(IF(Table2[[#This Row],[Need_RRA]]="No", 0, (IF(AND(Table2[[#This Row],[Need_RRA]]="Yes",  Table2[[#This Row],[RRA_pub_date]]=""),1, 0)))))</f>
        <v>0</v>
      </c>
      <c r="AO600" s="34">
        <f>IF(ISBLANK(Table2[[#This Row],[Need_EIS]]), 2,(IF(Table2[[#This Row],[Need_EIS]]="No", 0, (IF(AND(Table2[[#This Row],[Need_EIS]]="Yes",  Table2[[#This Row],[EIS_pub_date]]=""),1, 0)))))</f>
        <v>0</v>
      </c>
      <c r="AP600" s="34">
        <f>IF(ISBLANK(Table2[[#This Row],[Need_DON]]), 2,(IF(Table2[[#This Row],[Need_DON]]="No", 0, (IF(AND(Table2[[#This Row],[Need_DON]]="Yes",  Table2[[#This Row],[DON_pub_date]]=""),1, 0)))))</f>
        <v>0</v>
      </c>
      <c r="AQ600" s="34">
        <f>IF(ISBLANK(Table2[[#This Row],[Pending_question]]), 2,(IF(Table2[[#This Row],[Pending_question]]="Yes", 1, 0)))</f>
        <v>0</v>
      </c>
      <c r="AR600" s="225"/>
    </row>
    <row r="601" spans="1:44" ht="15.75" customHeight="1">
      <c r="A601" s="60">
        <v>45880</v>
      </c>
      <c r="B601" s="29" t="s">
        <v>15</v>
      </c>
      <c r="C601" s="34" t="str" cm="1">
        <f t="array" ref="C60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01" s="27" t="s">
        <v>1020</v>
      </c>
      <c r="E601" s="70" t="s">
        <v>182</v>
      </c>
      <c r="F601" s="54" t="s">
        <v>39</v>
      </c>
      <c r="G601" s="29" t="s">
        <v>93</v>
      </c>
      <c r="H601" s="55">
        <v>45880</v>
      </c>
      <c r="I601" s="223"/>
      <c r="J601" s="59">
        <v>44700</v>
      </c>
      <c r="K601" s="59" t="s">
        <v>948</v>
      </c>
      <c r="L601" s="437" t="s">
        <v>949</v>
      </c>
      <c r="M601" s="213" t="s">
        <v>19</v>
      </c>
      <c r="N601" s="214"/>
      <c r="O601" s="215"/>
      <c r="P601" s="55" t="s">
        <v>30</v>
      </c>
      <c r="Q601" s="84">
        <v>5</v>
      </c>
      <c r="R601" s="54" t="s">
        <v>2182</v>
      </c>
      <c r="S601" s="59">
        <v>45880</v>
      </c>
      <c r="T601" s="223">
        <v>45881</v>
      </c>
      <c r="U601" s="59">
        <v>45902</v>
      </c>
      <c r="V601" s="29"/>
      <c r="W601" s="29"/>
      <c r="X601" s="27" t="s">
        <v>32</v>
      </c>
      <c r="Y601" s="54" t="s">
        <v>19</v>
      </c>
      <c r="Z601" s="29"/>
      <c r="AA601" s="29"/>
      <c r="AB601" s="267"/>
      <c r="AC601" s="59"/>
      <c r="AD601" s="223"/>
      <c r="AE601" s="29"/>
      <c r="AF601" s="29"/>
      <c r="AG601" s="29"/>
      <c r="AH601" s="27"/>
      <c r="AI601" s="54" t="s">
        <v>19</v>
      </c>
      <c r="AJ601" s="224"/>
      <c r="AK601" s="27"/>
      <c r="AL601" s="102"/>
      <c r="AM601" s="41" t="str">
        <f>VLOOKUP(Table2[[#This Row],[country]],Countrycode!A:B,2,FALSE)</f>
        <v>MLX</v>
      </c>
      <c r="AN601" s="34">
        <f>IF(ISBLANK(Table2[[#This Row],[Need_RRA]]), 2,(IF(Table2[[#This Row],[Need_RRA]]="No", 0, (IF(AND(Table2[[#This Row],[Need_RRA]]="Yes",  Table2[[#This Row],[RRA_pub_date]]=""),1, 0)))))</f>
        <v>0</v>
      </c>
      <c r="AO601" s="34">
        <f>IF(ISBLANK(Table2[[#This Row],[Need_EIS]]), 2,(IF(Table2[[#This Row],[Need_EIS]]="No", 0, (IF(AND(Table2[[#This Row],[Need_EIS]]="Yes",  Table2[[#This Row],[EIS_pub_date]]=""),1, 0)))))</f>
        <v>0</v>
      </c>
      <c r="AP601" s="34">
        <f>IF(ISBLANK(Table2[[#This Row],[Need_DON]]), 2,(IF(Table2[[#This Row],[Need_DON]]="No", 0, (IF(AND(Table2[[#This Row],[Need_DON]]="Yes",  Table2[[#This Row],[DON_pub_date]]=""),1, 0)))))</f>
        <v>0</v>
      </c>
      <c r="AQ601" s="34">
        <f>IF(ISBLANK(Table2[[#This Row],[Pending_question]]), 2,(IF(Table2[[#This Row],[Pending_question]]="Yes", 1, 0)))</f>
        <v>0</v>
      </c>
      <c r="AR601" s="225"/>
    </row>
    <row r="602" spans="1:44" ht="15.75" customHeight="1">
      <c r="A602" s="60">
        <v>45883</v>
      </c>
      <c r="B602" s="29" t="s">
        <v>15</v>
      </c>
      <c r="C602" s="34" t="str" cm="1">
        <f t="array" ref="C602">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02" s="27" t="s">
        <v>456</v>
      </c>
      <c r="E602" s="67" t="s">
        <v>132</v>
      </c>
      <c r="F602" s="29" t="s">
        <v>39</v>
      </c>
      <c r="G602" s="29" t="s">
        <v>93</v>
      </c>
      <c r="H602" s="29"/>
      <c r="I602" s="223"/>
      <c r="J602" s="59"/>
      <c r="K602" s="59"/>
      <c r="L602" s="104"/>
      <c r="M602" s="283" t="s">
        <v>19</v>
      </c>
      <c r="N602" s="223"/>
      <c r="O602" s="226"/>
      <c r="P602" s="59" t="s">
        <v>30</v>
      </c>
      <c r="Q602" s="84">
        <v>8</v>
      </c>
      <c r="R602" s="29"/>
      <c r="S602" s="59">
        <v>45839</v>
      </c>
      <c r="T602" s="223">
        <v>45869</v>
      </c>
      <c r="U602" s="59">
        <v>45915</v>
      </c>
      <c r="V602" s="29"/>
      <c r="W602" s="29"/>
      <c r="X602" s="27" t="s">
        <v>32</v>
      </c>
      <c r="Y602" s="29" t="s">
        <v>19</v>
      </c>
      <c r="Z602" s="29"/>
      <c r="AA602" s="29"/>
      <c r="AB602" s="29"/>
      <c r="AC602" s="29"/>
      <c r="AD602" s="223"/>
      <c r="AE602" s="29"/>
      <c r="AF602" s="29"/>
      <c r="AG602" s="29"/>
      <c r="AH602" s="27"/>
      <c r="AI602" s="29" t="s">
        <v>19</v>
      </c>
      <c r="AJ602" s="224"/>
      <c r="AK602" s="27"/>
      <c r="AL602" s="102"/>
      <c r="AM602" s="41" t="str">
        <f>VLOOKUP(Table2[[#This Row],[country]],Countrycode!A:B,2,FALSE)</f>
        <v>MLX</v>
      </c>
      <c r="AN602" s="34">
        <f>IF(ISBLANK(Table2[[#This Row],[Need_RRA]]), 2,(IF(Table2[[#This Row],[Need_RRA]]="No", 0, (IF(AND(Table2[[#This Row],[Need_RRA]]="Yes",  Table2[[#This Row],[RRA_pub_date]]=""),1, 0)))))</f>
        <v>0</v>
      </c>
      <c r="AO602" s="34">
        <f>IF(ISBLANK(Table2[[#This Row],[Need_EIS]]), 2,(IF(Table2[[#This Row],[Need_EIS]]="No", 0, (IF(AND(Table2[[#This Row],[Need_EIS]]="Yes",  Table2[[#This Row],[EIS_pub_date]]=""),1, 0)))))</f>
        <v>0</v>
      </c>
      <c r="AP602" s="34">
        <f>IF(ISBLANK(Table2[[#This Row],[Need_DON]]), 2,(IF(Table2[[#This Row],[Need_DON]]="No", 0, (IF(AND(Table2[[#This Row],[Need_DON]]="Yes",  Table2[[#This Row],[DON_pub_date]]=""),1, 0)))))</f>
        <v>0</v>
      </c>
      <c r="AQ602" s="34">
        <f>IF(ISBLANK(Table2[[#This Row],[Pending_question]]), 2,(IF(Table2[[#This Row],[Pending_question]]="Yes", 1, 0)))</f>
        <v>0</v>
      </c>
      <c r="AR602" s="225"/>
    </row>
    <row r="603" spans="1:44" ht="15.75" customHeight="1">
      <c r="A603" s="60">
        <v>45883</v>
      </c>
      <c r="B603" s="29" t="s">
        <v>15</v>
      </c>
      <c r="C603" s="34" t="str" cm="1">
        <f t="array" ref="C603">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03" s="27" t="s">
        <v>1741</v>
      </c>
      <c r="E603" s="67" t="s">
        <v>128</v>
      </c>
      <c r="F603" s="29" t="s">
        <v>39</v>
      </c>
      <c r="G603" s="29" t="s">
        <v>93</v>
      </c>
      <c r="H603" s="29"/>
      <c r="I603" s="223"/>
      <c r="J603" s="59"/>
      <c r="K603" s="59"/>
      <c r="L603" s="104"/>
      <c r="M603" s="283" t="s">
        <v>19</v>
      </c>
      <c r="N603" s="223"/>
      <c r="O603" s="226"/>
      <c r="P603" s="59" t="s">
        <v>19</v>
      </c>
      <c r="Q603" s="84"/>
      <c r="R603" s="29"/>
      <c r="S603" s="29"/>
      <c r="T603" s="223"/>
      <c r="U603" s="29"/>
      <c r="V603" s="29"/>
      <c r="W603" s="29"/>
      <c r="X603" s="27"/>
      <c r="Y603" s="29" t="s">
        <v>19</v>
      </c>
      <c r="Z603" s="29"/>
      <c r="AA603" s="29"/>
      <c r="AB603" s="29"/>
      <c r="AC603" s="29"/>
      <c r="AD603" s="223"/>
      <c r="AE603" s="29"/>
      <c r="AF603" s="29"/>
      <c r="AG603" s="29"/>
      <c r="AH603" s="27"/>
      <c r="AI603" s="29" t="s">
        <v>30</v>
      </c>
      <c r="AJ603" s="224">
        <v>45887</v>
      </c>
      <c r="AK603" s="85">
        <v>45898</v>
      </c>
      <c r="AL603" s="102"/>
      <c r="AM603" s="41" t="str">
        <f>VLOOKUP(Table2[[#This Row],[country]],Countrycode!A:B,2,FALSE)</f>
        <v>MLX</v>
      </c>
      <c r="AN603" s="34">
        <f>IF(ISBLANK(Table2[[#This Row],[Need_RRA]]), 2,(IF(Table2[[#This Row],[Need_RRA]]="No", 0, (IF(AND(Table2[[#This Row],[Need_RRA]]="Yes",  Table2[[#This Row],[RRA_pub_date]]=""),1, 0)))))</f>
        <v>0</v>
      </c>
      <c r="AO603" s="34">
        <f>IF(ISBLANK(Table2[[#This Row],[Need_EIS]]), 2,(IF(Table2[[#This Row],[Need_EIS]]="No", 0, (IF(AND(Table2[[#This Row],[Need_EIS]]="Yes",  Table2[[#This Row],[EIS_pub_date]]=""),1, 0)))))</f>
        <v>0</v>
      </c>
      <c r="AP603" s="34">
        <f>IF(ISBLANK(Table2[[#This Row],[Need_DON]]), 2,(IF(Table2[[#This Row],[Need_DON]]="No", 0, (IF(AND(Table2[[#This Row],[Need_DON]]="Yes",  Table2[[#This Row],[DON_pub_date]]=""),1, 0)))))</f>
        <v>0</v>
      </c>
      <c r="AQ603" s="34">
        <f>IF(ISBLANK(Table2[[#This Row],[Pending_question]]), 2,(IF(Table2[[#This Row],[Pending_question]]="Yes", 1, 0)))</f>
        <v>0</v>
      </c>
      <c r="AR603" s="225"/>
    </row>
    <row r="604" spans="1:44" ht="15.75" customHeight="1">
      <c r="A604" s="60">
        <v>45890</v>
      </c>
      <c r="B604" s="29" t="s">
        <v>15</v>
      </c>
      <c r="C604" s="34" t="str" cm="1">
        <f t="array" ref="C604">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04" s="27" t="s">
        <v>2175</v>
      </c>
      <c r="E604" s="67" t="s">
        <v>126</v>
      </c>
      <c r="F604" s="29" t="s">
        <v>39</v>
      </c>
      <c r="G604" s="29" t="s">
        <v>93</v>
      </c>
      <c r="H604" s="29"/>
      <c r="I604" s="223"/>
      <c r="J604" s="59"/>
      <c r="K604" s="59"/>
      <c r="L604" s="104"/>
      <c r="M604" s="283" t="s">
        <v>19</v>
      </c>
      <c r="N604" s="223"/>
      <c r="O604" s="226"/>
      <c r="P604" s="59" t="s">
        <v>19</v>
      </c>
      <c r="Q604" s="84"/>
      <c r="R604" s="29"/>
      <c r="S604" s="29"/>
      <c r="T604" s="223"/>
      <c r="U604" s="29"/>
      <c r="V604" s="29"/>
      <c r="W604" s="29"/>
      <c r="X604" s="27"/>
      <c r="Y604" s="29" t="s">
        <v>30</v>
      </c>
      <c r="Z604" s="29" t="s">
        <v>33</v>
      </c>
      <c r="AA604" s="29" t="s">
        <v>22</v>
      </c>
      <c r="AB604" s="29" t="s">
        <v>2183</v>
      </c>
      <c r="AC604" s="59">
        <v>45874</v>
      </c>
      <c r="AD604" s="223">
        <v>45890</v>
      </c>
      <c r="AE604" s="29"/>
      <c r="AF604" s="29"/>
      <c r="AG604" s="29"/>
      <c r="AH604" s="85">
        <v>45898</v>
      </c>
      <c r="AI604" s="29" t="s">
        <v>30</v>
      </c>
      <c r="AJ604" s="224">
        <v>45904</v>
      </c>
      <c r="AK604" s="85">
        <v>45933</v>
      </c>
      <c r="AL604" s="102" t="s">
        <v>2184</v>
      </c>
      <c r="AM604" s="41" t="str">
        <f>VLOOKUP(Table2[[#This Row],[country]],Countrycode!A:B,2,FALSE)</f>
        <v>MLX</v>
      </c>
      <c r="AN604" s="34">
        <f>IF(ISBLANK(Table2[[#This Row],[Need_RRA]]), 2,(IF(Table2[[#This Row],[Need_RRA]]="No", 0, (IF(AND(Table2[[#This Row],[Need_RRA]]="Yes",  Table2[[#This Row],[RRA_pub_date]]=""),1, 0)))))</f>
        <v>0</v>
      </c>
      <c r="AO604" s="34">
        <f>IF(ISBLANK(Table2[[#This Row],[Need_EIS]]), 2,(IF(Table2[[#This Row],[Need_EIS]]="No", 0, (IF(AND(Table2[[#This Row],[Need_EIS]]="Yes",  Table2[[#This Row],[EIS_pub_date]]=""),1, 0)))))</f>
        <v>0</v>
      </c>
      <c r="AP604" s="34">
        <f>IF(ISBLANK(Table2[[#This Row],[Need_DON]]), 2,(IF(Table2[[#This Row],[Need_DON]]="No", 0, (IF(AND(Table2[[#This Row],[Need_DON]]="Yes",  Table2[[#This Row],[DON_pub_date]]=""),1, 0)))))</f>
        <v>0</v>
      </c>
      <c r="AQ604" s="34">
        <f>IF(ISBLANK(Table2[[#This Row],[Pending_question]]), 2,(IF(Table2[[#This Row],[Pending_question]]="Yes", 1, 0)))</f>
        <v>0</v>
      </c>
      <c r="AR604" s="225"/>
    </row>
    <row r="605" spans="1:44" ht="15.75" customHeight="1">
      <c r="A605" s="60">
        <v>45894</v>
      </c>
      <c r="B605" s="29" t="s">
        <v>15</v>
      </c>
      <c r="C605" s="34" t="str" cm="1">
        <f t="array" ref="C605">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05" s="27" t="s">
        <v>927</v>
      </c>
      <c r="E605" s="67" t="s">
        <v>114</v>
      </c>
      <c r="F605" s="29" t="s">
        <v>117</v>
      </c>
      <c r="G605" s="29" t="s">
        <v>34</v>
      </c>
      <c r="H605" s="59">
        <v>45896</v>
      </c>
      <c r="I605" s="59">
        <v>45902</v>
      </c>
      <c r="J605" s="59">
        <v>45890</v>
      </c>
      <c r="K605" s="250" t="s">
        <v>2185</v>
      </c>
      <c r="L605" s="104" t="s">
        <v>2186</v>
      </c>
      <c r="M605" s="283" t="s">
        <v>19</v>
      </c>
      <c r="N605" s="223"/>
      <c r="O605" s="226"/>
      <c r="P605" s="59" t="s">
        <v>19</v>
      </c>
      <c r="Q605" s="84"/>
      <c r="R605" s="29"/>
      <c r="S605" s="29"/>
      <c r="T605" s="223"/>
      <c r="U605" s="29"/>
      <c r="V605" s="29"/>
      <c r="W605" s="29"/>
      <c r="X605" s="27"/>
      <c r="Y605" s="29" t="s">
        <v>30</v>
      </c>
      <c r="Z605" s="29" t="s">
        <v>42</v>
      </c>
      <c r="AA605" s="29" t="s">
        <v>22</v>
      </c>
      <c r="AB605" s="29" t="s">
        <v>2187</v>
      </c>
      <c r="AC605" s="150">
        <v>45894</v>
      </c>
      <c r="AD605" s="150">
        <v>45896</v>
      </c>
      <c r="AE605" s="150">
        <v>45897</v>
      </c>
      <c r="AF605" s="29"/>
      <c r="AG605" s="150">
        <v>45903</v>
      </c>
      <c r="AH605" s="150">
        <v>45903</v>
      </c>
      <c r="AI605" s="29" t="s">
        <v>19</v>
      </c>
      <c r="AJ605" s="224"/>
      <c r="AK605" s="27"/>
      <c r="AL605" s="102"/>
      <c r="AM605" s="41" t="str">
        <f>VLOOKUP(Table2[[#This Row],[country]],Countrycode!A:B,2,FALSE)</f>
        <v>BGD</v>
      </c>
      <c r="AN605" s="34">
        <f>IF(ISBLANK(Table2[[#This Row],[Need_RRA]]), 2,(IF(Table2[[#This Row],[Need_RRA]]="No", 0, (IF(AND(Table2[[#This Row],[Need_RRA]]="Yes",  Table2[[#This Row],[RRA_pub_date]]=""),1, 0)))))</f>
        <v>0</v>
      </c>
      <c r="AO605" s="34">
        <f>IF(ISBLANK(Table2[[#This Row],[Need_EIS]]), 2,(IF(Table2[[#This Row],[Need_EIS]]="No", 0, (IF(AND(Table2[[#This Row],[Need_EIS]]="Yes",  Table2[[#This Row],[EIS_pub_date]]=""),1, 0)))))</f>
        <v>0</v>
      </c>
      <c r="AP605" s="34">
        <f>IF(ISBLANK(Table2[[#This Row],[Need_DON]]), 2,(IF(Table2[[#This Row],[Need_DON]]="No", 0, (IF(AND(Table2[[#This Row],[Need_DON]]="Yes",  Table2[[#This Row],[DON_pub_date]]=""),1, 0)))))</f>
        <v>0</v>
      </c>
      <c r="AQ605" s="34">
        <f>IF(ISBLANK(Table2[[#This Row],[Pending_question]]), 2,(IF(Table2[[#This Row],[Pending_question]]="Yes", 1, 0)))</f>
        <v>0</v>
      </c>
      <c r="AR605" s="225"/>
    </row>
    <row r="606" spans="1:44" ht="15.75" customHeight="1">
      <c r="A606" s="60">
        <v>45896</v>
      </c>
      <c r="B606" s="29" t="s">
        <v>15</v>
      </c>
      <c r="C606" s="34" t="str" cm="1">
        <f t="array" ref="C60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06" s="27" t="s">
        <v>2171</v>
      </c>
      <c r="E606" s="67" t="s">
        <v>203</v>
      </c>
      <c r="F606" s="29" t="s">
        <v>291</v>
      </c>
      <c r="G606" s="29" t="s">
        <v>67</v>
      </c>
      <c r="H606" s="59">
        <v>45896</v>
      </c>
      <c r="I606" s="223"/>
      <c r="J606" s="59">
        <v>45896</v>
      </c>
      <c r="K606" s="59"/>
      <c r="L606" s="104"/>
      <c r="M606" s="283" t="s">
        <v>19</v>
      </c>
      <c r="N606" s="223"/>
      <c r="O606" s="226"/>
      <c r="P606" s="59" t="s">
        <v>19</v>
      </c>
      <c r="Q606" s="84"/>
      <c r="R606" s="29"/>
      <c r="S606" s="29"/>
      <c r="T606" s="223"/>
      <c r="U606" s="29"/>
      <c r="V606" s="29"/>
      <c r="W606" s="29"/>
      <c r="X606" s="27"/>
      <c r="Y606" s="29" t="s">
        <v>30</v>
      </c>
      <c r="Z606" s="29" t="s">
        <v>42</v>
      </c>
      <c r="AA606" s="29" t="s">
        <v>22</v>
      </c>
      <c r="AB606" s="29" t="s">
        <v>2188</v>
      </c>
      <c r="AC606" s="59">
        <v>45896</v>
      </c>
      <c r="AD606" s="223">
        <v>45896</v>
      </c>
      <c r="AE606" s="29"/>
      <c r="AF606" s="29"/>
      <c r="AG606" s="29"/>
      <c r="AH606" s="59">
        <v>45904</v>
      </c>
      <c r="AI606" s="29" t="s">
        <v>19</v>
      </c>
      <c r="AJ606" s="224"/>
      <c r="AK606" s="27"/>
      <c r="AL606" s="102"/>
      <c r="AM606" s="41" t="e">
        <f>VLOOKUP(Table2[[#This Row],[country]],Countrycode!A:B,2,FALSE)</f>
        <v>#N/A</v>
      </c>
      <c r="AN606" s="34">
        <f>IF(ISBLANK(Table2[[#This Row],[Need_RRA]]), 2,(IF(Table2[[#This Row],[Need_RRA]]="No", 0, (IF(AND(Table2[[#This Row],[Need_RRA]]="Yes",  Table2[[#This Row],[RRA_pub_date]]=""),1, 0)))))</f>
        <v>0</v>
      </c>
      <c r="AO606" s="34">
        <f>IF(ISBLANK(Table2[[#This Row],[Need_EIS]]), 2,(IF(Table2[[#This Row],[Need_EIS]]="No", 0, (IF(AND(Table2[[#This Row],[Need_EIS]]="Yes",  Table2[[#This Row],[EIS_pub_date]]=""),1, 0)))))</f>
        <v>0</v>
      </c>
      <c r="AP606" s="34">
        <f>IF(ISBLANK(Table2[[#This Row],[Need_DON]]), 2,(IF(Table2[[#This Row],[Need_DON]]="No", 0, (IF(AND(Table2[[#This Row],[Need_DON]]="Yes",  Table2[[#This Row],[DON_pub_date]]=""),1, 0)))))</f>
        <v>0</v>
      </c>
      <c r="AQ606" s="34">
        <f>IF(ISBLANK(Table2[[#This Row],[Pending_question]]), 2,(IF(Table2[[#This Row],[Pending_question]]="Yes", 1, 0)))</f>
        <v>0</v>
      </c>
      <c r="AR606" s="225"/>
    </row>
    <row r="607" spans="1:44" ht="15.75" customHeight="1">
      <c r="A607" s="60">
        <v>45904</v>
      </c>
      <c r="B607" s="29" t="s">
        <v>15</v>
      </c>
      <c r="C607" s="34" t="str" cm="1">
        <f t="array" ref="C607">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07" s="27" t="s">
        <v>459</v>
      </c>
      <c r="E607" s="67" t="s">
        <v>140</v>
      </c>
      <c r="F607" s="29" t="s">
        <v>208</v>
      </c>
      <c r="G607" s="29" t="s">
        <v>34</v>
      </c>
      <c r="H607" s="59">
        <v>45901</v>
      </c>
      <c r="I607" s="223"/>
      <c r="J607" s="59">
        <v>45904</v>
      </c>
      <c r="K607" s="59" t="s">
        <v>2189</v>
      </c>
      <c r="L607" s="104" t="s">
        <v>2190</v>
      </c>
      <c r="M607" s="283"/>
      <c r="N607" s="223"/>
      <c r="O607" s="226"/>
      <c r="P607" s="59" t="s">
        <v>30</v>
      </c>
      <c r="Q607" s="84">
        <v>1</v>
      </c>
      <c r="R607" s="29" t="s">
        <v>2191</v>
      </c>
      <c r="S607" s="59">
        <v>45903</v>
      </c>
      <c r="T607" s="223">
        <v>45903</v>
      </c>
      <c r="U607" s="59">
        <v>45904</v>
      </c>
      <c r="V607" s="29" t="s">
        <v>20</v>
      </c>
      <c r="W607" s="29" t="s">
        <v>32</v>
      </c>
      <c r="X607" s="27" t="s">
        <v>51</v>
      </c>
      <c r="Y607" s="29" t="s">
        <v>30</v>
      </c>
      <c r="Z607" s="29" t="s">
        <v>42</v>
      </c>
      <c r="AA607" s="29" t="s">
        <v>43</v>
      </c>
      <c r="AB607" s="29" t="s">
        <v>2192</v>
      </c>
      <c r="AC607" s="59">
        <v>45903</v>
      </c>
      <c r="AD607" s="223">
        <v>45904</v>
      </c>
      <c r="AE607" s="59">
        <v>45904</v>
      </c>
      <c r="AF607" s="59">
        <v>45904</v>
      </c>
      <c r="AG607" s="29"/>
      <c r="AH607" s="85">
        <v>45904</v>
      </c>
      <c r="AI607" s="29" t="s">
        <v>30</v>
      </c>
      <c r="AJ607" s="224">
        <v>45904</v>
      </c>
      <c r="AK607" s="85">
        <v>45905</v>
      </c>
      <c r="AL607" s="102"/>
      <c r="AM607" s="41" t="str">
        <f>VLOOKUP(Table2[[#This Row],[country]],Countrycode!A:B,2,FALSE)</f>
        <v>COD</v>
      </c>
      <c r="AN607" s="34">
        <f>IF(ISBLANK(Table2[[#This Row],[Need_RRA]]), 2,(IF(Table2[[#This Row],[Need_RRA]]="No", 0, (IF(AND(Table2[[#This Row],[Need_RRA]]="Yes",  Table2[[#This Row],[RRA_pub_date]]=""),1, 0)))))</f>
        <v>0</v>
      </c>
      <c r="AO607" s="34">
        <f>IF(ISBLANK(Table2[[#This Row],[Need_EIS]]), 2,(IF(Table2[[#This Row],[Need_EIS]]="No", 0, (IF(AND(Table2[[#This Row],[Need_EIS]]="Yes",  Table2[[#This Row],[EIS_pub_date]]=""),1, 0)))))</f>
        <v>0</v>
      </c>
      <c r="AP607" s="34">
        <f>IF(ISBLANK(Table2[[#This Row],[Need_DON]]), 2,(IF(Table2[[#This Row],[Need_DON]]="No", 0, (IF(AND(Table2[[#This Row],[Need_DON]]="Yes",  Table2[[#This Row],[DON_pub_date]]=""),1, 0)))))</f>
        <v>0</v>
      </c>
      <c r="AQ607" s="34">
        <f>IF(ISBLANK(Table2[[#This Row],[Pending_question]]), 2,(IF(Table2[[#This Row],[Pending_question]]="Yes", 1, 0)))</f>
        <v>2</v>
      </c>
      <c r="AR607" s="225"/>
    </row>
    <row r="608" spans="1:44" ht="15.75" customHeight="1">
      <c r="A608" s="60">
        <v>45908</v>
      </c>
      <c r="B608" s="29" t="s">
        <v>15</v>
      </c>
      <c r="C608" s="34" t="str" cm="1">
        <f t="array" ref="C608">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08" s="27" t="s">
        <v>1020</v>
      </c>
      <c r="E608" s="70" t="s">
        <v>110</v>
      </c>
      <c r="F608" s="54" t="s">
        <v>173</v>
      </c>
      <c r="G608" s="29" t="s">
        <v>34</v>
      </c>
      <c r="H608" s="55">
        <v>45908</v>
      </c>
      <c r="I608" s="223"/>
      <c r="J608" s="59"/>
      <c r="K608" s="452" t="s">
        <v>2193</v>
      </c>
      <c r="L608" s="104" t="s">
        <v>2194</v>
      </c>
      <c r="M608" s="213" t="s">
        <v>19</v>
      </c>
      <c r="N608" s="214"/>
      <c r="O608" s="215"/>
      <c r="P608" s="55" t="s">
        <v>19</v>
      </c>
      <c r="Q608" s="84"/>
      <c r="R608" s="54"/>
      <c r="S608" s="59"/>
      <c r="T608" s="223"/>
      <c r="U608" s="59"/>
      <c r="V608" s="29"/>
      <c r="W608" s="29"/>
      <c r="X608" s="27"/>
      <c r="Y608" s="54" t="s">
        <v>30</v>
      </c>
      <c r="Z608" s="29" t="s">
        <v>42</v>
      </c>
      <c r="AA608" s="29" t="s">
        <v>22</v>
      </c>
      <c r="AB608" s="54" t="s">
        <v>2195</v>
      </c>
      <c r="AC608" s="59">
        <v>45908</v>
      </c>
      <c r="AD608" s="223">
        <v>45908</v>
      </c>
      <c r="AE608" s="59">
        <v>45909</v>
      </c>
      <c r="AF608" s="59"/>
      <c r="AG608" s="29"/>
      <c r="AH608" s="85">
        <v>45915</v>
      </c>
      <c r="AI608" s="54" t="s">
        <v>19</v>
      </c>
      <c r="AJ608" s="224"/>
      <c r="AK608" s="85"/>
      <c r="AL608" s="102"/>
      <c r="AM608" s="41" t="str">
        <f>VLOOKUP(Table2[[#This Row],[country]],Countrycode!A:B,2,FALSE)</f>
        <v>CHN</v>
      </c>
      <c r="AN608" s="34">
        <f>IF(ISBLANK(Table2[[#This Row],[Need_RRA]]), 2,(IF(Table2[[#This Row],[Need_RRA]]="No", 0, (IF(AND(Table2[[#This Row],[Need_RRA]]="Yes",  Table2[[#This Row],[RRA_pub_date]]=""),1, 0)))))</f>
        <v>0</v>
      </c>
      <c r="AO608" s="34">
        <f>IF(ISBLANK(Table2[[#This Row],[Need_EIS]]), 2,(IF(Table2[[#This Row],[Need_EIS]]="No", 0, (IF(AND(Table2[[#This Row],[Need_EIS]]="Yes",  Table2[[#This Row],[EIS_pub_date]]=""),1, 0)))))</f>
        <v>0</v>
      </c>
      <c r="AP608" s="34">
        <f>IF(ISBLANK(Table2[[#This Row],[Need_DON]]), 2,(IF(Table2[[#This Row],[Need_DON]]="No", 0, (IF(AND(Table2[[#This Row],[Need_DON]]="Yes",  Table2[[#This Row],[DON_pub_date]]=""),1, 0)))))</f>
        <v>0</v>
      </c>
      <c r="AQ608" s="34">
        <f>IF(ISBLANK(Table2[[#This Row],[Pending_question]]), 2,(IF(Table2[[#This Row],[Pending_question]]="Yes", 1, 0)))</f>
        <v>0</v>
      </c>
      <c r="AR608" s="225"/>
    </row>
    <row r="609" spans="1:44" ht="15.75" customHeight="1">
      <c r="A609" s="60">
        <v>45908</v>
      </c>
      <c r="B609" s="29" t="s">
        <v>15</v>
      </c>
      <c r="C609" s="34" t="str" cm="1">
        <f t="array" ref="C609">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09" s="27" t="s">
        <v>1741</v>
      </c>
      <c r="E609" s="67" t="s">
        <v>188</v>
      </c>
      <c r="F609" s="29" t="s">
        <v>117</v>
      </c>
      <c r="G609" s="29" t="s">
        <v>62</v>
      </c>
      <c r="H609" s="29"/>
      <c r="I609" s="223"/>
      <c r="J609" s="59"/>
      <c r="K609" s="59"/>
      <c r="L609" s="104"/>
      <c r="M609" s="283"/>
      <c r="N609" s="223"/>
      <c r="O609" s="226"/>
      <c r="P609" s="59" t="s">
        <v>19</v>
      </c>
      <c r="Q609" s="84"/>
      <c r="R609" s="29"/>
      <c r="S609" s="29"/>
      <c r="T609" s="223"/>
      <c r="U609" s="29"/>
      <c r="V609" s="29"/>
      <c r="W609" s="29"/>
      <c r="X609" s="27"/>
      <c r="Y609" s="29" t="s">
        <v>19</v>
      </c>
      <c r="Z609" s="29"/>
      <c r="AA609" s="29"/>
      <c r="AB609" s="29"/>
      <c r="AC609" s="29"/>
      <c r="AD609" s="223"/>
      <c r="AE609" s="29"/>
      <c r="AF609" s="29"/>
      <c r="AG609" s="29"/>
      <c r="AH609" s="27"/>
      <c r="AI609" s="29" t="s">
        <v>30</v>
      </c>
      <c r="AJ609" s="224">
        <v>45908</v>
      </c>
      <c r="AK609" s="151">
        <v>45918</v>
      </c>
      <c r="AL609" s="102" t="s">
        <v>2196</v>
      </c>
      <c r="AM609" s="41" t="str">
        <f>VLOOKUP(Table2[[#This Row],[country]],Countrycode!A:B,2,FALSE)</f>
        <v>BGD</v>
      </c>
      <c r="AN609" s="34">
        <f>IF(ISBLANK(Table2[[#This Row],[Need_RRA]]), 2,(IF(Table2[[#This Row],[Need_RRA]]="No", 0, (IF(AND(Table2[[#This Row],[Need_RRA]]="Yes",  Table2[[#This Row],[RRA_pub_date]]=""),1, 0)))))</f>
        <v>0</v>
      </c>
      <c r="AO609" s="34">
        <f>IF(ISBLANK(Table2[[#This Row],[Need_EIS]]), 2,(IF(Table2[[#This Row],[Need_EIS]]="No", 0, (IF(AND(Table2[[#This Row],[Need_EIS]]="Yes",  Table2[[#This Row],[EIS_pub_date]]=""),1, 0)))))</f>
        <v>0</v>
      </c>
      <c r="AP609" s="34">
        <f>IF(ISBLANK(Table2[[#This Row],[Need_DON]]), 2,(IF(Table2[[#This Row],[Need_DON]]="No", 0, (IF(AND(Table2[[#This Row],[Need_DON]]="Yes",  Table2[[#This Row],[DON_pub_date]]=""),1, 0)))))</f>
        <v>0</v>
      </c>
      <c r="AQ609" s="34">
        <f>IF(ISBLANK(Table2[[#This Row],[Pending_question]]), 2,(IF(Table2[[#This Row],[Pending_question]]="Yes", 1, 0)))</f>
        <v>2</v>
      </c>
      <c r="AR609" s="225"/>
    </row>
    <row r="610" spans="1:44" ht="15.75" customHeight="1">
      <c r="A610" s="60">
        <v>45908</v>
      </c>
      <c r="B610" s="29" t="s">
        <v>15</v>
      </c>
      <c r="C610" s="34" t="str" cm="1">
        <f t="array" ref="C610">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10" s="27" t="s">
        <v>1020</v>
      </c>
      <c r="E610" s="70" t="s">
        <v>99</v>
      </c>
      <c r="F610" s="54" t="s">
        <v>159</v>
      </c>
      <c r="G610" s="29" t="s">
        <v>34</v>
      </c>
      <c r="H610" s="55">
        <v>45909</v>
      </c>
      <c r="I610" s="223"/>
      <c r="J610" s="59"/>
      <c r="K610" s="59"/>
      <c r="L610" s="104"/>
      <c r="M610" s="213"/>
      <c r="N610" s="214"/>
      <c r="O610" s="215"/>
      <c r="P610" s="55" t="s">
        <v>19</v>
      </c>
      <c r="Q610" s="84"/>
      <c r="R610" s="54"/>
      <c r="S610" s="29"/>
      <c r="T610" s="223"/>
      <c r="U610" s="29"/>
      <c r="V610" s="29"/>
      <c r="W610" s="29"/>
      <c r="X610" s="27"/>
      <c r="Y610" s="54" t="s">
        <v>30</v>
      </c>
      <c r="Z610" s="29" t="s">
        <v>42</v>
      </c>
      <c r="AA610" s="29" t="s">
        <v>22</v>
      </c>
      <c r="AB610" s="54" t="s">
        <v>2197</v>
      </c>
      <c r="AC610" s="59">
        <v>45909</v>
      </c>
      <c r="AD610" s="223">
        <v>45912</v>
      </c>
      <c r="AE610" s="59">
        <v>45912</v>
      </c>
      <c r="AF610" s="59">
        <v>45912</v>
      </c>
      <c r="AG610" s="59">
        <v>45916</v>
      </c>
      <c r="AH610" s="85">
        <v>45917</v>
      </c>
      <c r="AI610" s="54" t="s">
        <v>19</v>
      </c>
      <c r="AJ610" s="224"/>
      <c r="AK610" s="27"/>
      <c r="AL610" s="102"/>
      <c r="AM610" s="41" t="str">
        <f>VLOOKUP(Table2[[#This Row],[country]],Countrycode!A:B,2,FALSE)</f>
        <v>KHM</v>
      </c>
      <c r="AN610" s="34">
        <f>IF(ISBLANK(Table2[[#This Row],[Need_RRA]]), 2,(IF(Table2[[#This Row],[Need_RRA]]="No", 0, (IF(AND(Table2[[#This Row],[Need_RRA]]="Yes",  Table2[[#This Row],[RRA_pub_date]]=""),1, 0)))))</f>
        <v>0</v>
      </c>
      <c r="AO610" s="34">
        <f>IF(ISBLANK(Table2[[#This Row],[Need_EIS]]), 2,(IF(Table2[[#This Row],[Need_EIS]]="No", 0, (IF(AND(Table2[[#This Row],[Need_EIS]]="Yes",  Table2[[#This Row],[EIS_pub_date]]=""),1, 0)))))</f>
        <v>0</v>
      </c>
      <c r="AP610" s="34">
        <f>IF(ISBLANK(Table2[[#This Row],[Need_DON]]), 2,(IF(Table2[[#This Row],[Need_DON]]="No", 0, (IF(AND(Table2[[#This Row],[Need_DON]]="Yes",  Table2[[#This Row],[DON_pub_date]]=""),1, 0)))))</f>
        <v>0</v>
      </c>
      <c r="AQ610" s="34">
        <f>IF(ISBLANK(Table2[[#This Row],[Pending_question]]), 2,(IF(Table2[[#This Row],[Pending_question]]="Yes", 1, 0)))</f>
        <v>2</v>
      </c>
      <c r="AR610" s="225"/>
    </row>
    <row r="611" spans="1:44" ht="15.75" customHeight="1">
      <c r="A611" s="60">
        <v>45931</v>
      </c>
      <c r="B611" s="29" t="s">
        <v>38</v>
      </c>
      <c r="C611" s="34" t="str" cm="1">
        <f t="array" ref="C611">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All Products done</v>
      </c>
      <c r="D611" s="27" t="s">
        <v>927</v>
      </c>
      <c r="E611" s="67" t="s">
        <v>227</v>
      </c>
      <c r="F611" s="29" t="s">
        <v>386</v>
      </c>
      <c r="G611" s="29" t="s">
        <v>34</v>
      </c>
      <c r="H611" s="59">
        <v>45934</v>
      </c>
      <c r="I611" s="55">
        <v>45940</v>
      </c>
      <c r="J611" s="59">
        <v>45932</v>
      </c>
      <c r="K611" s="59" t="s">
        <v>2198</v>
      </c>
      <c r="L611" s="104" t="s">
        <v>2199</v>
      </c>
      <c r="M611" s="283"/>
      <c r="N611" s="223"/>
      <c r="O611" s="226"/>
      <c r="P611" s="59" t="s">
        <v>19</v>
      </c>
      <c r="Q611" s="84"/>
      <c r="R611" s="29"/>
      <c r="S611" s="29"/>
      <c r="T611" s="223"/>
      <c r="U611" s="29"/>
      <c r="V611" s="29"/>
      <c r="W611" s="29"/>
      <c r="X611" s="27"/>
      <c r="Y611" s="29" t="s">
        <v>30</v>
      </c>
      <c r="Z611" s="29" t="s">
        <v>42</v>
      </c>
      <c r="AA611" s="29" t="s">
        <v>22</v>
      </c>
      <c r="AB611" s="29" t="s">
        <v>2200</v>
      </c>
      <c r="AC611" s="59">
        <v>45930</v>
      </c>
      <c r="AD611" s="59">
        <v>45934</v>
      </c>
      <c r="AE611" s="59">
        <v>45937</v>
      </c>
      <c r="AF611" s="59">
        <v>45937</v>
      </c>
      <c r="AG611" s="59">
        <v>45939</v>
      </c>
      <c r="AH611" s="85">
        <v>45942</v>
      </c>
      <c r="AI611" s="29" t="s">
        <v>19</v>
      </c>
      <c r="AJ611" s="224"/>
      <c r="AK611" s="27"/>
      <c r="AL611" s="102"/>
      <c r="AM611" s="41" t="str">
        <f>VLOOKUP(Table2[[#This Row],[country]],Countrycode!A:B,2,FALSE)</f>
        <v>THA</v>
      </c>
      <c r="AN611" s="34">
        <f>IF(ISBLANK(Table2[[#This Row],[Need_RRA]]), 2,(IF(Table2[[#This Row],[Need_RRA]]="No", 0, (IF(AND(Table2[[#This Row],[Need_RRA]]="Yes",  Table2[[#This Row],[RRA_pub_date]]=""),1, 0)))))</f>
        <v>0</v>
      </c>
      <c r="AO611" s="34">
        <f>IF(ISBLANK(Table2[[#This Row],[Need_EIS]]), 2,(IF(Table2[[#This Row],[Need_EIS]]="No", 0, (IF(AND(Table2[[#This Row],[Need_EIS]]="Yes",  Table2[[#This Row],[EIS_pub_date]]=""),1, 0)))))</f>
        <v>0</v>
      </c>
      <c r="AP611" s="34">
        <f>IF(ISBLANK(Table2[[#This Row],[Need_DON]]), 2,(IF(Table2[[#This Row],[Need_DON]]="No", 0, (IF(AND(Table2[[#This Row],[Need_DON]]="Yes",  Table2[[#This Row],[DON_pub_date]]=""),1, 0)))))</f>
        <v>0</v>
      </c>
      <c r="AQ611" s="34">
        <f>IF(ISBLANK(Table2[[#This Row],[Pending_question]]), 2,(IF(Table2[[#This Row],[Pending_question]]="Yes", 1, 0)))</f>
        <v>2</v>
      </c>
      <c r="AR611" s="225"/>
    </row>
    <row r="612" spans="1:44" ht="15.75" customHeight="1">
      <c r="A612" s="60">
        <v>45932</v>
      </c>
      <c r="B612" s="29" t="s">
        <v>38</v>
      </c>
      <c r="C612" s="34" t="s">
        <v>2201</v>
      </c>
      <c r="D612" s="27" t="s">
        <v>2175</v>
      </c>
      <c r="E612" s="67" t="s">
        <v>215</v>
      </c>
      <c r="F612" s="29" t="s">
        <v>39</v>
      </c>
      <c r="G612" s="29" t="s">
        <v>660</v>
      </c>
      <c r="H612" s="29"/>
      <c r="I612" s="223"/>
      <c r="J612" s="59">
        <v>45937</v>
      </c>
      <c r="K612" s="59" t="s">
        <v>2202</v>
      </c>
      <c r="L612" s="454" t="s">
        <v>2203</v>
      </c>
      <c r="M612" s="283"/>
      <c r="N612" s="223"/>
      <c r="O612" s="226"/>
      <c r="P612" s="59" t="s">
        <v>30</v>
      </c>
      <c r="Q612" s="84">
        <v>1</v>
      </c>
      <c r="R612" s="29" t="s">
        <v>2204</v>
      </c>
      <c r="S612" s="59">
        <v>45932</v>
      </c>
      <c r="T612" s="223">
        <v>45932</v>
      </c>
      <c r="U612" s="59">
        <v>45939</v>
      </c>
      <c r="V612" s="29" t="s">
        <v>32</v>
      </c>
      <c r="W612" s="29" t="s">
        <v>32</v>
      </c>
      <c r="X612" s="27" t="s">
        <v>51</v>
      </c>
      <c r="Y612" s="29" t="s">
        <v>30</v>
      </c>
      <c r="Z612" s="29" t="s">
        <v>42</v>
      </c>
      <c r="AA612" s="29" t="s">
        <v>22</v>
      </c>
      <c r="AB612" s="29" t="s">
        <v>2205</v>
      </c>
      <c r="AC612" s="59">
        <v>45908</v>
      </c>
      <c r="AD612" s="223">
        <v>45940</v>
      </c>
      <c r="AE612" s="59">
        <v>45943</v>
      </c>
      <c r="AF612" s="29"/>
      <c r="AG612" s="29"/>
      <c r="AH612" s="27"/>
      <c r="AI612" s="29" t="s">
        <v>30</v>
      </c>
      <c r="AJ612" s="224"/>
      <c r="AK612" s="27"/>
      <c r="AL612" s="102"/>
      <c r="AM612" s="41" t="str">
        <f>VLOOKUP(Table2[[#This Row],[country]],Countrycode!A:B,2,FALSE)</f>
        <v>MLX</v>
      </c>
      <c r="AN612" s="34">
        <f>IF(ISBLANK(Table2[[#This Row],[Need_RRA]]), 2,(IF(Table2[[#This Row],[Need_RRA]]="No", 0, (IF(AND(Table2[[#This Row],[Need_RRA]]="Yes",  Table2[[#This Row],[RRA_pub_date]]=""),1, 0)))))</f>
        <v>0</v>
      </c>
      <c r="AO612" s="34">
        <f>IF(ISBLANK(Table2[[#This Row],[Need_EIS]]), 2,(IF(Table2[[#This Row],[Need_EIS]]="No", 0, (IF(AND(Table2[[#This Row],[Need_EIS]]="Yes",  Table2[[#This Row],[EIS_pub_date]]=""),1, 0)))))</f>
        <v>1</v>
      </c>
      <c r="AP612" s="34">
        <f>IF(ISBLANK(Table2[[#This Row],[Need_DON]]), 2,(IF(Table2[[#This Row],[Need_DON]]="No", 0, (IF(AND(Table2[[#This Row],[Need_DON]]="Yes",  Table2[[#This Row],[DON_pub_date]]=""),1, 0)))))</f>
        <v>1</v>
      </c>
      <c r="AQ612" s="34">
        <f>IF(ISBLANK(Table2[[#This Row],[Pending_question]]), 2,(IF(Table2[[#This Row],[Pending_question]]="Yes", 1, 0)))</f>
        <v>2</v>
      </c>
      <c r="AR612" s="225"/>
    </row>
    <row r="613" spans="1:44" ht="15.75" customHeight="1">
      <c r="A613" s="60">
        <v>45932</v>
      </c>
      <c r="B613" s="29" t="s">
        <v>38</v>
      </c>
      <c r="C613" s="34" t="s">
        <v>2206</v>
      </c>
      <c r="D613" s="27" t="s">
        <v>2207</v>
      </c>
      <c r="E613" s="67" t="s">
        <v>57</v>
      </c>
      <c r="F613" s="29" t="s">
        <v>117</v>
      </c>
      <c r="G613" s="29" t="s">
        <v>34</v>
      </c>
      <c r="H613" s="29"/>
      <c r="I613" s="223"/>
      <c r="J613" s="59">
        <v>45915</v>
      </c>
      <c r="K613" s="59" t="s">
        <v>2208</v>
      </c>
      <c r="L613" s="437" t="s">
        <v>2209</v>
      </c>
      <c r="M613" s="283"/>
      <c r="N613" s="223"/>
      <c r="O613" s="226"/>
      <c r="P613" s="59" t="s">
        <v>19</v>
      </c>
      <c r="Q613" s="84"/>
      <c r="R613" s="29"/>
      <c r="S613" s="29"/>
      <c r="T613" s="223"/>
      <c r="U613" s="29"/>
      <c r="V613" s="29"/>
      <c r="W613" s="29"/>
      <c r="X613" s="27"/>
      <c r="Y613" s="29" t="s">
        <v>30</v>
      </c>
      <c r="Z613" s="29" t="s">
        <v>42</v>
      </c>
      <c r="AA613" s="29" t="s">
        <v>22</v>
      </c>
      <c r="AB613" s="29" t="s">
        <v>3088</v>
      </c>
      <c r="AC613" s="59">
        <v>45930</v>
      </c>
      <c r="AD613" s="223">
        <v>45938</v>
      </c>
      <c r="AE613" s="59">
        <v>45940</v>
      </c>
      <c r="AF613" s="29"/>
      <c r="AG613" s="29"/>
      <c r="AH613" s="27"/>
      <c r="AI613" s="29" t="s">
        <v>19</v>
      </c>
      <c r="AJ613" s="224"/>
      <c r="AK613" s="27"/>
      <c r="AL613" s="102"/>
      <c r="AM613" s="41" t="str">
        <f>VLOOKUP(Table2[[#This Row],[country]],Countrycode!A:B,2,FALSE)</f>
        <v>BGD</v>
      </c>
      <c r="AN613" s="34">
        <f>IF(ISBLANK(Table2[[#This Row],[Need_RRA]]), 2,(IF(Table2[[#This Row],[Need_RRA]]="No", 0, (IF(AND(Table2[[#This Row],[Need_RRA]]="Yes",  Table2[[#This Row],[RRA_pub_date]]=""),1, 0)))))</f>
        <v>0</v>
      </c>
      <c r="AO613" s="34">
        <f>IF(ISBLANK(Table2[[#This Row],[Need_EIS]]), 2,(IF(Table2[[#This Row],[Need_EIS]]="No", 0, (IF(AND(Table2[[#This Row],[Need_EIS]]="Yes",  Table2[[#This Row],[EIS_pub_date]]=""),1, 0)))))</f>
        <v>1</v>
      </c>
      <c r="AP613" s="34">
        <f>IF(ISBLANK(Table2[[#This Row],[Need_DON]]), 2,(IF(Table2[[#This Row],[Need_DON]]="No", 0, (IF(AND(Table2[[#This Row],[Need_DON]]="Yes",  Table2[[#This Row],[DON_pub_date]]=""),1, 0)))))</f>
        <v>0</v>
      </c>
      <c r="AQ613" s="34">
        <f>IF(ISBLANK(Table2[[#This Row],[Pending_question]]), 2,(IF(Table2[[#This Row],[Pending_question]]="Yes", 1, 0)))</f>
        <v>2</v>
      </c>
      <c r="AR613" s="225"/>
    </row>
    <row r="614" spans="1:44" ht="15.75" customHeight="1">
      <c r="A614" s="60">
        <v>45933</v>
      </c>
      <c r="B614" s="29" t="s">
        <v>15</v>
      </c>
      <c r="C614" s="34" t="s">
        <v>2144</v>
      </c>
      <c r="D614" s="27" t="s">
        <v>1020</v>
      </c>
      <c r="E614" s="70" t="s">
        <v>114</v>
      </c>
      <c r="F614" s="54" t="s">
        <v>311</v>
      </c>
      <c r="G614" s="29" t="s">
        <v>34</v>
      </c>
      <c r="H614" s="55">
        <v>45934</v>
      </c>
      <c r="I614" s="223"/>
      <c r="J614" s="59"/>
      <c r="K614" s="59" t="s">
        <v>2210</v>
      </c>
      <c r="L614" s="104" t="s">
        <v>2211</v>
      </c>
      <c r="M614" s="213" t="s">
        <v>19</v>
      </c>
      <c r="N614" s="214"/>
      <c r="O614" s="215"/>
      <c r="P614" s="55" t="s">
        <v>19</v>
      </c>
      <c r="Q614" s="84"/>
      <c r="R614" s="54"/>
      <c r="S614" s="29"/>
      <c r="T614" s="223"/>
      <c r="U614" s="29"/>
      <c r="V614" s="29"/>
      <c r="W614" s="29"/>
      <c r="X614" s="27"/>
      <c r="Y614" s="54" t="s">
        <v>30</v>
      </c>
      <c r="Z614" s="29" t="s">
        <v>42</v>
      </c>
      <c r="AA614" s="29" t="s">
        <v>22</v>
      </c>
      <c r="AB614" s="54" t="s">
        <v>2212</v>
      </c>
      <c r="AC614" s="59">
        <v>45933</v>
      </c>
      <c r="AD614" s="223">
        <v>45934</v>
      </c>
      <c r="AE614" s="59">
        <v>45936</v>
      </c>
      <c r="AF614" s="29"/>
      <c r="AG614" s="29"/>
      <c r="AH614" s="85">
        <v>45940</v>
      </c>
      <c r="AI614" s="54" t="s">
        <v>19</v>
      </c>
      <c r="AJ614" s="224"/>
      <c r="AK614" s="27"/>
      <c r="AL614" s="102"/>
      <c r="AM614" s="41" t="str">
        <f>VLOOKUP(Table2[[#This Row],[country]],Countrycode!A:B,2,FALSE)</f>
        <v>MEX</v>
      </c>
      <c r="AN614" s="34">
        <f>IF(ISBLANK(Table2[[#This Row],[Need_RRA]]), 2,(IF(Table2[[#This Row],[Need_RRA]]="No", 0, (IF(AND(Table2[[#This Row],[Need_RRA]]="Yes",  Table2[[#This Row],[RRA_pub_date]]=""),1, 0)))))</f>
        <v>0</v>
      </c>
      <c r="AO614" s="34">
        <f>IF(ISBLANK(Table2[[#This Row],[Need_EIS]]), 2,(IF(Table2[[#This Row],[Need_EIS]]="No", 0, (IF(AND(Table2[[#This Row],[Need_EIS]]="Yes",  Table2[[#This Row],[EIS_pub_date]]=""),1, 0)))))</f>
        <v>0</v>
      </c>
      <c r="AP614" s="34">
        <f>IF(ISBLANK(Table2[[#This Row],[Need_DON]]), 2,(IF(Table2[[#This Row],[Need_DON]]="No", 0, (IF(AND(Table2[[#This Row],[Need_DON]]="Yes",  Table2[[#This Row],[DON_pub_date]]=""),1, 0)))))</f>
        <v>0</v>
      </c>
      <c r="AQ614" s="34">
        <f>IF(ISBLANK(Table2[[#This Row],[Pending_question]]), 2,(IF(Table2[[#This Row],[Pending_question]]="Yes", 1, 0)))</f>
        <v>0</v>
      </c>
      <c r="AR614" s="225"/>
    </row>
    <row r="615" spans="1:44" ht="27" customHeight="1">
      <c r="A615" s="60">
        <v>45938</v>
      </c>
      <c r="B615" s="29" t="s">
        <v>38</v>
      </c>
      <c r="C615" s="34" t="s">
        <v>2213</v>
      </c>
      <c r="D615" s="27" t="s">
        <v>2175</v>
      </c>
      <c r="E615" s="67" t="s">
        <v>203</v>
      </c>
      <c r="F615" s="287" t="s">
        <v>291</v>
      </c>
      <c r="G615" s="29" t="s">
        <v>34</v>
      </c>
      <c r="H615" s="59">
        <v>45939</v>
      </c>
      <c r="I615" s="223"/>
      <c r="J615" s="59"/>
      <c r="K615" s="59"/>
      <c r="L615" s="104"/>
      <c r="M615" s="283"/>
      <c r="N615" s="223"/>
      <c r="O615" s="226"/>
      <c r="P615" s="59" t="s">
        <v>19</v>
      </c>
      <c r="Q615" s="84"/>
      <c r="R615" s="29"/>
      <c r="S615" s="29"/>
      <c r="T615" s="223"/>
      <c r="U615" s="29"/>
      <c r="V615" s="29"/>
      <c r="W615" s="29"/>
      <c r="X615" s="27"/>
      <c r="Y615" s="29" t="s">
        <v>30</v>
      </c>
      <c r="Z615" s="287" t="s">
        <v>21</v>
      </c>
      <c r="AA615" s="29" t="s">
        <v>22</v>
      </c>
      <c r="AB615" s="287" t="s">
        <v>2214</v>
      </c>
      <c r="AC615" s="59">
        <v>45938</v>
      </c>
      <c r="AD615" s="223">
        <v>45939</v>
      </c>
      <c r="AE615" s="29"/>
      <c r="AF615" s="29"/>
      <c r="AG615" s="29"/>
      <c r="AH615" s="27"/>
      <c r="AI615" s="29" t="s">
        <v>30</v>
      </c>
      <c r="AJ615" s="224"/>
      <c r="AK615" s="27"/>
      <c r="AL615" s="102"/>
      <c r="AM615" s="41" t="e">
        <f>VLOOKUP(Table2[[#This Row],[country]],Countrycode!A:B,2,FALSE)</f>
        <v>#N/A</v>
      </c>
      <c r="AN615" s="34">
        <f>IF(ISBLANK(Table2[[#This Row],[Need_RRA]]), 2,(IF(Table2[[#This Row],[Need_RRA]]="No", 0, (IF(AND(Table2[[#This Row],[Need_RRA]]="Yes",  Table2[[#This Row],[RRA_pub_date]]=""),1, 0)))))</f>
        <v>0</v>
      </c>
      <c r="AO615" s="34">
        <f>IF(ISBLANK(Table2[[#This Row],[Need_EIS]]), 2,(IF(Table2[[#This Row],[Need_EIS]]="No", 0, (IF(AND(Table2[[#This Row],[Need_EIS]]="Yes",  Table2[[#This Row],[EIS_pub_date]]=""),1, 0)))))</f>
        <v>1</v>
      </c>
      <c r="AP615" s="34">
        <f>IF(ISBLANK(Table2[[#This Row],[Need_DON]]), 2,(IF(Table2[[#This Row],[Need_DON]]="No", 0, (IF(AND(Table2[[#This Row],[Need_DON]]="Yes",  Table2[[#This Row],[DON_pub_date]]=""),1, 0)))))</f>
        <v>1</v>
      </c>
      <c r="AQ615" s="34">
        <f>IF(ISBLANK(Table2[[#This Row],[Pending_question]]), 2,(IF(Table2[[#This Row],[Pending_question]]="Yes", 1, 0)))</f>
        <v>2</v>
      </c>
      <c r="AR615" s="225"/>
    </row>
    <row r="616" spans="1:44" ht="15.75" customHeight="1">
      <c r="A616" s="60">
        <v>45939</v>
      </c>
      <c r="B616" s="29" t="s">
        <v>38</v>
      </c>
      <c r="C616" s="34" t="str" cm="1">
        <f t="array" ref="C616">IF(SUM(Table2[[#This Row],[PQ_indic]],Table2[[#This Row],[RRA_indic]],Table2[[#This Row],[EIS_indic]],Table2[[#This Row],[DON_indic]])=8, "Missing data", (IF(AND(Table2[[#This Row],[Pending_question]]="Yes", OR( Table2[[#This Row],[Need_RRA]]="No", ISBLANK(Table2[[#This Row],[Need_RRA]])),  OR(Table2[[#This Row],[Need_EIS]]="No", ISBLANK(Table2[[#This Row],[Need_EIS]])), OR(Table2[[#This Row],[Need_DON]]="No", ISBLANK(Table2[[#This Row],[Need_DON]]) )),"Question, no products",( IF( AND(Table2[[#This Row],[Pending_question]]="Yes", ISBLANK(Table2[[#This Row],[PQ_closure_date]])), (IF(SUM(Table2[[#This Row],[RRA_indic]],Table2[[#This Row],[EIS_indic]],Table2[[#This Row],[DON_indic]])=0, "Open Question, all products done",(I447IF(OR(Table2[[#This Row],[RRA_indic]]=2, Table2[[#This Row],[EIS_indic]]=2, Table2[[#This Row],[DON_indic]]=2),"Question, Products unknown",IF(AND(Table2[[#This Row],[RRA_indic]]=1, Table2[[#This Row],[EIS_indic]]=1, Table2[[#This Row],[DON_indic]]=1), "Open Question, RRA, EIS, DON", IF(AND(Table2[[#This Row],[RRA_indic]]=1, Table2[[#This Row],[EIS_indic]]=1), "Open Question, RRA, EIS",IF(AND(Table2[[#This Row],[RRA_indic]]=1, Table2[[#This Row],[DON_indic]]=1), "Open Question, RRA, DON",
IF(AND(Table2[[#This Row],[EIS_indic]]=1, Table2[[#This Row],[DON_indic]]=1), "Open Question, EIS, DON",IF(Table2[[#This Row],[RRA_indic]]=1, "Open Question, RRA", IF(Table2[[#This Row],[EIS_indic]]=1, "Open Question, EIS", "Open Question, DON")))))))))), (IF(SUM(Table2[[#This Row],[RRA_indic]],Table2[[#This Row],[EIS_indic]],Table2[[#This Row],[DON_indic]])=0, "All Products done",(IF(OR(Table2[[#This Row],[RRA_indic]]=2, Table2[[#This Row],[EIS_indic]]=2, Table2[[#This Row],[DON_indic]]=2),"Unknown", IF(AND(Table2[[#This Row],[RRA_indic]]=1, Table2[[#This Row],[EIS_indic]]=1, Table2[[#This Row],[DON_indic]]=1), "Open RRA, EIS, DON", IF(AND(Table2[[#This Row],[RRA_indic]]=1, Table2[[#This Row],[EIS_indic]]=1), "Open RRA, EIS", IF(AND(Table2[[#This Row],[RRA_indic]]=1, Table2[[#This Row],[DON_indic]]=1), "Open RRA, DON", IF(AND(Table2[[#This Row],[EIS_indic]]=1, Table2[[#This Row],[DON_indic]]=1), "Open EIS, DON", IF(Table2[[#This Row],[RRA_indic]]=1, "Open RRA", IF(Table2[[#This Row],[EIS_indic]]=1, "Open EIS", "Open DON")))))))))))))))</f>
        <v>Open RRA, EIS, DON</v>
      </c>
      <c r="D616" s="27" t="s">
        <v>2215</v>
      </c>
      <c r="E616" s="67" t="s">
        <v>138</v>
      </c>
      <c r="F616" s="29" t="s">
        <v>39</v>
      </c>
      <c r="G616" s="29" t="s">
        <v>17</v>
      </c>
      <c r="H616" s="59">
        <v>45923</v>
      </c>
      <c r="I616" s="223">
        <v>45931</v>
      </c>
      <c r="J616" s="59">
        <v>45740</v>
      </c>
      <c r="K616" s="59" t="s">
        <v>2216</v>
      </c>
      <c r="L616" s="437" t="s">
        <v>2217</v>
      </c>
      <c r="M616" s="283" t="s">
        <v>19</v>
      </c>
      <c r="N616" s="223"/>
      <c r="O616" s="226"/>
      <c r="P616" s="59" t="s">
        <v>30</v>
      </c>
      <c r="Q616" s="84">
        <v>1</v>
      </c>
      <c r="R616" s="29" t="s">
        <v>2218</v>
      </c>
      <c r="S616" s="59">
        <v>45939</v>
      </c>
      <c r="T616" s="223"/>
      <c r="U616" s="29"/>
      <c r="V616" s="29"/>
      <c r="W616" s="29"/>
      <c r="X616" s="27"/>
      <c r="Y616" s="29" t="s">
        <v>30</v>
      </c>
      <c r="Z616" s="29"/>
      <c r="AA616" s="29"/>
      <c r="AB616" s="29"/>
      <c r="AC616" s="29"/>
      <c r="AD616" s="223"/>
      <c r="AE616" s="29"/>
      <c r="AF616" s="29"/>
      <c r="AG616" s="29"/>
      <c r="AH616" s="27"/>
      <c r="AI616" s="29" t="s">
        <v>30</v>
      </c>
      <c r="AJ616" s="224"/>
      <c r="AK616" s="27"/>
      <c r="AL616" s="102"/>
      <c r="AM616" s="41" t="str">
        <f>VLOOKUP(Table2[[#This Row],[country]],Countrycode!A:B,2,FALSE)</f>
        <v>MLX</v>
      </c>
      <c r="AN616" s="34">
        <f>IF(ISBLANK(Table2[[#This Row],[Need_RRA]]), 2,(IF(Table2[[#This Row],[Need_RRA]]="No", 0, (IF(AND(Table2[[#This Row],[Need_RRA]]="Yes",  Table2[[#This Row],[RRA_pub_date]]=""),1, 0)))))</f>
        <v>1</v>
      </c>
      <c r="AO616" s="34">
        <f>IF(ISBLANK(Table2[[#This Row],[Need_EIS]]), 2,(IF(Table2[[#This Row],[Need_EIS]]="No", 0, (IF(AND(Table2[[#This Row],[Need_EIS]]="Yes",  Table2[[#This Row],[EIS_pub_date]]=""),1, 0)))))</f>
        <v>1</v>
      </c>
      <c r="AP616" s="34">
        <f>IF(ISBLANK(Table2[[#This Row],[Need_DON]]), 2,(IF(Table2[[#This Row],[Need_DON]]="No", 0, (IF(AND(Table2[[#This Row],[Need_DON]]="Yes",  Table2[[#This Row],[DON_pub_date]]=""),1, 0)))))</f>
        <v>1</v>
      </c>
      <c r="AQ616" s="34">
        <f>IF(ISBLANK(Table2[[#This Row],[Pending_question]]), 2,(IF(Table2[[#This Row],[Pending_question]]="Yes", 1, 0)))</f>
        <v>0</v>
      </c>
      <c r="AR616" s="225"/>
    </row>
    <row r="617" spans="1:44" ht="15.75" customHeight="1">
      <c r="A617" s="60">
        <v>45944</v>
      </c>
      <c r="B617" s="29" t="s">
        <v>38</v>
      </c>
      <c r="C617" s="34" t="s">
        <v>2213</v>
      </c>
      <c r="D617" s="27" t="s">
        <v>1020</v>
      </c>
      <c r="E617" s="70" t="s">
        <v>110</v>
      </c>
      <c r="F617" s="54" t="s">
        <v>173</v>
      </c>
      <c r="G617" s="29" t="s">
        <v>34</v>
      </c>
      <c r="H617" s="55">
        <v>45944</v>
      </c>
      <c r="I617" s="223"/>
      <c r="J617" s="59">
        <v>45944</v>
      </c>
      <c r="K617" s="59" t="s">
        <v>2219</v>
      </c>
      <c r="L617" s="104" t="s">
        <v>2220</v>
      </c>
      <c r="M617" s="213" t="s">
        <v>19</v>
      </c>
      <c r="N617" s="214"/>
      <c r="O617" s="215"/>
      <c r="P617" s="55" t="s">
        <v>19</v>
      </c>
      <c r="Q617" s="84"/>
      <c r="R617" s="54"/>
      <c r="S617" s="59"/>
      <c r="T617" s="223"/>
      <c r="U617" s="29"/>
      <c r="V617" s="29"/>
      <c r="W617" s="29"/>
      <c r="X617" s="27"/>
      <c r="Y617" s="54" t="s">
        <v>30</v>
      </c>
      <c r="Z617" s="29" t="s">
        <v>42</v>
      </c>
      <c r="AA617" s="29" t="s">
        <v>22</v>
      </c>
      <c r="AB617" s="54" t="s">
        <v>3087</v>
      </c>
      <c r="AC617" s="59">
        <v>45943</v>
      </c>
      <c r="AD617" s="223">
        <v>45944</v>
      </c>
      <c r="AE617" s="29"/>
      <c r="AF617" s="29"/>
      <c r="AG617" s="29"/>
      <c r="AH617" s="27"/>
      <c r="AI617" s="54" t="s">
        <v>19</v>
      </c>
      <c r="AJ617" s="224"/>
      <c r="AK617" s="27"/>
      <c r="AL617" s="102"/>
      <c r="AM617" s="41" t="str">
        <f>VLOOKUP(Table2[[#This Row],[country]],Countrycode!A:B,2,FALSE)</f>
        <v>CHN</v>
      </c>
      <c r="AN617" s="34">
        <f>IF(ISBLANK(Table2[[#This Row],[Need_RRA]]), 2,(IF(Table2[[#This Row],[Need_RRA]]="No", 0, (IF(AND(Table2[[#This Row],[Need_RRA]]="Yes",  Table2[[#This Row],[RRA_pub_date]]=""),1, 0)))))</f>
        <v>0</v>
      </c>
      <c r="AO617" s="34">
        <f>IF(ISBLANK(Table2[[#This Row],[Need_EIS]]), 2,(IF(Table2[[#This Row],[Need_EIS]]="No", 0, (IF(AND(Table2[[#This Row],[Need_EIS]]="Yes",  Table2[[#This Row],[EIS_pub_date]]=""),1, 0)))))</f>
        <v>1</v>
      </c>
      <c r="AP617" s="34">
        <f>IF(ISBLANK(Table2[[#This Row],[Need_DON]]), 2,(IF(Table2[[#This Row],[Need_DON]]="No", 0, (IF(AND(Table2[[#This Row],[Need_DON]]="Yes",  Table2[[#This Row],[DON_pub_date]]=""),1, 0)))))</f>
        <v>0</v>
      </c>
      <c r="AQ617" s="34">
        <f>IF(ISBLANK(Table2[[#This Row],[Pending_question]]), 2,(IF(Table2[[#This Row],[Pending_question]]="Yes", 1, 0)))</f>
        <v>0</v>
      </c>
      <c r="AR617" s="225"/>
    </row>
    <row r="618" spans="1:44" ht="15.75" customHeight="1">
      <c r="A618" s="60">
        <v>45945</v>
      </c>
      <c r="B618" s="29" t="s">
        <v>38</v>
      </c>
      <c r="C618" s="34" t="s">
        <v>2213</v>
      </c>
      <c r="D618" s="27" t="s">
        <v>1020</v>
      </c>
      <c r="E618" s="70" t="s">
        <v>99</v>
      </c>
      <c r="F618" s="54" t="s">
        <v>159</v>
      </c>
      <c r="G618" s="29" t="s">
        <v>34</v>
      </c>
      <c r="H618" s="55">
        <v>45945</v>
      </c>
      <c r="I618" s="223"/>
      <c r="J618" s="59"/>
      <c r="K618" s="59"/>
      <c r="L618" s="104"/>
      <c r="M618" s="213" t="s">
        <v>19</v>
      </c>
      <c r="N618" s="214"/>
      <c r="O618" s="215"/>
      <c r="P618" s="55" t="s">
        <v>19</v>
      </c>
      <c r="Q618" s="84"/>
      <c r="R618" s="54"/>
      <c r="S618" s="59"/>
      <c r="T618" s="223"/>
      <c r="U618" s="29"/>
      <c r="V618" s="29"/>
      <c r="W618" s="29"/>
      <c r="X618" s="27"/>
      <c r="Y618" s="54" t="s">
        <v>30</v>
      </c>
      <c r="Z618" s="29" t="s">
        <v>42</v>
      </c>
      <c r="AA618" s="29" t="s">
        <v>22</v>
      </c>
      <c r="AB618" s="54" t="s">
        <v>2221</v>
      </c>
      <c r="AC618" s="59">
        <v>45945</v>
      </c>
      <c r="AD618" s="223"/>
      <c r="AE618" s="29"/>
      <c r="AF618" s="29"/>
      <c r="AG618" s="29"/>
      <c r="AH618" s="27"/>
      <c r="AI618" s="54" t="s">
        <v>19</v>
      </c>
      <c r="AJ618" s="224"/>
      <c r="AK618" s="27"/>
      <c r="AL618" s="102"/>
      <c r="AM618" s="41" t="str">
        <f>VLOOKUP(Table2[[#This Row],[country]],Countrycode!A:B,2,FALSE)</f>
        <v>KHM</v>
      </c>
      <c r="AN618" s="34">
        <f>IF(ISBLANK(Table2[[#This Row],[Need_RRA]]), 2,(IF(Table2[[#This Row],[Need_RRA]]="No", 0, (IF(AND(Table2[[#This Row],[Need_RRA]]="Yes",  Table2[[#This Row],[RRA_pub_date]]=""),1, 0)))))</f>
        <v>0</v>
      </c>
      <c r="AO618" s="34">
        <f>IF(ISBLANK(Table2[[#This Row],[Need_EIS]]), 2,(IF(Table2[[#This Row],[Need_EIS]]="No", 0, (IF(AND(Table2[[#This Row],[Need_EIS]]="Yes",  Table2[[#This Row],[EIS_pub_date]]=""),1, 0)))))</f>
        <v>1</v>
      </c>
      <c r="AP618" s="34">
        <f>IF(ISBLANK(Table2[[#This Row],[Need_DON]]), 2,(IF(Table2[[#This Row],[Need_DON]]="No", 0, (IF(AND(Table2[[#This Row],[Need_DON]]="Yes",  Table2[[#This Row],[DON_pub_date]]=""),1, 0)))))</f>
        <v>0</v>
      </c>
      <c r="AQ618" s="34">
        <f>IF(ISBLANK(Table2[[#This Row],[Pending_question]]), 2,(IF(Table2[[#This Row],[Pending_question]]="Yes", 1, 0)))</f>
        <v>0</v>
      </c>
      <c r="AR618" s="225"/>
    </row>
  </sheetData>
  <phoneticPr fontId="10" type="noConversion"/>
  <dataValidations count="1">
    <dataValidation allowBlank="1" showInputMessage="1" showErrorMessage="1" sqref="N307:N373 N378:N386 N388:N396 N399:N410 N415:N433 N1:N305 A1:B1 A567:A569 N442:N1047792 A571:A618" xr:uid="{628D3E8D-C0C2-4FF4-B1DB-3D8D45807174}"/>
  </dataValidations>
  <hyperlinks>
    <hyperlink ref="AL31" r:id="rId1" xr:uid="{5A9E83E3-1785-4900-9CAA-0642D2DF81AE}"/>
    <hyperlink ref="L65" r:id="rId2" xr:uid="{162E6FD8-4BCB-46DC-A5C0-B70235BCEBBE}"/>
    <hyperlink ref="K71" r:id="rId3" xr:uid="{8ED0AEB4-C6A2-4804-8026-E5DA246A24CB}"/>
    <hyperlink ref="L31" r:id="rId4" display="https://ems.who.int/Event/eventSummary.aspx?eid=2017-E000279" xr:uid="{25F27580-5780-6748-A475-99834545DEF9}"/>
    <hyperlink ref="L70" r:id="rId5" xr:uid="{DE657E72-680D-41D2-9AB5-CAF1F57C21B8}"/>
    <hyperlink ref="L74" r:id="rId6" xr:uid="{C770F4F3-2D13-4AA6-91F9-142FCE122A56}"/>
    <hyperlink ref="L94" r:id="rId7" xr:uid="{A6501BD0-25E8-46F9-8122-6427DF82F208}"/>
    <hyperlink ref="L93" r:id="rId8" xr:uid="{F8F26A3C-E5BD-4603-A542-97EBE909EA8A}"/>
    <hyperlink ref="L91" r:id="rId9" xr:uid="{FD64A9D2-2EEA-423F-8A86-5A12E8C64216}"/>
    <hyperlink ref="L96" r:id="rId10" xr:uid="{880171A0-FB44-4C42-A44F-984B0F63ADC7}"/>
    <hyperlink ref="L97" r:id="rId11" display="https://ems.who.int/Event/eventSummary.aspx?eid=2017-E000441" xr:uid="{5E47299E-3C83-4AB4-814A-4110B3EDC43D}"/>
    <hyperlink ref="L95" r:id="rId12" xr:uid="{E3618A74-43E1-4A97-A8FB-6B14E88A768E}"/>
    <hyperlink ref="L79" r:id="rId13" xr:uid="{A342F57F-39F4-430F-A1D3-0A3C33144F7E}"/>
    <hyperlink ref="L100" r:id="rId14" xr:uid="{9E5C54A6-B272-443C-B1AE-D81BF3FA9542}"/>
    <hyperlink ref="L101" r:id="rId15" xr:uid="{9F940F0C-4927-4E77-AA9C-B19AEE53DF2E}"/>
    <hyperlink ref="L102" r:id="rId16" xr:uid="{4EF3613B-DD87-45D8-AB2D-2E62A857DBDA}"/>
    <hyperlink ref="L104" r:id="rId17" xr:uid="{0C657AE3-7565-405F-B581-DADBA4282193}"/>
    <hyperlink ref="K99" r:id="rId18" xr:uid="{7D3F1F63-EF44-4B2D-B2A1-EFE12E2648E1}"/>
    <hyperlink ref="L108" r:id="rId19" xr:uid="{780B3AA1-3641-4BF8-A1CD-F473F1C26935}"/>
    <hyperlink ref="L113" r:id="rId20" xr:uid="{11F8FC76-1074-4A46-8E89-5C208A4D5F3D}"/>
    <hyperlink ref="L115" r:id="rId21" xr:uid="{CBD6362F-D6C9-43A0-9A55-4153144E4855}"/>
    <hyperlink ref="L118" r:id="rId22" xr:uid="{9D05D18B-719C-49A3-877B-2C3B6E8597AB}"/>
    <hyperlink ref="L120" r:id="rId23" xr:uid="{7A689912-E396-4693-8323-EF2925AE485A}"/>
    <hyperlink ref="L112" r:id="rId24" xr:uid="{4754379D-4367-49F0-925D-E7218E637690}"/>
    <hyperlink ref="L109" r:id="rId25" xr:uid="{B6AF68C6-76CE-42E6-953F-C0C18AF7088D}"/>
    <hyperlink ref="L137" r:id="rId26" xr:uid="{4840BB22-7DAB-4CB8-B3C9-F15F6123EF6B}"/>
    <hyperlink ref="L117" r:id="rId27" xr:uid="{D427B766-1649-4F02-A44A-FAF8C25DCEC0}"/>
    <hyperlink ref="L129" r:id="rId28" xr:uid="{5A56FC49-87B3-48C2-B73F-7AFA68705453}"/>
    <hyperlink ref="L130" r:id="rId29" xr:uid="{E93BD002-EB78-4CC0-9E61-ADBC23139736}"/>
    <hyperlink ref="L131" r:id="rId30" xr:uid="{129B2A1B-45FD-4FCF-82EB-5B05EF07E5F0}"/>
    <hyperlink ref="L116" r:id="rId31" xr:uid="{84FEF706-C0F0-4E0A-9393-91FF9A11D57C}"/>
    <hyperlink ref="L132" r:id="rId32" xr:uid="{C135CEAA-F037-4FCB-9534-C3203B1866CC}"/>
    <hyperlink ref="L122" r:id="rId33" xr:uid="{C109002B-9103-4D97-AC60-3A5A95B05C59}"/>
    <hyperlink ref="L124" r:id="rId34" xr:uid="{99EBA5AC-C174-4DC8-9B35-9066C2171177}"/>
    <hyperlink ref="K133" r:id="rId35" xr:uid="{B4AD04EC-2906-4734-BB48-F341112152B7}"/>
    <hyperlink ref="L133" r:id="rId36" xr:uid="{8325D7AD-EAA9-4676-AFEA-2BD6BCAF549E}"/>
    <hyperlink ref="L126" r:id="rId37" xr:uid="{502781ED-9E78-4CEB-8F11-8FF98744E56F}"/>
    <hyperlink ref="L128" r:id="rId38" xr:uid="{0F72F571-F9F3-4967-B8ED-4A1BA43C4C8C}"/>
    <hyperlink ref="K138" r:id="rId39" xr:uid="{BFAE823B-01D9-4F91-B386-6C2A36CDEF19}"/>
    <hyperlink ref="L138" r:id="rId40" xr:uid="{79FB86BE-34F5-49EE-AE56-A74DD40FF010}"/>
    <hyperlink ref="L139" r:id="rId41" xr:uid="{9A181768-DF95-4CA0-921F-9B3151F50B36}"/>
    <hyperlink ref="L143" r:id="rId42" xr:uid="{5923ED2E-6849-457C-9D5E-ECE804B5CC99}"/>
    <hyperlink ref="L98" r:id="rId43" xr:uid="{492094B2-F46C-49A3-9A17-F6F01EAEEF91}"/>
    <hyperlink ref="L144" r:id="rId44" xr:uid="{3F656ADB-AC24-4F94-BA65-F795C67737EF}"/>
    <hyperlink ref="L146" r:id="rId45" xr:uid="{8511AB28-9B6A-4879-9C6B-620F78270738}"/>
    <hyperlink ref="L148" r:id="rId46" xr:uid="{9B8493F7-DAB0-4487-B2C1-AEDA82A0DE0F}"/>
    <hyperlink ref="L135" r:id="rId47" xr:uid="{9E1F7113-9505-4C45-89E6-CB8AFA12FB75}"/>
    <hyperlink ref="L142" r:id="rId48" xr:uid="{53DD8FC0-CBA9-49F6-BD91-9C2EAB723C3B}"/>
    <hyperlink ref="L147" r:id="rId49" xr:uid="{262E32F3-D252-4B86-96E8-A6FDD4E68C02}"/>
    <hyperlink ref="L114" r:id="rId50" xr:uid="{88CBA077-D4A1-44F7-9150-3EF05B662582}"/>
    <hyperlink ref="L150" r:id="rId51" xr:uid="{38730E58-53B1-4ED2-A98B-056927EF84D3}"/>
    <hyperlink ref="L154" r:id="rId52" xr:uid="{F501AD7E-5B84-4EF2-B577-F98317A898E5}"/>
    <hyperlink ref="L156" r:id="rId53" xr:uid="{80953FAE-9B13-43D8-98D7-1577D963488E}"/>
    <hyperlink ref="L145" r:id="rId54" xr:uid="{6CA9818A-4B69-49BD-B04D-8B4011309959}"/>
    <hyperlink ref="L159" r:id="rId55" xr:uid="{7299FE97-43CC-4D42-BD60-BB7004A040BE}"/>
    <hyperlink ref="L157" r:id="rId56" xr:uid="{BFD19769-751E-49ED-8C73-7CEB3A3CAE66}"/>
    <hyperlink ref="L140" r:id="rId57" xr:uid="{AB1E55D7-E8DA-4761-A55B-07CAB7AF7DBD}"/>
    <hyperlink ref="L125" r:id="rId58" xr:uid="{FEE585CB-3E6B-4910-B9E1-862160180443}"/>
    <hyperlink ref="L111" r:id="rId59" xr:uid="{82040BE0-2661-4174-99D8-7FA2F7C3ECEC}"/>
    <hyperlink ref="L158" r:id="rId60" xr:uid="{824E350B-D042-4ED4-B258-EEBB1F0A0594}"/>
    <hyperlink ref="L151" r:id="rId61" xr:uid="{C9AFA837-8BBA-44D3-8DF2-BE6E0DB09086}"/>
    <hyperlink ref="L160" r:id="rId62" xr:uid="{611DA2A7-F5B8-4C60-A7F7-69CF99536FB6}"/>
    <hyperlink ref="L136" r:id="rId63" xr:uid="{24F632B2-F39A-4680-AD5B-DCA11982EFF3}"/>
    <hyperlink ref="L161" r:id="rId64" xr:uid="{50E6E61F-1840-4BE0-B938-18001A02E044}"/>
    <hyperlink ref="L168" r:id="rId65" xr:uid="{893EACB6-D8C0-4CD5-9598-C4BD178D96A2}"/>
    <hyperlink ref="L152" r:id="rId66" xr:uid="{33CDE4FF-B9A1-4FD0-8F4B-44983B2852D9}"/>
    <hyperlink ref="L169" r:id="rId67" xr:uid="{B5A68300-D373-4051-868B-CA271C9EDC41}"/>
    <hyperlink ref="L165" r:id="rId68" xr:uid="{8CE01CCF-2534-4CE2-BFEF-0F06359C1857}"/>
    <hyperlink ref="L174" r:id="rId69" xr:uid="{DE1D9994-C611-4E2F-9384-2BA4B81BC201}"/>
    <hyperlink ref="L175" r:id="rId70" xr:uid="{9D0DE48E-4778-4B9E-A259-AF3A3D309590}"/>
    <hyperlink ref="L173" r:id="rId71" xr:uid="{1F9558B2-D897-4C79-B462-213DB8714C6E}"/>
    <hyperlink ref="L177" r:id="rId72" xr:uid="{1ED53853-A174-4BA2-AA0C-DF5260191E3A}"/>
    <hyperlink ref="L166" r:id="rId73" xr:uid="{D3E00E84-F7DE-47F1-B05B-D68C8A0278A2}"/>
    <hyperlink ref="L179" r:id="rId74" xr:uid="{01164472-0732-4DA9-84CC-AB3B97FA1276}"/>
    <hyperlink ref="L164" r:id="rId75" xr:uid="{035FC018-DC2E-42D8-8DFA-8C82FB0710A1}"/>
    <hyperlink ref="L181" r:id="rId76" xr:uid="{FDD6FB01-FD6E-4705-A219-FF012B7D4772}"/>
    <hyperlink ref="L167" r:id="rId77" xr:uid="{9A74A1C2-3DAC-4AB4-9D38-10AC94D861A6}"/>
    <hyperlink ref="L183" r:id="rId78" xr:uid="{2A6740A1-0432-48AF-A421-764F38B95771}"/>
    <hyperlink ref="L185" r:id="rId79" xr:uid="{7D054D15-10AD-4459-B8D8-7D46BCDF9BC5}"/>
    <hyperlink ref="L188" r:id="rId80" xr:uid="{C03CDED2-EA9C-40BF-B06E-42A131CF9E55}"/>
    <hyperlink ref="L187" r:id="rId81" xr:uid="{192FBC65-9729-4640-BB9C-A64A344775F7}"/>
    <hyperlink ref="L189" r:id="rId82" xr:uid="{D61E93FD-8E89-4706-9ED7-707567E8D687}"/>
    <hyperlink ref="L149" r:id="rId83" xr:uid="{F23C4176-4EE7-42C0-997B-C22416A43A07}"/>
    <hyperlink ref="K195" r:id="rId84" xr:uid="{208A4F10-AE5A-4241-A4B3-557322147CE2}"/>
    <hyperlink ref="L195" r:id="rId85" xr:uid="{219BB571-9D38-4E51-9C0D-CA2112433C43}"/>
    <hyperlink ref="K196" r:id="rId86" xr:uid="{7C64D9E6-0313-4925-8DF7-64E806D50E6C}"/>
    <hyperlink ref="L196" r:id="rId87" xr:uid="{82284709-BF5F-4369-BFA2-A3513692B035}"/>
    <hyperlink ref="L182" r:id="rId88" xr:uid="{EC3CB2FD-7C5F-4F2F-830F-176E0FC843C4}"/>
    <hyperlink ref="L198" r:id="rId89" xr:uid="{97422D77-EB7D-4DDC-B589-9A59CCA4ADD5}"/>
    <hyperlink ref="L201" r:id="rId90" xr:uid="{820B3701-283F-4809-9722-731F33B86227}"/>
    <hyperlink ref="K201" r:id="rId91" xr:uid="{B34C5ECF-8D34-4543-80D1-7D6BD6D3975F}"/>
    <hyperlink ref="K197" r:id="rId92" xr:uid="{808BD3DE-43A6-4ECB-8099-51C7078D8393}"/>
    <hyperlink ref="L197" r:id="rId93" xr:uid="{13DEACCA-25AD-4628-9A2C-30B537A8E50C}"/>
    <hyperlink ref="L202" r:id="rId94" xr:uid="{E7549AAD-55D1-4A90-B06F-E9A468846C7B}"/>
    <hyperlink ref="L203" r:id="rId95" xr:uid="{4081BC60-ECE4-477F-A65A-284FBD1B2D32}"/>
    <hyperlink ref="L204" r:id="rId96" xr:uid="{66D7EC8C-2368-4600-9E9E-8C60B4B72F8A}"/>
    <hyperlink ref="L209" r:id="rId97" xr:uid="{CB373CB1-2189-451C-A9F8-174F94CA0A32}"/>
    <hyperlink ref="L212" r:id="rId98" xr:uid="{FCD0069A-1E38-416B-BB03-A3D2B4782517}"/>
    <hyperlink ref="K213" r:id="rId99" xr:uid="{089BC0D4-838C-4744-8967-2FC409585D2B}"/>
    <hyperlink ref="L213" r:id="rId100" xr:uid="{0BF1C8F5-3932-4EE1-8228-630B10F5125A}"/>
    <hyperlink ref="L210" r:id="rId101" xr:uid="{AD69481B-9B88-4815-8388-28A2ACAB1E3D}"/>
    <hyperlink ref="L192" r:id="rId102" xr:uid="{F2714F6F-C3BD-4A50-B75A-1C46CF495BC0}"/>
    <hyperlink ref="L216" r:id="rId103" xr:uid="{6C4279CC-6C30-4436-A9B8-6537F7171B84}"/>
    <hyperlink ref="L207" r:id="rId104" xr:uid="{C7414ABE-4461-4777-8692-FC1173099DF4}"/>
    <hyperlink ref="L193" r:id="rId105" xr:uid="{0D00FBE6-2293-4D6A-A666-4686AD5A8FA1}"/>
    <hyperlink ref="L211" r:id="rId106" xr:uid="{25359AF5-D6CC-41A3-A5AE-6301ECEFB91D}"/>
    <hyperlink ref="L141" r:id="rId107" xr:uid="{7097FE23-49F6-4354-896C-F71CD2828810}"/>
    <hyperlink ref="L199" r:id="rId108" xr:uid="{E6AD60A8-AC8E-4582-A756-71B6B5EF27E7}"/>
    <hyperlink ref="L223" r:id="rId109" xr:uid="{F4F842C0-F532-4F0D-AB7E-2D265F1E7C24}"/>
    <hyperlink ref="L218" r:id="rId110" xr:uid="{C14255A4-D437-4DB8-A2A1-2024B15D81EE}"/>
    <hyperlink ref="L217" r:id="rId111" xr:uid="{9F4E838D-45BC-446F-921A-4DD7E794697B}"/>
    <hyperlink ref="L222" r:id="rId112" xr:uid="{A9E262B8-9D86-4374-BD54-2D6EBB94A3E6}"/>
    <hyperlink ref="L224" r:id="rId113" xr:uid="{4C82084F-AC55-4BA9-AEB9-F93570C6E44B}"/>
    <hyperlink ref="L220" r:id="rId114" xr:uid="{22541F33-AA01-4676-AC4C-882C0291CD85}"/>
    <hyperlink ref="L225" r:id="rId115" xr:uid="{41089ED1-B1E1-4130-A119-E43E0EACA313}"/>
    <hyperlink ref="L227" r:id="rId116" xr:uid="{095CFE7E-3C1D-4413-B1F6-DB5B735E8B82}"/>
    <hyperlink ref="L214" r:id="rId117" xr:uid="{465DFFC0-47B1-45CB-A0FB-F4E2245B6E1A}"/>
    <hyperlink ref="L236" r:id="rId118" xr:uid="{20E40128-CC56-4F8C-A6E7-35387DC055C5}"/>
    <hyperlink ref="L228" r:id="rId119" xr:uid="{DAB7D07C-94A4-4FBB-B872-EF47F122D109}"/>
    <hyperlink ref="L230" r:id="rId120" xr:uid="{FF2A5FE3-FAB1-4AD4-92E0-EEF2244CF829}"/>
    <hyperlink ref="L231" r:id="rId121" xr:uid="{3E251280-0CD6-444C-9EFC-148B76F1248A}"/>
    <hyperlink ref="L206" r:id="rId122" xr:uid="{129A9FF0-6A56-4964-8F2F-4802AC1FE660}"/>
    <hyperlink ref="K233" r:id="rId123" xr:uid="{7BDE2ED8-928D-4D03-915D-331287FED975}"/>
    <hyperlink ref="L233" r:id="rId124" xr:uid="{9A3E980A-A42A-48F3-AC85-F82FAC99A3E3}"/>
    <hyperlink ref="L234" r:id="rId125" xr:uid="{1A25251D-74DF-40D0-8393-354B301C7729}"/>
    <hyperlink ref="K234" r:id="rId126" xr:uid="{8E7898F8-DAC7-4E19-B6FC-43A7FA7EDE85}"/>
    <hyperlink ref="L237" r:id="rId127" xr:uid="{7A790C72-FFFC-48E0-8EA2-C3CDDCFD9D09}"/>
    <hyperlink ref="L238" r:id="rId128" xr:uid="{1A1E891D-69D2-4CD9-BFBA-0C3FD634697F}"/>
    <hyperlink ref="L239" r:id="rId129" xr:uid="{53B5D41E-5D12-46F7-AF45-4F7BBDE58F0B}"/>
    <hyperlink ref="L235" r:id="rId130" xr:uid="{EE9647E0-A152-4F5B-93F2-311EBCF8B54B}"/>
    <hyperlink ref="L242" r:id="rId131" xr:uid="{6B5E8877-D03B-4428-91D5-7E68B70A735C}"/>
    <hyperlink ref="L243" r:id="rId132" xr:uid="{C28A4EFC-A26F-46AB-89F8-14624ECE9737}"/>
    <hyperlink ref="K241" r:id="rId133" xr:uid="{D5ED8C00-831B-4CB0-856E-3027017F271F}"/>
    <hyperlink ref="L241" r:id="rId134" xr:uid="{5A7DE0AA-2C7B-4254-9638-A7B724021C44}"/>
    <hyperlink ref="L248" r:id="rId135" xr:uid="{AD913D08-87E6-4ECA-82C9-9AA57A90E017}"/>
    <hyperlink ref="L253" r:id="rId136" xr:uid="{64C930CD-35C2-4BCC-AAAD-BAB0AA890C15}"/>
    <hyperlink ref="L252" r:id="rId137" xr:uid="{9AE47CFD-90E0-403F-90C6-2299019E0868}"/>
    <hyperlink ref="K255" r:id="rId138" display="https://ems.who.int/Event/eventSummary.aspx?eid=2022-E000053" xr:uid="{EF1122A2-183C-4A2A-A6A6-5385CF926984}"/>
    <hyperlink ref="L254" r:id="rId139" xr:uid="{E7378E33-471A-4158-81BD-EA15202CB5AB}"/>
    <hyperlink ref="L246" r:id="rId140" xr:uid="{3FC73ED3-054C-4B99-94D3-EB2FF44FD964}"/>
    <hyperlink ref="L255" r:id="rId141" xr:uid="{754B58E2-954B-4649-A70D-030A6483F246}"/>
    <hyperlink ref="L259" r:id="rId142" xr:uid="{AD72E93D-5496-4F6F-892C-4281D1B50240}"/>
    <hyperlink ref="L258" r:id="rId143" xr:uid="{5AF0D16B-5502-4534-B9D7-EAA07BC08041}"/>
    <hyperlink ref="L260" r:id="rId144" xr:uid="{17C57F74-528C-412C-BC49-050BBF55EC92}"/>
    <hyperlink ref="L264" r:id="rId145" xr:uid="{47350C86-7D0C-4774-B1DA-BF8FF2E7DFDD}"/>
    <hyperlink ref="K247" r:id="rId146" xr:uid="{9E425AB4-6242-4D08-A579-756642E93B5C}"/>
    <hyperlink ref="L247" r:id="rId147" xr:uid="{1A138E2F-6737-4EEF-A49B-79394340DC6D}"/>
    <hyperlink ref="L261" r:id="rId148" xr:uid="{A921192D-AC35-431F-BF75-637CFAD2B306}"/>
    <hyperlink ref="L257" r:id="rId149" xr:uid="{45EB5B6D-EAC3-4F06-A848-7475CB98798F}"/>
    <hyperlink ref="L244" r:id="rId150" xr:uid="{CBA048D7-2577-4F45-B1FB-9613EA53C7BE}"/>
    <hyperlink ref="L268" r:id="rId151" xr:uid="{51C1BA53-27B7-42BC-9CB9-8F03A58E4D9B}"/>
    <hyperlink ref="L266" r:id="rId152" xr:uid="{731FC12D-35B2-4652-89D3-C61C31CF42DC}"/>
    <hyperlink ref="L269" r:id="rId153" xr:uid="{4C6AFF03-8D33-4D02-8E70-06947633D773}"/>
    <hyperlink ref="L271" r:id="rId154" xr:uid="{19621960-15F3-4675-AAC1-FCA527A0E03A}"/>
    <hyperlink ref="L273" r:id="rId155" xr:uid="{BA2442F8-4DCA-473B-A949-B68B30E05A4D}"/>
    <hyperlink ref="L272" r:id="rId156" xr:uid="{DE549FC1-2EC4-4926-9D71-33A28E8A8E79}"/>
    <hyperlink ref="L270" r:id="rId157" xr:uid="{ED2680E8-629E-4DF4-83D4-025E773D481C}"/>
    <hyperlink ref="L275" r:id="rId158" xr:uid="{9CC4BFC9-0062-42E2-BC95-B7A2F8B7F78C}"/>
    <hyperlink ref="L280" r:id="rId159" xr:uid="{72950932-FEF3-4983-B1F1-EB4A33969B7B}"/>
    <hyperlink ref="L282" r:id="rId160" xr:uid="{86C93EB3-CD38-4612-AB43-7E64E76CA288}"/>
    <hyperlink ref="L279" r:id="rId161" xr:uid="{9CCF765B-DB14-45EB-8062-31064F203C1C}"/>
    <hyperlink ref="L276" r:id="rId162" xr:uid="{D9DB3DDF-7A2E-404B-94C4-1C8FE5077768}"/>
    <hyperlink ref="L281" r:id="rId163" xr:uid="{CE1AE67D-FFC2-4D31-8609-BC58971ED020}"/>
    <hyperlink ref="L290" r:id="rId164" xr:uid="{88AE1B01-0044-436A-845D-05FEAF779886}"/>
    <hyperlink ref="L283" r:id="rId165" xr:uid="{526D56FA-7AC8-491F-865F-B4A29C2B2477}"/>
    <hyperlink ref="L285" r:id="rId166" xr:uid="{D7972141-F45D-4E23-9006-46B29D23DC13}"/>
    <hyperlink ref="L284" r:id="rId167" xr:uid="{CE9A1F17-F04D-4FCE-A016-AB14C996D666}"/>
    <hyperlink ref="L278" r:id="rId168" xr:uid="{F6960D2B-CBD5-405E-890E-7F62E320BA8F}"/>
    <hyperlink ref="L286" r:id="rId169" xr:uid="{CCA91343-810E-4BA2-A569-017D4DF8A29A}"/>
    <hyperlink ref="L277" r:id="rId170" xr:uid="{2F5A6DA7-A75D-42EF-913E-A70866A08E16}"/>
    <hyperlink ref="L288" r:id="rId171" xr:uid="{BAD36CB9-ADDD-431D-83FC-C221DC8C7D8A}"/>
    <hyperlink ref="L291" r:id="rId172" xr:uid="{47AF49DC-27FE-46C0-BD85-A034DD809507}"/>
    <hyperlink ref="L294" r:id="rId173" xr:uid="{38A5C6ED-7B32-44E0-9D6B-3F541D420569}"/>
    <hyperlink ref="L293" r:id="rId174" xr:uid="{52076C30-906F-418E-A50D-A20B91CC5537}"/>
    <hyperlink ref="L292" r:id="rId175" xr:uid="{DBBD754A-77EF-4754-A52D-7596E8CE5411}"/>
    <hyperlink ref="L298" r:id="rId176" xr:uid="{CDE021B3-8446-4CD6-A960-6C5B5E69C04D}"/>
    <hyperlink ref="L296" r:id="rId177" xr:uid="{D657F585-1A03-4F91-913E-0515D94FFEC9}"/>
    <hyperlink ref="L300" r:id="rId178" xr:uid="{57D190A4-CCCA-4B2E-8784-8C312D94D716}"/>
    <hyperlink ref="L303" r:id="rId179" xr:uid="{A7602727-77B4-4708-B6F6-0BEB3812B01B}"/>
    <hyperlink ref="K304" r:id="rId180" xr:uid="{19C99294-B05B-4409-B021-38C51D7EB975}"/>
    <hyperlink ref="L304" r:id="rId181" xr:uid="{E0AB6C72-05D5-4F40-9682-DEFEC08D520C}"/>
    <hyperlink ref="L297" r:id="rId182" xr:uid="{C8DAC218-0851-46F6-B8B3-A0F862BD1160}"/>
    <hyperlink ref="L306" r:id="rId183" xr:uid="{BC4CDABF-0A53-4482-9F21-6DEDEF1D35DF}"/>
    <hyperlink ref="L308" r:id="rId184" xr:uid="{7AEC2085-BD8D-4D92-9B05-BDD9B3CA1584}"/>
    <hyperlink ref="L310" r:id="rId185" xr:uid="{524B23F4-5AB7-4346-84D6-54CC34669ACE}"/>
    <hyperlink ref="L289" r:id="rId186" xr:uid="{BC57E76E-DC7B-40D5-AC7D-823167BA1480}"/>
    <hyperlink ref="L311" r:id="rId187" xr:uid="{81E53031-CA9F-4C5F-9C63-5EFC305024FC}"/>
    <hyperlink ref="L295" r:id="rId188" xr:uid="{E2158CA2-81F6-44BD-B16B-03080CE3353C}"/>
    <hyperlink ref="L313" r:id="rId189" xr:uid="{C5395602-A645-4FDD-8D24-777484A7470B}"/>
    <hyperlink ref="L314" r:id="rId190" xr:uid="{5B953D5F-9C70-4F2F-A69C-D4C0ADBE9A01}"/>
    <hyperlink ref="L315" r:id="rId191" xr:uid="{24981FAA-262D-4DAE-B389-BB83B0DF6511}"/>
    <hyperlink ref="L317" r:id="rId192" xr:uid="{D2EF745F-ACFC-40F1-AF93-D7BA54BB3067}"/>
    <hyperlink ref="L321" r:id="rId193" xr:uid="{9C905375-117C-4A36-B3A0-DD0ADBA534FA}"/>
    <hyperlink ref="L320" r:id="rId194" xr:uid="{48802335-C440-43B3-AC2D-5F674038C9E3}"/>
    <hyperlink ref="K323" r:id="rId195" xr:uid="{497BA466-8250-4E74-A6C6-45987AD6F62E}"/>
    <hyperlink ref="L325" r:id="rId196" xr:uid="{EF12B4FF-9523-4631-86C4-AC3814249ECD}"/>
    <hyperlink ref="L324" r:id="rId197" xr:uid="{55236E3C-4B6E-4094-9919-558AF1455EA4}"/>
    <hyperlink ref="L322" r:id="rId198" xr:uid="{A1DAEC1A-3C1B-40A2-B8B6-408BAABACD08}"/>
    <hyperlink ref="K274" r:id="rId199" display="https://ems.who.int/Event/eventSummary.aspx?eid=2023-E000052" xr:uid="{44E22AD1-A7C9-4A13-A548-874582940E1E}"/>
    <hyperlink ref="L274" r:id="rId200" display="https://ems.who.int/Event/eventSummary.aspx?eid=2023-E000052" xr:uid="{1CDE43AB-8F18-405C-94C4-4AB975DD7050}"/>
    <hyperlink ref="K331" r:id="rId201" xr:uid="{F1AD1F29-10AE-4D5B-8103-DA76DEAA9C76}"/>
    <hyperlink ref="L331" r:id="rId202" display="https://ems.who.int/Event/eventSummary.aspx?eid=2023-E000186" xr:uid="{44B289DE-0447-42E9-A02C-9759310C4DBA}"/>
    <hyperlink ref="L330" r:id="rId203" xr:uid="{7E57ED2A-13BD-49C3-8BDD-9C849A6FCCA3}"/>
    <hyperlink ref="L332" r:id="rId204" xr:uid="{4D4166FB-DD85-41E9-A248-15F80B1F0FA8}"/>
    <hyperlink ref="L333" r:id="rId205" xr:uid="{57F25341-BC3F-4BFD-B626-1997DD053714}"/>
    <hyperlink ref="K339" r:id="rId206" display="https://ems.who.int/Event/eventSummary.aspx?eid=2023-E000305" xr:uid="{92209F50-4551-4422-8BA4-E9A577730EE5}"/>
    <hyperlink ref="L339" r:id="rId207" xr:uid="{DB933DB7-BEF2-45C2-9503-CCB6B4116B11}"/>
    <hyperlink ref="L340" r:id="rId208" xr:uid="{28E5ED20-2D57-4932-807B-CDB1E08108C3}"/>
    <hyperlink ref="L341" r:id="rId209" xr:uid="{3C357924-6678-47E1-BD4F-ABEFE4A59623}"/>
    <hyperlink ref="L344" r:id="rId210" xr:uid="{74317FAA-7726-4BC1-BC90-D52A07058DCC}"/>
    <hyperlink ref="L335" r:id="rId211" xr:uid="{56CEB034-D646-4257-A35F-75EC13165E60}"/>
    <hyperlink ref="L342" r:id="rId212" xr:uid="{17268869-97EC-4C76-BD17-C5AB7D3BA677}"/>
    <hyperlink ref="K343" r:id="rId213" xr:uid="{C93C84BF-D12A-4CC8-96E0-C763A1BB12A5}"/>
    <hyperlink ref="L343" r:id="rId214" xr:uid="{CD039363-3F8A-4008-8995-7DB0842E18F9}"/>
    <hyperlink ref="L345" r:id="rId215" xr:uid="{FE14E69E-6A06-40C7-BEF7-BAE1C690034C}"/>
    <hyperlink ref="K345" r:id="rId216" xr:uid="{5BDA2205-C40B-48E6-B944-56487D2E32A2}"/>
    <hyperlink ref="L349" r:id="rId217" xr:uid="{C15A6B7E-36BB-46D9-9CA7-3ED1FD213A58}"/>
    <hyperlink ref="L350" r:id="rId218" xr:uid="{80F76749-AE05-4FED-A347-991EC4D5AE8D}"/>
    <hyperlink ref="K350" r:id="rId219" xr:uid="{78B373DF-9973-4C2D-AFA5-B7346DE6F4B1}"/>
    <hyperlink ref="L347" r:id="rId220" xr:uid="{2A02052A-87BE-4CBD-9CFA-0395F620A895}"/>
    <hyperlink ref="L348" r:id="rId221" xr:uid="{695327AA-64A9-4464-A91B-E525297F4C2C}"/>
    <hyperlink ref="L351" r:id="rId222" xr:uid="{EF94F5CC-22D1-424B-83B5-91839D8F215C}"/>
    <hyperlink ref="L318" r:id="rId223" xr:uid="{97D85F78-A105-4324-BC57-9D37D8D7570B}"/>
    <hyperlink ref="L352" r:id="rId224" xr:uid="{55505B35-9AB3-445D-A775-AF79E6CE0F52}"/>
    <hyperlink ref="L334" r:id="rId225" xr:uid="{05249E85-8978-4F85-84EF-EE14784A2234}"/>
    <hyperlink ref="L355" r:id="rId226" xr:uid="{599023A6-FFDA-4422-BA30-ED690F884DF7}"/>
    <hyperlink ref="L357" r:id="rId227" xr:uid="{F2D78410-F412-4E2E-AC33-922D320A6664}"/>
    <hyperlink ref="L364" r:id="rId228" xr:uid="{5F9A02BB-9E42-48AA-8C57-FBE048656FD4}"/>
    <hyperlink ref="L358" r:id="rId229" xr:uid="{CA6D326A-E989-46D4-8818-9D0248B6B248}"/>
    <hyperlink ref="K361" r:id="rId230" display="https://ems.who.int/Event/eventSummary.aspx?eid=2023-E000065" xr:uid="{B4B957A9-22E9-4D1C-93D0-901E89D425B4}"/>
    <hyperlink ref="L361" r:id="rId231" xr:uid="{1565DC55-ECBB-46BE-A718-D9C10DD1BC80}"/>
    <hyperlink ref="K362" r:id="rId232" xr:uid="{B449B114-B02F-4C51-B792-5BA32ADBB3B9}"/>
    <hyperlink ref="L366" r:id="rId233" xr:uid="{70793160-DBDC-494B-A6A8-CA950E725526}"/>
    <hyperlink ref="L369" r:id="rId234" xr:uid="{538CACBD-F7BF-4273-89A3-AE81DD1674E5}"/>
    <hyperlink ref="L370" r:id="rId235" xr:uid="{CEEBE23C-B42F-4791-9545-4E10E844B3C5}"/>
    <hyperlink ref="L371" r:id="rId236" xr:uid="{B0829E0B-D0BF-4D72-9CB8-1DEA52D7C8A1}"/>
    <hyperlink ref="L367" r:id="rId237" xr:uid="{39CFAC8A-45F4-4BF9-AA95-757DE78FDF07}"/>
    <hyperlink ref="L373" r:id="rId238" xr:uid="{4B4B7F5A-B7AE-4E7D-B57E-9F102BC672CC}"/>
    <hyperlink ref="L256" r:id="rId239" xr:uid="{B2C9147E-73B1-4835-B678-338EEC21C382}"/>
    <hyperlink ref="L374" r:id="rId240" xr:uid="{BC0F27C6-C9E3-4105-AD97-80B1AC3E2759}"/>
    <hyperlink ref="L262" r:id="rId241" xr:uid="{95D8A781-CBD4-4762-BE2E-FD56D3BC80EE}"/>
    <hyperlink ref="L376" r:id="rId242" xr:uid="{5A6BDB71-4922-4BEB-8D25-9842514A8A12}"/>
    <hyperlink ref="L378" r:id="rId243" xr:uid="{7BD064E6-CD8A-4C65-82C2-22BED0B0DC1A}"/>
    <hyperlink ref="L380" r:id="rId244" xr:uid="{CDDD3BC9-B1BE-47A0-8637-0941B257BAE0}"/>
    <hyperlink ref="L384" r:id="rId245" xr:uid="{48FA0D37-697A-4D7C-9509-B37318C57D96}"/>
    <hyperlink ref="L379" r:id="rId246" xr:uid="{E946627E-0932-4F7B-AB3A-5096901934C6}"/>
    <hyperlink ref="L377" r:id="rId247" xr:uid="{9FEFD148-9FAB-4507-9724-F9F7002A3E3F}"/>
    <hyperlink ref="L385" r:id="rId248" xr:uid="{02994E23-118C-4998-B029-C06AB5D2D05A}"/>
    <hyperlink ref="L375" r:id="rId249" xr:uid="{3CA6887A-1CD5-4223-81A0-A341003EA184}"/>
    <hyperlink ref="L382" r:id="rId250" xr:uid="{C366D537-669F-4471-BE3D-FB4DE83BD752}"/>
    <hyperlink ref="L381" r:id="rId251" xr:uid="{A1C78E52-EAE7-496D-B093-7F169A3556EE}"/>
    <hyperlink ref="L389" r:id="rId252" xr:uid="{3125B74D-CDE8-4FAF-A5FC-BFD7E61CF9D0}"/>
    <hyperlink ref="L390" r:id="rId253" xr:uid="{A915E3EC-42B5-4B03-964C-7B752B166725}"/>
    <hyperlink ref="L392" r:id="rId254" xr:uid="{78BCC319-5D19-4D66-AF9A-4AE11CA3AA78}"/>
    <hyperlink ref="L396" r:id="rId255" xr:uid="{2D25E216-8F99-4BDF-B0D2-7F7CE267B2AD}"/>
    <hyperlink ref="L393" r:id="rId256" xr:uid="{AD16B408-D487-46D8-A3E5-5644C8E90ADA}"/>
    <hyperlink ref="K393" r:id="rId257" xr:uid="{54E3FBCD-B17B-494D-A428-02DAD50C2566}"/>
    <hyperlink ref="L391" r:id="rId258" xr:uid="{08F533FC-9B23-4E73-9812-068C8036A5EF}"/>
    <hyperlink ref="L399" r:id="rId259" xr:uid="{E9E2AB87-773C-49F0-B99E-01B38F5C1F59}"/>
    <hyperlink ref="L328" r:id="rId260" xr:uid="{7F80029D-8DC4-486E-BE9D-0B54B3B375F5}"/>
    <hyperlink ref="L397" r:id="rId261" xr:uid="{A378AF64-AEDB-4723-BE97-922F8BF7CEA3}"/>
    <hyperlink ref="L401" r:id="rId262" xr:uid="{132F21DA-0E85-4417-BE42-B07287094ECA}"/>
    <hyperlink ref="L403" r:id="rId263" xr:uid="{386CB86A-A0F5-46A6-8DB5-797FE7AC6B55}"/>
    <hyperlink ref="L405" r:id="rId264" xr:uid="{2DBB649E-958E-4353-A712-BE4A476A7A04}"/>
    <hyperlink ref="L398" r:id="rId265" xr:uid="{15463726-1A21-4FAA-A2F8-64B67A07DFA4}"/>
    <hyperlink ref="L404" r:id="rId266" xr:uid="{EFD18E45-2362-4158-9FE8-133EB299A1D7}"/>
    <hyperlink ref="L406" r:id="rId267" xr:uid="{7AF2B84B-69EA-4AB8-9DAF-0FF6C9A694A1}"/>
    <hyperlink ref="L407" r:id="rId268" xr:uid="{71211D35-6F66-46A6-A48D-1732AEFB6C63}"/>
    <hyperlink ref="K395" r:id="rId269" display="_x000a_2022-E000413" xr:uid="{D777133D-D0C5-48A4-806E-7DFDBEBDE415}"/>
    <hyperlink ref="L395" r:id="rId270" xr:uid="{470B0555-8F7A-4901-B671-4601036EBF04}"/>
    <hyperlink ref="L411" r:id="rId271" xr:uid="{A0F826EC-0DCD-4170-86E4-393526DE9EEF}"/>
    <hyperlink ref="L412" r:id="rId272" xr:uid="{9E426CCE-E862-4953-AC99-CC47EEAD3CA1}"/>
    <hyperlink ref="L408" r:id="rId273" xr:uid="{F2927A28-FED4-442E-BBCC-9B8EBFC3C291}"/>
    <hyperlink ref="L414" r:id="rId274" xr:uid="{DE18542A-2303-4087-8C52-26B881350F45}"/>
    <hyperlink ref="L416" r:id="rId275" xr:uid="{90640ECF-42CB-4F3C-BC35-AFDE11951D10}"/>
    <hyperlink ref="L417" r:id="rId276" xr:uid="{2957831F-E338-4C37-9D38-D50FAD1939BF}"/>
    <hyperlink ref="L427" r:id="rId277" xr:uid="{76B941A7-D61F-4AE6-8E85-1C7E0C544EC3}"/>
    <hyperlink ref="L419" r:id="rId278" xr:uid="{A623206F-7E96-4244-B264-2F2D96709AB2}"/>
    <hyperlink ref="L420" r:id="rId279" xr:uid="{0634041C-0B63-486E-AAB1-B1183AC1B554}"/>
    <hyperlink ref="L423" r:id="rId280" xr:uid="{10ED5FE4-E43E-42FC-96E8-399C5BEBA219}"/>
    <hyperlink ref="L428" r:id="rId281" xr:uid="{D70C5C15-BB95-4D8A-B8FD-0E24B8BD5884}"/>
    <hyperlink ref="L422" r:id="rId282" xr:uid="{918F67FC-8585-4EC2-B228-FB3DD4017309}"/>
    <hyperlink ref="L426" r:id="rId283" xr:uid="{70F6096A-87E4-4036-BA27-80C2F0861C68}"/>
    <hyperlink ref="L429" r:id="rId284" xr:uid="{271C77F2-1076-4301-83DE-A9B995D2496A}"/>
    <hyperlink ref="L432" r:id="rId285" xr:uid="{F56C980E-CDA8-4B42-9E69-BA8B0E2D2B37}"/>
    <hyperlink ref="L431" r:id="rId286" xr:uid="{6CCE0529-24F1-4F7F-8722-48A3F8AAF119}"/>
    <hyperlink ref="L433" r:id="rId287" xr:uid="{5E6BC641-A77D-457C-B9D4-B57D12495EEE}"/>
    <hyperlink ref="L436" r:id="rId288" xr:uid="{0A4EB631-35BB-4E1A-A08D-37E5A9EA209A}"/>
    <hyperlink ref="L439" r:id="rId289" xr:uid="{1A78738F-A170-4149-BC07-29F1A49BD518}"/>
    <hyperlink ref="L438" r:id="rId290" xr:uid="{DCB4260F-1504-4DCB-96B9-88B0A847DE6C}"/>
    <hyperlink ref="L442" r:id="rId291" xr:uid="{043A7C16-9E6B-4216-8E69-9D140DA6B33D}"/>
    <hyperlink ref="L437" r:id="rId292" xr:uid="{F8F14E6C-39E1-4382-A578-D8842B14FDBD}"/>
    <hyperlink ref="L443" r:id="rId293" xr:uid="{2D760AAD-1364-4C87-888B-7A21148D39DE}"/>
    <hyperlink ref="L444" r:id="rId294" xr:uid="{45FEEBE6-46EB-4C19-8659-B2722B1628D1}"/>
    <hyperlink ref="L445" r:id="rId295" xr:uid="{482C9161-BBDF-4BBA-B260-615BD0CF9F66}"/>
    <hyperlink ref="L441" r:id="rId296" xr:uid="{9C3E3676-EFD9-423B-8C98-856A6B80DABA}"/>
    <hyperlink ref="L451" r:id="rId297" xr:uid="{2ACF7E85-3BFD-497C-A142-11FDAFB9F34B}"/>
    <hyperlink ref="L449" r:id="rId298" xr:uid="{89044045-C413-4E97-835B-DE24A1567965}"/>
    <hyperlink ref="L447" r:id="rId299" xr:uid="{09873DF9-A7E0-4FB5-AB70-53B9CF9D3E4D}"/>
    <hyperlink ref="L452" r:id="rId300" xr:uid="{9F608122-D1DB-4E7B-A9BB-8575A70CE83E}"/>
    <hyperlink ref="L454" r:id="rId301" xr:uid="{9A2DADDF-F381-428B-A6DB-D1F85323E072}"/>
    <hyperlink ref="L446" r:id="rId302" xr:uid="{FFCECDE9-F104-4537-99EF-791FCD6617C2}"/>
    <hyperlink ref="L448" r:id="rId303" xr:uid="{F290BE33-D8C6-4E92-9DFD-99646277BEEF}"/>
    <hyperlink ref="L455" r:id="rId304" xr:uid="{592ECE2F-879C-4A28-AB3D-3D8ECBF8B25C}"/>
    <hyperlink ref="L457" r:id="rId305" xr:uid="{B4FBBB78-107D-4F22-ABBC-2DE52D9D3207}"/>
    <hyperlink ref="L461" r:id="rId306" xr:uid="{9F9ECFB5-F30C-4D0F-90E5-774608BB474B}"/>
    <hyperlink ref="L458" r:id="rId307" xr:uid="{AB4012EE-4479-4B8A-9E28-855403EEF272}"/>
    <hyperlink ref="L462" r:id="rId308" xr:uid="{E6B75B54-FA13-4AE6-BCB3-24AC84ABBA93}"/>
    <hyperlink ref="L465" r:id="rId309" xr:uid="{F2AABEF0-DEF0-4FD2-9DAA-A2FAE6A649C7}"/>
    <hyperlink ref="L466" r:id="rId310" xr:uid="{A8DA94B0-FCC3-44C2-B835-FFFA2D7DCEE5}"/>
    <hyperlink ref="L464" r:id="rId311" xr:uid="{624A2087-7CD4-4F28-9DAD-B4F1A5C5DFAD}"/>
    <hyperlink ref="L460" r:id="rId312" xr:uid="{8C9255F3-8F04-4A7C-8205-92AE84CFF6EC}"/>
    <hyperlink ref="L459" r:id="rId313" xr:uid="{CB309BFB-F564-493A-8BE3-DD3E2D3E4276}"/>
    <hyperlink ref="L468" r:id="rId314" xr:uid="{9D0E4C80-1CAA-468F-A037-53D712341562}"/>
    <hyperlink ref="L470" r:id="rId315" xr:uid="{A5179FB5-605D-49A0-8156-CEC2D457A4D1}"/>
    <hyperlink ref="L472" r:id="rId316" xr:uid="{0102F50F-893D-424D-9274-2E44CD184F91}"/>
    <hyperlink ref="L471" r:id="rId317" xr:uid="{77744A59-456D-41F6-A9E6-9C85E2208C48}"/>
    <hyperlink ref="L463" r:id="rId318" xr:uid="{1444915F-4B47-401C-A0C3-25A3E9F07E42}"/>
    <hyperlink ref="L473" r:id="rId319" xr:uid="{DE58D217-0BEE-4A7D-9ECF-DB9880E057BC}"/>
    <hyperlink ref="L476" r:id="rId320" xr:uid="{F3B44208-FE51-4409-8619-CA977795330E}"/>
    <hyperlink ref="L479" r:id="rId321" xr:uid="{C9D4E940-9458-46B5-9EBB-BDCBA8B78FB1}"/>
    <hyperlink ref="L481" r:id="rId322" xr:uid="{EE2B869D-CC19-4726-A156-948EBDFF60AD}"/>
    <hyperlink ref="L478" r:id="rId323" xr:uid="{28ADDE89-D01A-4373-93D1-8252C47B583C}"/>
    <hyperlink ref="L482" r:id="rId324" xr:uid="{6B5B3728-BE49-4021-9550-7CD57E4A2239}"/>
    <hyperlink ref="L485" r:id="rId325" xr:uid="{81276B5E-7605-4766-8504-223F9D2B0AAD}"/>
    <hyperlink ref="L490" r:id="rId326" xr:uid="{7CEB144A-49F7-4EB1-8282-F229ADC2AB3A}"/>
    <hyperlink ref="L495" r:id="rId327" xr:uid="{256C91FA-2CEC-4511-967C-8650F37325AC}"/>
    <hyperlink ref="L491" r:id="rId328" xr:uid="{BB4999B3-351C-402C-912A-EA419B209C66}"/>
    <hyperlink ref="L496" r:id="rId329" xr:uid="{E7F2DA48-ACE9-424A-98F9-D6069FF6EAFB}"/>
    <hyperlink ref="L477" r:id="rId330" xr:uid="{B70BEEBD-A883-4C0B-8B47-3B8867D1654C}"/>
    <hyperlink ref="L498" r:id="rId331" xr:uid="{987BEB63-F884-458C-99DA-5CA5CF5DCC3A}"/>
    <hyperlink ref="L499" r:id="rId332" xr:uid="{F1676CE4-2A3C-4466-A784-B5ECC6F414D0}"/>
    <hyperlink ref="L500" r:id="rId333" xr:uid="{D1F41E4F-32DD-4E10-97FA-52795A157E7C}"/>
    <hyperlink ref="L503" r:id="rId334" xr:uid="{194F871D-5304-4B7D-B4EE-07E99946E969}"/>
    <hyperlink ref="L501" r:id="rId335" xr:uid="{26ED0695-C366-4643-92F9-06A017E83894}"/>
    <hyperlink ref="L502" r:id="rId336" xr:uid="{D2A69E7B-8FD7-4F7B-8FFB-250A55090609}"/>
    <hyperlink ref="L506" r:id="rId337" xr:uid="{86646E46-523A-455B-B54D-A35F86164111}"/>
    <hyperlink ref="L513" r:id="rId338" xr:uid="{639896B4-4250-4A3A-9979-95EB3029B8B3}"/>
    <hyperlink ref="L531" r:id="rId339" xr:uid="{34944CB8-06EB-4218-A8AE-94475309FD83}"/>
    <hyperlink ref="L514" r:id="rId340" xr:uid="{EB0BDB87-BE84-49A6-9353-928D6B217FAA}"/>
    <hyperlink ref="L516" r:id="rId341" xr:uid="{9956635D-4D3F-4D99-84D7-8CBB9D595F0C}"/>
    <hyperlink ref="L517" r:id="rId342" xr:uid="{6B325F67-8C1D-4FEC-A798-BF227E3B36E8}"/>
    <hyperlink ref="L515" r:id="rId343" xr:uid="{0D6CD6B2-3238-403D-8353-AFA6D04C00D5}"/>
    <hyperlink ref="L520" r:id="rId344" xr:uid="{95667EE6-2936-4DBB-B8AB-0EEC5724F03B}"/>
    <hyperlink ref="L521" r:id="rId345" xr:uid="{B8E209AC-0FB4-459D-8C07-680C2EA8C3E9}"/>
    <hyperlink ref="L523" r:id="rId346" xr:uid="{09FAAA54-0DB6-4452-AD26-EBBB04ECAB4E}"/>
    <hyperlink ref="L528" r:id="rId347" xr:uid="{B3BA6D0D-AD00-4468-9FC8-219E2ECF552C}"/>
    <hyperlink ref="L527" r:id="rId348" xr:uid="{DADD67A5-81B6-452F-BC11-26B9812ECB6F}"/>
    <hyperlink ref="L525" r:id="rId349" xr:uid="{05082FDD-577E-49C4-927A-D22558119C28}"/>
    <hyperlink ref="L524" r:id="rId350" xr:uid="{A454A2F6-2846-43D5-9AA5-4F11CBCAB31C}"/>
    <hyperlink ref="L532" r:id="rId351" xr:uid="{4045A5F9-E89A-4CE3-8F11-08C4813EFCB9}"/>
    <hyperlink ref="L537" r:id="rId352" xr:uid="{D64DF033-423A-4A53-B52F-F648AC34E208}"/>
    <hyperlink ref="L539" r:id="rId353" xr:uid="{121F99C6-8F69-43FD-A6EE-9D9D6C0A4037}"/>
    <hyperlink ref="L536" r:id="rId354" xr:uid="{C8C3FA99-F0F4-4A48-B6DC-E29FE4102A40}"/>
    <hyperlink ref="L544" r:id="rId355" xr:uid="{A44569D5-E728-4965-9BC5-D36142533F5D}"/>
    <hyperlink ref="L546" r:id="rId356" xr:uid="{F7E54FED-ED9F-4991-B1F8-40ACCBB5A7F8}"/>
    <hyperlink ref="L541" r:id="rId357" xr:uid="{0A43EF19-23AE-480D-9374-581B770B10E1}"/>
    <hyperlink ref="L535" r:id="rId358" xr:uid="{3CFF556A-3357-4644-A653-0CAFEBD901DD}"/>
    <hyperlink ref="L522" r:id="rId359" xr:uid="{7587529D-4FCD-4036-BFA8-EF689D318E28}"/>
    <hyperlink ref="L533" r:id="rId360" xr:uid="{D69FA9D5-2A97-442A-B4B2-E37BB6E06A9D}"/>
    <hyperlink ref="L545" r:id="rId361" xr:uid="{2B3FCAC9-1824-474B-A81A-9F998378D64D}"/>
    <hyperlink ref="L549" r:id="rId362" xr:uid="{7FA5BEE3-045E-48F8-9FDF-5E0F47883FD8}"/>
    <hyperlink ref="L553" r:id="rId363" xr:uid="{60E1FF24-8903-47E7-8F90-748DFDA6B8D5}"/>
    <hyperlink ref="L555" r:id="rId364" xr:uid="{F8F430AB-F435-48E1-AA71-6D34FB20AA48}"/>
    <hyperlink ref="L556" r:id="rId365" xr:uid="{FE506584-FA05-43DB-BB9B-5A2A7E15C9BC}"/>
    <hyperlink ref="L557" r:id="rId366" xr:uid="{6274F94E-0AF4-4188-9475-D59F5FAA1196}"/>
    <hyperlink ref="L559" r:id="rId367" xr:uid="{7FE3A82E-784F-43EC-8482-537132DABE23}"/>
    <hyperlink ref="L560" r:id="rId368" xr:uid="{E89B8A81-DFE8-4331-A49A-12632A647DCC}"/>
    <hyperlink ref="L558" r:id="rId369" xr:uid="{45187EF9-CE79-4EAE-929A-5CC4E2031C29}"/>
    <hyperlink ref="L561" r:id="rId370" xr:uid="{4E2A4939-16BA-44F6-9FC6-164BE9C56CF0}"/>
    <hyperlink ref="L566" r:id="rId371" xr:uid="{7F00E43D-8D45-4270-9179-9FE346FADCF7}"/>
    <hyperlink ref="L563" r:id="rId372" xr:uid="{3EAF60F2-914D-42F1-AFF6-6E00128105DE}"/>
    <hyperlink ref="L565" r:id="rId373" xr:uid="{223BFCEE-A9D3-4889-BEF5-27554ADC6217}"/>
    <hyperlink ref="L567" r:id="rId374" xr:uid="{584944B5-6D17-443C-BB12-613CB0B6FC0E}"/>
    <hyperlink ref="L568" r:id="rId375" xr:uid="{024D8A21-02AB-4684-B502-D9BB6A0AE46A}"/>
    <hyperlink ref="L576" r:id="rId376" xr:uid="{F3C746B5-2466-4BD4-87AC-F073A5271E07}"/>
    <hyperlink ref="L575" r:id="rId377" xr:uid="{544933A9-2695-475F-BC67-17B099C8181C}"/>
    <hyperlink ref="L574" r:id="rId378" xr:uid="{0D3A917A-652E-4CB4-A0F6-B9D857B25A01}"/>
    <hyperlink ref="L573" r:id="rId379" xr:uid="{F13973BB-67C0-456E-93C2-E85FC1F020DF}"/>
    <hyperlink ref="L577" r:id="rId380" xr:uid="{AF2644BA-B3A6-4A87-B417-56E082E68A04}"/>
    <hyperlink ref="L570" r:id="rId381" xr:uid="{81016A3D-EB25-43E8-938A-780A288415C4}"/>
    <hyperlink ref="L493" r:id="rId382" xr:uid="{1EB550EE-DC73-48F4-B518-F632D67977CE}"/>
    <hyperlink ref="L571" r:id="rId383" xr:uid="{ED848DFB-25C1-49D7-B791-E595AD651044}"/>
    <hyperlink ref="L572" r:id="rId384" xr:uid="{FBE54E89-EF12-497C-9645-F42B57105683}"/>
    <hyperlink ref="L219" r:id="rId385" xr:uid="{D35831F5-8ABA-48B6-8F26-11B3432F06E1}"/>
    <hyperlink ref="L534" r:id="rId386" xr:uid="{57D48EFA-9300-4F99-AF29-9BE0BEAF0B0F}"/>
    <hyperlink ref="L538" r:id="rId387" xr:uid="{CDC00981-147B-4023-9318-FA2EDD163E4A}"/>
    <hyperlink ref="L578" r:id="rId388" xr:uid="{CB3D97FC-3F17-4C65-9E8C-C34B77DBFF5B}"/>
    <hyperlink ref="L569" r:id="rId389" xr:uid="{180FBA12-1860-434B-B118-1EA49318C390}"/>
    <hyperlink ref="L579" r:id="rId390" xr:uid="{60ADCE6F-C4B8-41B4-8867-AC6D2FCBB39E}"/>
    <hyperlink ref="L494" r:id="rId391" xr:uid="{09408DDC-764E-4F27-861A-2CF2664FE7E6}"/>
    <hyperlink ref="L580" r:id="rId392" xr:uid="{E039CAC0-3D9E-440B-B02A-125346039FFF}"/>
    <hyperlink ref="L507" r:id="rId393" xr:uid="{322C33DA-7694-4F1B-B956-400470E9F36D}"/>
    <hyperlink ref="L582" r:id="rId394" xr:uid="{90B37F11-735B-4293-874E-E499734840A9}"/>
    <hyperlink ref="L583" r:id="rId395" xr:uid="{1B5A2243-D30B-4508-817D-8ED0A0821050}"/>
    <hyperlink ref="L509" r:id="rId396" xr:uid="{0F66A8AB-6373-4D34-B8AF-74478B8917DD}"/>
    <hyperlink ref="L510" r:id="rId397" xr:uid="{A8C8661D-E69B-4A66-B229-B1D6DC95AE1F}"/>
    <hyperlink ref="L511" r:id="rId398" xr:uid="{64470F45-5191-4B04-8E88-CD8DC719D781}"/>
    <hyperlink ref="L518" r:id="rId399" xr:uid="{881A6D64-9F20-4EB8-883A-9ECA4FF00A99}"/>
    <hyperlink ref="L519" r:id="rId400" xr:uid="{269754F6-FAD1-4CE7-B21F-3D170D8FAD84}"/>
    <hyperlink ref="L530" r:id="rId401" xr:uid="{B5FFCE9C-D31A-4494-A869-F29E0DEF8F6E}"/>
    <hyperlink ref="L540" r:id="rId402" xr:uid="{2E919A22-6118-4290-BFA3-6AC2BA7B7637}"/>
    <hyperlink ref="L584" r:id="rId403" xr:uid="{FFB1E0CF-23B7-4C0A-ACAB-E28ABF57EA8B}"/>
    <hyperlink ref="L585" r:id="rId404" xr:uid="{6AC6A145-B995-431F-B453-5C416B1EEE5E}"/>
    <hyperlink ref="L586" r:id="rId405" xr:uid="{786CEBCD-7418-47CC-9116-0780C3CCB63E}"/>
    <hyperlink ref="L587" r:id="rId406" xr:uid="{129C734F-5536-46C9-B03F-FDA63A7E7DE6}"/>
    <hyperlink ref="L588" r:id="rId407" xr:uid="{9ED34167-B0D4-4B41-92FB-C00DCA8DEEE5}"/>
    <hyperlink ref="L590" r:id="rId408" xr:uid="{88AFE312-8F30-422C-A567-F1869A4A4723}"/>
    <hyperlink ref="L589" r:id="rId409" xr:uid="{FEAF8BF9-3904-4B9C-A9F1-91B968DFDF44}"/>
    <hyperlink ref="L594" r:id="rId410" xr:uid="{7C7BE526-2527-47A6-BD0F-BF706DABA218}"/>
    <hyperlink ref="L593" r:id="rId411" xr:uid="{53B00692-1E6B-4F97-8263-C640232A2F93}"/>
    <hyperlink ref="L595" r:id="rId412" xr:uid="{92224D0A-2004-4E7C-8270-B367942C4D6F}"/>
    <hyperlink ref="L596" r:id="rId413" xr:uid="{5C81865D-E1CE-49FA-BBE1-BB10DD37A464}"/>
    <hyperlink ref="L599" r:id="rId414" xr:uid="{9A6EBCAA-1202-4594-AC1D-1086FC5FEAEA}"/>
    <hyperlink ref="L597" r:id="rId415" xr:uid="{FBFF053B-68F3-41F2-8B8C-F120FDCF95DF}"/>
    <hyperlink ref="L600" r:id="rId416" xr:uid="{D4E2B6BA-F1D3-4577-94F2-653BC52B7380}"/>
    <hyperlink ref="L601" r:id="rId417" xr:uid="{F51FAC1B-83BE-41CB-9B13-51C296F7F40F}"/>
    <hyperlink ref="L605" r:id="rId418" xr:uid="{AE120C2E-9B83-40B1-BBA1-F7A79C09A792}"/>
    <hyperlink ref="L607" r:id="rId419" xr:uid="{60B97390-E6DA-43A4-9CA8-990664C259C7}"/>
    <hyperlink ref="L608" r:id="rId420" xr:uid="{FB79B634-A033-4C95-8879-74F09C961168}"/>
    <hyperlink ref="L614" r:id="rId421" xr:uid="{496F3EFD-7D4D-4B96-BC09-25BB3AC9BC74}"/>
    <hyperlink ref="L611" r:id="rId422" xr:uid="{58FC4DF6-45FD-421F-950F-BD7439DA2985}"/>
    <hyperlink ref="L613" r:id="rId423" xr:uid="{40C53CA6-09E7-42CE-BAA0-FD9E1CCCDE80}"/>
    <hyperlink ref="L612" r:id="rId424" xr:uid="{B6FB6AC2-62D1-4B5F-A573-049CD1575A1E}"/>
    <hyperlink ref="L616" r:id="rId425" xr:uid="{04FCC3BE-E14E-4723-8ABF-10A5EB18875D}"/>
    <hyperlink ref="L617" r:id="rId426" xr:uid="{71A0F43B-E59F-4B92-98B5-C2D948921951}"/>
  </hyperlinks>
  <pageMargins left="0.7" right="0.7" top="0.75" bottom="0.75" header="0.3" footer="0.3"/>
  <pageSetup paperSize="9" orientation="portrait" r:id="rId427"/>
  <tableParts count="1">
    <tablePart r:id="rId428"/>
  </tableParts>
  <extLst>
    <ext xmlns:x14="http://schemas.microsoft.com/office/spreadsheetml/2009/9/main" uri="{CCE6A557-97BC-4b89-ADB6-D9C93CAAB3DF}">
      <x14:dataValidations xmlns:xm="http://schemas.microsoft.com/office/excel/2006/main" count="16">
        <x14:dataValidation type="list" allowBlank="1" showInputMessage="1" showErrorMessage="1" xr:uid="{286A8C94-30AD-5A4F-BA0B-64D03386B0EB}">
          <x14:formula1>
            <xm:f>Dropdownlist!$F$2:$F$4</xm:f>
          </x14:formula1>
          <xm:sqref>Q97 P432:P441 P443:P444 P1:P425 P450:P1047792</xm:sqref>
        </x14:dataValidation>
        <x14:dataValidation type="list" allowBlank="1" showInputMessage="1" showErrorMessage="1" xr:uid="{6D83A660-E048-B34B-94DD-F19F1F7BFFB1}">
          <x14:formula1>
            <xm:f>Dropdownlist!$K$2:$K$4</xm:f>
          </x14:formula1>
          <xm:sqref>AK217 AI216:AI217 AI220:AI338 AI340:AI373 AI375:AI386 AI388:AI396 AI399:AI427 AI429:AI444 AI1:AI214 AI449:AI1047792</xm:sqref>
        </x14:dataValidation>
        <x14:dataValidation type="list" allowBlank="1" showInputMessage="1" showErrorMessage="1" xr:uid="{ECC89015-359A-E44E-8327-8C2A393276F7}">
          <x14:formula1>
            <xm:f>Dropdownlist!$G$2:$G$6</xm:f>
          </x14:formula1>
          <xm:sqref>V365:V374 V339:V341 V1:V337 V358:V362 V343:W356 W358:W374 W1:W341 V378:X386 X1:X396 V388:X410 V417:X441 V443:X444 V450:X1047792</xm:sqref>
        </x14:dataValidation>
        <x14:dataValidation type="list" allowBlank="1" showInputMessage="1" showErrorMessage="1" xr:uid="{20354659-7348-6843-B498-A0B867E380EC}">
          <x14:formula1>
            <xm:f>Dropdownlist!$B$2:$B$251</xm:f>
          </x14:formula1>
          <xm:sqref>F429:F441 F443:F444 F1:F425 F520:F533 F449:F518 F535:F1047792</xm:sqref>
        </x14:dataValidation>
        <x14:dataValidation type="list" allowBlank="1" showInputMessage="1" showErrorMessage="1" xr:uid="{D8634C09-79C3-E746-9178-B66A4335D929}">
          <x14:formula1>
            <xm:f>Dropdownlist!$C$2:$C$16</xm:f>
          </x14:formula1>
          <xm:sqref>G429:G441 G443:G444 G1:G425 H612 G449:G611 G613:G1047792</xm:sqref>
        </x14:dataValidation>
        <x14:dataValidation type="list" allowBlank="1" showInputMessage="1" showErrorMessage="1" xr:uid="{DC2A1439-F289-40E6-8AF3-BD7D637AD9CE}">
          <x14:formula1>
            <xm:f>Dropdownlist!$D$2:$D$84</xm:f>
          </x14:formula1>
          <xm:sqref>E434:E441 E429:E432 E443:E445 E479:E485 E565:E568 E474:E477 E464:E472 E522:E533 E488:E506 E535:E563 E449:E462 E395:E425 E60:E393 E1:E9 E11:E58 E570:E590 E594:E1048576</xm:sqref>
        </x14:dataValidation>
        <x14:dataValidation type="list" allowBlank="1" showInputMessage="1" showErrorMessage="1" xr:uid="{5D69CBE9-7631-F748-B4BA-C132035882AD}">
          <x14:formula1>
            <xm:f>Dropdownlist!$H$2:$H$4</xm:f>
          </x14:formula1>
          <xm:sqref>Y429:Y441 Y443:Y444 Y448 Y1:Y426 Y450:Y1047792</xm:sqref>
        </x14:dataValidation>
        <x14:dataValidation type="list" allowBlank="1" showInputMessage="1" showErrorMessage="1" xr:uid="{370552FC-633B-6741-8461-E7A3372C5C00}">
          <x14:formula1>
            <xm:f>Dropdownlist!$I$2:$I$5</xm:f>
          </x14:formula1>
          <xm:sqref>Z429:Z444 Z1:Z427 Z449:Z1047792</xm:sqref>
        </x14:dataValidation>
        <x14:dataValidation type="list" allowBlank="1" showInputMessage="1" showErrorMessage="1" xr:uid="{9BD10F05-D942-454A-94BE-FD375F4AC78C}">
          <x14:formula1>
            <xm:f>Dropdownlist!$J$2:$J$4</xm:f>
          </x14:formula1>
          <xm:sqref>AA429:AA444 AA1:AA425 AA449:AA1047792</xm:sqref>
        </x14:dataValidation>
        <x14:dataValidation type="list" allowBlank="1" showInputMessage="1" showErrorMessage="1" xr:uid="{19B3F6BB-6DD4-F648-90B0-AF6C3DC07662}">
          <x14:formula1>
            <xm:f>Dropdownlist!$E$2:$E$3</xm:f>
          </x14:formula1>
          <xm:sqref>N434:N441 AM442 N306 M1:M338 M340:M1047792</xm:sqref>
        </x14:dataValidation>
        <x14:dataValidation type="list" allowBlank="1" showInputMessage="1" showErrorMessage="1" xr:uid="{F2E891AC-00CC-44FC-AE03-DDAFDAA18C84}">
          <x14:formula1>
            <xm:f>Dropdownlist!$D$2:$D$86</xm:f>
          </x14:formula1>
          <xm:sqref>E446:E449</xm:sqref>
        </x14:dataValidation>
        <x14:dataValidation type="list" allowBlank="1" showInputMessage="1" showErrorMessage="1" xr:uid="{B1AA4DCA-0D3A-4316-9A86-F65D66530186}">
          <x14:formula1>
            <xm:f>Dropdownlist!$D$2:$D$88</xm:f>
          </x14:formula1>
          <xm:sqref>E473 E478</xm:sqref>
        </x14:dataValidation>
        <x14:dataValidation type="list" allowBlank="1" showInputMessage="1" showErrorMessage="1" xr:uid="{6067F9BB-0C78-4471-AFD4-608A8D5E1955}">
          <x14:formula1>
            <xm:f>Dropdownlist!$D$2:$D$87</xm:f>
          </x14:formula1>
          <xm:sqref>E487</xm:sqref>
        </x14:dataValidation>
        <x14:dataValidation type="list" allowBlank="1" showInputMessage="1" showErrorMessage="1" xr:uid="{3B3E582A-D248-45C1-9256-33DA31735B5E}">
          <x14:formula1>
            <xm:f>Dropdownlist!$D$2:$D$90</xm:f>
          </x14:formula1>
          <xm:sqref>E507:E518 E520:E521 E564 E569 E463 E394 E59 E10</xm:sqref>
        </x14:dataValidation>
        <x14:dataValidation type="list" allowBlank="1" showInputMessage="1" showErrorMessage="1" xr:uid="{69985F77-3F5C-F641-B183-10F30C72B90E}">
          <x14:formula1>
            <xm:f>Dropdownlist!$A$2:$A$4</xm:f>
          </x14:formula1>
          <xm:sqref>A619:A1047792 B2:B1047792</xm:sqref>
        </x14:dataValidation>
        <x14:dataValidation type="list" allowBlank="1" showInputMessage="1" showErrorMessage="1" xr:uid="{AFC5D2B6-8FCB-43F8-8FBD-E8361A09F047}">
          <x14:formula1>
            <xm:f>Dropdownlist!$D$2:$D$93</xm:f>
          </x14:formula1>
          <xm:sqref>E591:E593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837CB-6773-4F31-9593-66011BE3450F}">
  <dimension ref="A1:B238"/>
  <sheetViews>
    <sheetView topLeftCell="A226" workbookViewId="0">
      <selection activeCell="F232" sqref="F232"/>
    </sheetView>
  </sheetViews>
  <sheetFormatPr defaultRowHeight="17"/>
  <cols>
    <col min="1" max="1" width="38.58203125" customWidth="1"/>
  </cols>
  <sheetData>
    <row r="1" spans="1:2">
      <c r="A1" t="s">
        <v>2222</v>
      </c>
      <c r="B1" t="s">
        <v>2223</v>
      </c>
    </row>
    <row r="2" spans="1:2">
      <c r="A2" t="s">
        <v>2224</v>
      </c>
      <c r="B2" t="s">
        <v>2225</v>
      </c>
    </row>
    <row r="3" spans="1:2">
      <c r="A3" t="s">
        <v>2226</v>
      </c>
      <c r="B3" t="s">
        <v>2227</v>
      </c>
    </row>
    <row r="4" spans="1:2">
      <c r="A4" t="s">
        <v>2228</v>
      </c>
      <c r="B4" t="s">
        <v>2229</v>
      </c>
    </row>
    <row r="5" spans="1:2">
      <c r="A5" t="s">
        <v>2230</v>
      </c>
      <c r="B5" t="s">
        <v>2231</v>
      </c>
    </row>
    <row r="6" spans="1:2">
      <c r="A6" t="s">
        <v>2232</v>
      </c>
      <c r="B6" t="s">
        <v>2233</v>
      </c>
    </row>
    <row r="7" spans="1:2">
      <c r="A7" t="s">
        <v>2234</v>
      </c>
      <c r="B7" t="s">
        <v>2235</v>
      </c>
    </row>
    <row r="8" spans="1:2">
      <c r="A8" t="s">
        <v>2236</v>
      </c>
      <c r="B8" t="s">
        <v>2237</v>
      </c>
    </row>
    <row r="9" spans="1:2">
      <c r="A9" t="s">
        <v>2238</v>
      </c>
      <c r="B9" t="s">
        <v>2239</v>
      </c>
    </row>
    <row r="10" spans="1:2">
      <c r="A10" t="s">
        <v>2240</v>
      </c>
      <c r="B10" t="s">
        <v>2241</v>
      </c>
    </row>
    <row r="11" spans="1:2">
      <c r="A11" t="s">
        <v>2242</v>
      </c>
      <c r="B11" t="s">
        <v>2243</v>
      </c>
    </row>
    <row r="12" spans="1:2">
      <c r="A12" t="s">
        <v>2244</v>
      </c>
      <c r="B12" t="s">
        <v>2245</v>
      </c>
    </row>
    <row r="13" spans="1:2">
      <c r="A13" t="s">
        <v>2246</v>
      </c>
      <c r="B13" t="s">
        <v>2247</v>
      </c>
    </row>
    <row r="14" spans="1:2">
      <c r="A14" t="s">
        <v>2248</v>
      </c>
      <c r="B14" t="s">
        <v>2249</v>
      </c>
    </row>
    <row r="15" spans="1:2">
      <c r="A15" t="s">
        <v>2250</v>
      </c>
      <c r="B15" t="s">
        <v>2251</v>
      </c>
    </row>
    <row r="16" spans="1:2">
      <c r="A16" t="s">
        <v>2252</v>
      </c>
      <c r="B16" t="s">
        <v>2253</v>
      </c>
    </row>
    <row r="17" spans="1:2">
      <c r="A17" t="s">
        <v>2254</v>
      </c>
      <c r="B17" t="s">
        <v>2255</v>
      </c>
    </row>
    <row r="18" spans="1:2">
      <c r="A18" t="s">
        <v>2256</v>
      </c>
      <c r="B18" t="s">
        <v>2257</v>
      </c>
    </row>
    <row r="19" spans="1:2">
      <c r="A19" t="s">
        <v>2258</v>
      </c>
      <c r="B19" t="s">
        <v>2259</v>
      </c>
    </row>
    <row r="20" spans="1:2">
      <c r="A20" t="s">
        <v>2260</v>
      </c>
      <c r="B20" t="s">
        <v>2261</v>
      </c>
    </row>
    <row r="21" spans="1:2">
      <c r="A21" t="s">
        <v>2262</v>
      </c>
      <c r="B21" t="s">
        <v>2263</v>
      </c>
    </row>
    <row r="22" spans="1:2">
      <c r="A22" t="s">
        <v>2264</v>
      </c>
      <c r="B22" t="s">
        <v>2265</v>
      </c>
    </row>
    <row r="23" spans="1:2">
      <c r="A23" t="s">
        <v>2266</v>
      </c>
      <c r="B23" t="s">
        <v>2267</v>
      </c>
    </row>
    <row r="24" spans="1:2">
      <c r="A24" t="s">
        <v>2268</v>
      </c>
      <c r="B24" t="s">
        <v>2269</v>
      </c>
    </row>
    <row r="25" spans="1:2">
      <c r="A25" s="191" t="s">
        <v>133</v>
      </c>
      <c r="B25" t="s">
        <v>2270</v>
      </c>
    </row>
    <row r="26" spans="1:2">
      <c r="A26" t="s">
        <v>2271</v>
      </c>
      <c r="B26" t="s">
        <v>2272</v>
      </c>
    </row>
    <row r="27" spans="1:2">
      <c r="A27" t="s">
        <v>2273</v>
      </c>
      <c r="B27" t="s">
        <v>2274</v>
      </c>
    </row>
    <row r="28" spans="1:2">
      <c r="A28" t="s">
        <v>2275</v>
      </c>
      <c r="B28" t="s">
        <v>2276</v>
      </c>
    </row>
    <row r="29" spans="1:2">
      <c r="A29" t="s">
        <v>2277</v>
      </c>
      <c r="B29" t="s">
        <v>2278</v>
      </c>
    </row>
    <row r="30" spans="1:2">
      <c r="A30" t="s">
        <v>2279</v>
      </c>
      <c r="B30" t="s">
        <v>2280</v>
      </c>
    </row>
    <row r="31" spans="1:2">
      <c r="A31" t="s">
        <v>2281</v>
      </c>
      <c r="B31" t="s">
        <v>2282</v>
      </c>
    </row>
    <row r="32" spans="1:2">
      <c r="A32" t="s">
        <v>2283</v>
      </c>
      <c r="B32" t="s">
        <v>2284</v>
      </c>
    </row>
    <row r="33" spans="1:2">
      <c r="A33" t="s">
        <v>2285</v>
      </c>
      <c r="B33" t="s">
        <v>2286</v>
      </c>
    </row>
    <row r="34" spans="1:2">
      <c r="A34" t="s">
        <v>2287</v>
      </c>
      <c r="B34" t="s">
        <v>2288</v>
      </c>
    </row>
    <row r="35" spans="1:2">
      <c r="A35" t="s">
        <v>2289</v>
      </c>
      <c r="B35" t="s">
        <v>2290</v>
      </c>
    </row>
    <row r="36" spans="1:2">
      <c r="A36" t="s">
        <v>2291</v>
      </c>
      <c r="B36" t="s">
        <v>2292</v>
      </c>
    </row>
    <row r="37" spans="1:2">
      <c r="A37" t="s">
        <v>2293</v>
      </c>
      <c r="B37" t="s">
        <v>2294</v>
      </c>
    </row>
    <row r="38" spans="1:2">
      <c r="A38" t="s">
        <v>2295</v>
      </c>
      <c r="B38" t="s">
        <v>2296</v>
      </c>
    </row>
    <row r="39" spans="1:2">
      <c r="A39" t="s">
        <v>2297</v>
      </c>
      <c r="B39" t="s">
        <v>2298</v>
      </c>
    </row>
    <row r="40" spans="1:2">
      <c r="A40" t="s">
        <v>2299</v>
      </c>
      <c r="B40" t="s">
        <v>2300</v>
      </c>
    </row>
    <row r="41" spans="1:2">
      <c r="A41" t="s">
        <v>2301</v>
      </c>
      <c r="B41" t="s">
        <v>2302</v>
      </c>
    </row>
    <row r="42" spans="1:2">
      <c r="A42" t="s">
        <v>2303</v>
      </c>
      <c r="B42" t="s">
        <v>2304</v>
      </c>
    </row>
    <row r="43" spans="1:2">
      <c r="A43" t="s">
        <v>2305</v>
      </c>
      <c r="B43" t="s">
        <v>2306</v>
      </c>
    </row>
    <row r="44" spans="1:2">
      <c r="A44" t="s">
        <v>2307</v>
      </c>
      <c r="B44" t="s">
        <v>2308</v>
      </c>
    </row>
    <row r="45" spans="1:2">
      <c r="A45" t="s">
        <v>2309</v>
      </c>
      <c r="B45" t="s">
        <v>2310</v>
      </c>
    </row>
    <row r="46" spans="1:2">
      <c r="A46" t="s">
        <v>2311</v>
      </c>
      <c r="B46" t="s">
        <v>2312</v>
      </c>
    </row>
    <row r="47" spans="1:2">
      <c r="A47" t="s">
        <v>2313</v>
      </c>
      <c r="B47" t="s">
        <v>2314</v>
      </c>
    </row>
    <row r="48" spans="1:2">
      <c r="A48" t="s">
        <v>2315</v>
      </c>
      <c r="B48" t="s">
        <v>2316</v>
      </c>
    </row>
    <row r="49" spans="1:2">
      <c r="A49" t="s">
        <v>2317</v>
      </c>
      <c r="B49" t="s">
        <v>2318</v>
      </c>
    </row>
    <row r="50" spans="1:2">
      <c r="A50" t="s">
        <v>2319</v>
      </c>
      <c r="B50" t="s">
        <v>2320</v>
      </c>
    </row>
    <row r="51" spans="1:2">
      <c r="A51" t="s">
        <v>2321</v>
      </c>
      <c r="B51" t="s">
        <v>2322</v>
      </c>
    </row>
    <row r="52" spans="1:2">
      <c r="A52" t="s">
        <v>2323</v>
      </c>
      <c r="B52" t="s">
        <v>2324</v>
      </c>
    </row>
    <row r="53" spans="1:2">
      <c r="A53" t="s">
        <v>2325</v>
      </c>
      <c r="B53" t="s">
        <v>2326</v>
      </c>
    </row>
    <row r="54" spans="1:2">
      <c r="A54" t="s">
        <v>2327</v>
      </c>
      <c r="B54" t="s">
        <v>2328</v>
      </c>
    </row>
    <row r="55" spans="1:2">
      <c r="A55" t="s">
        <v>2329</v>
      </c>
      <c r="B55" t="s">
        <v>2330</v>
      </c>
    </row>
    <row r="56" spans="1:2">
      <c r="A56" t="s">
        <v>2331</v>
      </c>
      <c r="B56" t="s">
        <v>2332</v>
      </c>
    </row>
    <row r="57" spans="1:2">
      <c r="A57" t="s">
        <v>2333</v>
      </c>
      <c r="B57" t="s">
        <v>2334</v>
      </c>
    </row>
    <row r="58" spans="1:2">
      <c r="A58" t="s">
        <v>2335</v>
      </c>
      <c r="B58" t="s">
        <v>2336</v>
      </c>
    </row>
    <row r="59" spans="1:2">
      <c r="A59" t="s">
        <v>2337</v>
      </c>
      <c r="B59" t="s">
        <v>2338</v>
      </c>
    </row>
    <row r="60" spans="1:2">
      <c r="A60" t="s">
        <v>2339</v>
      </c>
      <c r="B60" t="s">
        <v>2340</v>
      </c>
    </row>
    <row r="61" spans="1:2">
      <c r="A61" t="s">
        <v>2341</v>
      </c>
      <c r="B61" t="s">
        <v>2342</v>
      </c>
    </row>
    <row r="62" spans="1:2">
      <c r="A62" t="s">
        <v>2343</v>
      </c>
      <c r="B62" t="s">
        <v>2344</v>
      </c>
    </row>
    <row r="63" spans="1:2">
      <c r="A63" t="s">
        <v>2345</v>
      </c>
      <c r="B63" t="s">
        <v>2346</v>
      </c>
    </row>
    <row r="64" spans="1:2">
      <c r="A64" t="s">
        <v>2347</v>
      </c>
      <c r="B64" t="s">
        <v>2348</v>
      </c>
    </row>
    <row r="65" spans="1:2">
      <c r="A65" t="s">
        <v>2349</v>
      </c>
      <c r="B65" t="s">
        <v>2350</v>
      </c>
    </row>
    <row r="66" spans="1:2">
      <c r="A66" t="s">
        <v>2351</v>
      </c>
      <c r="B66" t="s">
        <v>2352</v>
      </c>
    </row>
    <row r="67" spans="1:2">
      <c r="A67" t="s">
        <v>2353</v>
      </c>
      <c r="B67" t="s">
        <v>2354</v>
      </c>
    </row>
    <row r="68" spans="1:2">
      <c r="A68" t="s">
        <v>2355</v>
      </c>
      <c r="B68" t="s">
        <v>2356</v>
      </c>
    </row>
    <row r="69" spans="1:2">
      <c r="A69" t="s">
        <v>2357</v>
      </c>
      <c r="B69" t="s">
        <v>2358</v>
      </c>
    </row>
    <row r="70" spans="1:2">
      <c r="A70" t="s">
        <v>2359</v>
      </c>
      <c r="B70" t="s">
        <v>2360</v>
      </c>
    </row>
    <row r="71" spans="1:2">
      <c r="A71" t="s">
        <v>2361</v>
      </c>
      <c r="B71" t="s">
        <v>2362</v>
      </c>
    </row>
    <row r="72" spans="1:2">
      <c r="A72" t="s">
        <v>2363</v>
      </c>
      <c r="B72" t="s">
        <v>2364</v>
      </c>
    </row>
    <row r="73" spans="1:2">
      <c r="A73" t="s">
        <v>2365</v>
      </c>
      <c r="B73" t="s">
        <v>2366</v>
      </c>
    </row>
    <row r="74" spans="1:2">
      <c r="A74" t="s">
        <v>2367</v>
      </c>
      <c r="B74" t="s">
        <v>2368</v>
      </c>
    </row>
    <row r="75" spans="1:2">
      <c r="A75" t="s">
        <v>2369</v>
      </c>
      <c r="B75" t="s">
        <v>2370</v>
      </c>
    </row>
    <row r="76" spans="1:2">
      <c r="A76" t="s">
        <v>2371</v>
      </c>
      <c r="B76" t="s">
        <v>2372</v>
      </c>
    </row>
    <row r="77" spans="1:2">
      <c r="A77" t="s">
        <v>2373</v>
      </c>
      <c r="B77" t="s">
        <v>2374</v>
      </c>
    </row>
    <row r="78" spans="1:2">
      <c r="A78" t="s">
        <v>2375</v>
      </c>
      <c r="B78" t="s">
        <v>2376</v>
      </c>
    </row>
    <row r="79" spans="1:2">
      <c r="A79" t="s">
        <v>2377</v>
      </c>
      <c r="B79" t="s">
        <v>2378</v>
      </c>
    </row>
    <row r="80" spans="1:2">
      <c r="A80" t="s">
        <v>2379</v>
      </c>
      <c r="B80" t="s">
        <v>2380</v>
      </c>
    </row>
    <row r="81" spans="1:2">
      <c r="A81" t="s">
        <v>2381</v>
      </c>
      <c r="B81" t="s">
        <v>2382</v>
      </c>
    </row>
    <row r="82" spans="1:2">
      <c r="A82" t="s">
        <v>2383</v>
      </c>
      <c r="B82" t="s">
        <v>2384</v>
      </c>
    </row>
    <row r="83" spans="1:2">
      <c r="A83" t="s">
        <v>2385</v>
      </c>
      <c r="B83" t="s">
        <v>2386</v>
      </c>
    </row>
    <row r="84" spans="1:2">
      <c r="A84" t="s">
        <v>2387</v>
      </c>
      <c r="B84" t="s">
        <v>2388</v>
      </c>
    </row>
    <row r="85" spans="1:2">
      <c r="A85" t="s">
        <v>2389</v>
      </c>
      <c r="B85" t="s">
        <v>2390</v>
      </c>
    </row>
    <row r="86" spans="1:2">
      <c r="A86" t="s">
        <v>2391</v>
      </c>
      <c r="B86" t="s">
        <v>2392</v>
      </c>
    </row>
    <row r="87" spans="1:2">
      <c r="A87" t="s">
        <v>2393</v>
      </c>
      <c r="B87" t="s">
        <v>2394</v>
      </c>
    </row>
    <row r="88" spans="1:2">
      <c r="A88" t="s">
        <v>2395</v>
      </c>
      <c r="B88" t="s">
        <v>2396</v>
      </c>
    </row>
    <row r="89" spans="1:2">
      <c r="A89" t="s">
        <v>2397</v>
      </c>
      <c r="B89" t="s">
        <v>2398</v>
      </c>
    </row>
    <row r="90" spans="1:2">
      <c r="A90" t="s">
        <v>2399</v>
      </c>
      <c r="B90" t="s">
        <v>2400</v>
      </c>
    </row>
    <row r="91" spans="1:2">
      <c r="A91" t="s">
        <v>2401</v>
      </c>
      <c r="B91" t="s">
        <v>2402</v>
      </c>
    </row>
    <row r="92" spans="1:2">
      <c r="A92" t="s">
        <v>2403</v>
      </c>
      <c r="B92" t="s">
        <v>2404</v>
      </c>
    </row>
    <row r="93" spans="1:2">
      <c r="A93" t="s">
        <v>2405</v>
      </c>
      <c r="B93" t="s">
        <v>2406</v>
      </c>
    </row>
    <row r="94" spans="1:2">
      <c r="A94" t="s">
        <v>2407</v>
      </c>
      <c r="B94" t="s">
        <v>2408</v>
      </c>
    </row>
    <row r="95" spans="1:2">
      <c r="A95" t="s">
        <v>2409</v>
      </c>
      <c r="B95" t="s">
        <v>2410</v>
      </c>
    </row>
    <row r="96" spans="1:2">
      <c r="A96" t="s">
        <v>2411</v>
      </c>
      <c r="B96" t="s">
        <v>2412</v>
      </c>
    </row>
    <row r="97" spans="1:2">
      <c r="A97" t="s">
        <v>2413</v>
      </c>
      <c r="B97" t="s">
        <v>2414</v>
      </c>
    </row>
    <row r="98" spans="1:2">
      <c r="A98" t="s">
        <v>2415</v>
      </c>
      <c r="B98" t="s">
        <v>2416</v>
      </c>
    </row>
    <row r="99" spans="1:2">
      <c r="A99" t="s">
        <v>2417</v>
      </c>
      <c r="B99" t="s">
        <v>2418</v>
      </c>
    </row>
    <row r="100" spans="1:2">
      <c r="A100" t="s">
        <v>2419</v>
      </c>
      <c r="B100" t="s">
        <v>2420</v>
      </c>
    </row>
    <row r="101" spans="1:2">
      <c r="A101" t="s">
        <v>2421</v>
      </c>
      <c r="B101" t="s">
        <v>2422</v>
      </c>
    </row>
    <row r="102" spans="1:2">
      <c r="A102" t="s">
        <v>2423</v>
      </c>
      <c r="B102" t="s">
        <v>2424</v>
      </c>
    </row>
    <row r="103" spans="1:2">
      <c r="A103" t="s">
        <v>2425</v>
      </c>
      <c r="B103" t="s">
        <v>2426</v>
      </c>
    </row>
    <row r="104" spans="1:2">
      <c r="A104" t="s">
        <v>2427</v>
      </c>
      <c r="B104" t="s">
        <v>2428</v>
      </c>
    </row>
    <row r="105" spans="1:2">
      <c r="A105" t="s">
        <v>2429</v>
      </c>
      <c r="B105" t="s">
        <v>2430</v>
      </c>
    </row>
    <row r="106" spans="1:2">
      <c r="A106" t="s">
        <v>2431</v>
      </c>
      <c r="B106" t="s">
        <v>2432</v>
      </c>
    </row>
    <row r="107" spans="1:2">
      <c r="A107" t="s">
        <v>2433</v>
      </c>
      <c r="B107" t="s">
        <v>2434</v>
      </c>
    </row>
    <row r="108" spans="1:2">
      <c r="A108" t="s">
        <v>2435</v>
      </c>
      <c r="B108" t="s">
        <v>2436</v>
      </c>
    </row>
    <row r="109" spans="1:2">
      <c r="A109" t="s">
        <v>2437</v>
      </c>
      <c r="B109" t="s">
        <v>2438</v>
      </c>
    </row>
    <row r="110" spans="1:2">
      <c r="A110" t="s">
        <v>2439</v>
      </c>
      <c r="B110" t="s">
        <v>2440</v>
      </c>
    </row>
    <row r="111" spans="1:2">
      <c r="A111" t="s">
        <v>2441</v>
      </c>
      <c r="B111" t="s">
        <v>2442</v>
      </c>
    </row>
    <row r="112" spans="1:2">
      <c r="A112" t="s">
        <v>2443</v>
      </c>
      <c r="B112" t="s">
        <v>2444</v>
      </c>
    </row>
    <row r="113" spans="1:2">
      <c r="A113" t="s">
        <v>2445</v>
      </c>
      <c r="B113" t="s">
        <v>2446</v>
      </c>
    </row>
    <row r="114" spans="1:2">
      <c r="A114" t="s">
        <v>2447</v>
      </c>
      <c r="B114" t="s">
        <v>2448</v>
      </c>
    </row>
    <row r="115" spans="1:2">
      <c r="A115" t="s">
        <v>2449</v>
      </c>
      <c r="B115" t="s">
        <v>2450</v>
      </c>
    </row>
    <row r="116" spans="1:2">
      <c r="A116" t="s">
        <v>2451</v>
      </c>
      <c r="B116" t="s">
        <v>2452</v>
      </c>
    </row>
    <row r="117" spans="1:2">
      <c r="A117" t="s">
        <v>2453</v>
      </c>
      <c r="B117" t="s">
        <v>2454</v>
      </c>
    </row>
    <row r="118" spans="1:2">
      <c r="A118" t="s">
        <v>2455</v>
      </c>
      <c r="B118" t="s">
        <v>2456</v>
      </c>
    </row>
    <row r="119" spans="1:2">
      <c r="A119" t="s">
        <v>2457</v>
      </c>
      <c r="B119" t="s">
        <v>2458</v>
      </c>
    </row>
    <row r="120" spans="1:2">
      <c r="A120" t="s">
        <v>2459</v>
      </c>
      <c r="B120" t="s">
        <v>2460</v>
      </c>
    </row>
    <row r="121" spans="1:2">
      <c r="A121" t="s">
        <v>2461</v>
      </c>
      <c r="B121" t="s">
        <v>2462</v>
      </c>
    </row>
    <row r="122" spans="1:2">
      <c r="A122" t="s">
        <v>2463</v>
      </c>
      <c r="B122" t="s">
        <v>2464</v>
      </c>
    </row>
    <row r="123" spans="1:2">
      <c r="A123" t="s">
        <v>2465</v>
      </c>
      <c r="B123" t="s">
        <v>2466</v>
      </c>
    </row>
    <row r="124" spans="1:2">
      <c r="A124" t="s">
        <v>2467</v>
      </c>
      <c r="B124" t="s">
        <v>2468</v>
      </c>
    </row>
    <row r="125" spans="1:2">
      <c r="A125" t="s">
        <v>2469</v>
      </c>
      <c r="B125" t="s">
        <v>2470</v>
      </c>
    </row>
    <row r="126" spans="1:2">
      <c r="A126" t="s">
        <v>2471</v>
      </c>
      <c r="B126" t="s">
        <v>2472</v>
      </c>
    </row>
    <row r="127" spans="1:2">
      <c r="A127" t="s">
        <v>2473</v>
      </c>
      <c r="B127" t="s">
        <v>2474</v>
      </c>
    </row>
    <row r="128" spans="1:2">
      <c r="A128" t="s">
        <v>2475</v>
      </c>
      <c r="B128" t="s">
        <v>2476</v>
      </c>
    </row>
    <row r="129" spans="1:2">
      <c r="A129" t="s">
        <v>2477</v>
      </c>
      <c r="B129" t="s">
        <v>2478</v>
      </c>
    </row>
    <row r="130" spans="1:2">
      <c r="A130" t="s">
        <v>2479</v>
      </c>
      <c r="B130" t="s">
        <v>2480</v>
      </c>
    </row>
    <row r="131" spans="1:2">
      <c r="A131" t="s">
        <v>2481</v>
      </c>
      <c r="B131" t="s">
        <v>2482</v>
      </c>
    </row>
    <row r="132" spans="1:2">
      <c r="A132" t="s">
        <v>2483</v>
      </c>
      <c r="B132" t="s">
        <v>2484</v>
      </c>
    </row>
    <row r="133" spans="1:2">
      <c r="A133" t="s">
        <v>2485</v>
      </c>
      <c r="B133" t="s">
        <v>2486</v>
      </c>
    </row>
    <row r="134" spans="1:2">
      <c r="A134" t="s">
        <v>2487</v>
      </c>
      <c r="B134" t="s">
        <v>2488</v>
      </c>
    </row>
    <row r="135" spans="1:2">
      <c r="A135" t="s">
        <v>2489</v>
      </c>
      <c r="B135" t="s">
        <v>2490</v>
      </c>
    </row>
    <row r="136" spans="1:2">
      <c r="A136" t="s">
        <v>2491</v>
      </c>
      <c r="B136" t="s">
        <v>2492</v>
      </c>
    </row>
    <row r="137" spans="1:2">
      <c r="A137" t="s">
        <v>2493</v>
      </c>
      <c r="B137" t="s">
        <v>2494</v>
      </c>
    </row>
    <row r="138" spans="1:2">
      <c r="A138" t="s">
        <v>2495</v>
      </c>
      <c r="B138" t="s">
        <v>2496</v>
      </c>
    </row>
    <row r="139" spans="1:2">
      <c r="A139" t="s">
        <v>2497</v>
      </c>
      <c r="B139" t="s">
        <v>2498</v>
      </c>
    </row>
    <row r="140" spans="1:2">
      <c r="A140" t="s">
        <v>2499</v>
      </c>
      <c r="B140" t="s">
        <v>2500</v>
      </c>
    </row>
    <row r="141" spans="1:2">
      <c r="A141" t="s">
        <v>2501</v>
      </c>
      <c r="B141" t="s">
        <v>2502</v>
      </c>
    </row>
    <row r="142" spans="1:2">
      <c r="A142" t="s">
        <v>2503</v>
      </c>
      <c r="B142" t="s">
        <v>2504</v>
      </c>
    </row>
    <row r="143" spans="1:2">
      <c r="A143" t="s">
        <v>2505</v>
      </c>
      <c r="B143" t="s">
        <v>2506</v>
      </c>
    </row>
    <row r="144" spans="1:2">
      <c r="A144" t="s">
        <v>2507</v>
      </c>
      <c r="B144" t="s">
        <v>2508</v>
      </c>
    </row>
    <row r="145" spans="1:2">
      <c r="A145" t="s">
        <v>2509</v>
      </c>
      <c r="B145" t="s">
        <v>2510</v>
      </c>
    </row>
    <row r="146" spans="1:2">
      <c r="A146" t="s">
        <v>2511</v>
      </c>
      <c r="B146" t="s">
        <v>2512</v>
      </c>
    </row>
    <row r="147" spans="1:2">
      <c r="A147" t="s">
        <v>2513</v>
      </c>
      <c r="B147" t="s">
        <v>2514</v>
      </c>
    </row>
    <row r="148" spans="1:2">
      <c r="A148" t="s">
        <v>2515</v>
      </c>
      <c r="B148" t="s">
        <v>2516</v>
      </c>
    </row>
    <row r="149" spans="1:2">
      <c r="A149" t="s">
        <v>2517</v>
      </c>
      <c r="B149" t="s">
        <v>2518</v>
      </c>
    </row>
    <row r="150" spans="1:2">
      <c r="A150" t="s">
        <v>2519</v>
      </c>
      <c r="B150" t="s">
        <v>2520</v>
      </c>
    </row>
    <row r="151" spans="1:2">
      <c r="A151" t="s">
        <v>2521</v>
      </c>
      <c r="B151" t="s">
        <v>2522</v>
      </c>
    </row>
    <row r="152" spans="1:2">
      <c r="A152" t="s">
        <v>2523</v>
      </c>
      <c r="B152" t="s">
        <v>2524</v>
      </c>
    </row>
    <row r="153" spans="1:2">
      <c r="A153" t="s">
        <v>2525</v>
      </c>
      <c r="B153" t="s">
        <v>2526</v>
      </c>
    </row>
    <row r="154" spans="1:2">
      <c r="A154" t="s">
        <v>2527</v>
      </c>
      <c r="B154" t="s">
        <v>2528</v>
      </c>
    </row>
    <row r="155" spans="1:2">
      <c r="A155" t="s">
        <v>2529</v>
      </c>
      <c r="B155" t="s">
        <v>2530</v>
      </c>
    </row>
    <row r="156" spans="1:2">
      <c r="A156" t="s">
        <v>2531</v>
      </c>
      <c r="B156" t="s">
        <v>2532</v>
      </c>
    </row>
    <row r="157" spans="1:2">
      <c r="A157" t="s">
        <v>2533</v>
      </c>
      <c r="B157" t="s">
        <v>2534</v>
      </c>
    </row>
    <row r="158" spans="1:2">
      <c r="A158" t="s">
        <v>2535</v>
      </c>
      <c r="B158" t="s">
        <v>2536</v>
      </c>
    </row>
    <row r="159" spans="1:2">
      <c r="A159" t="s">
        <v>2537</v>
      </c>
      <c r="B159" t="s">
        <v>2538</v>
      </c>
    </row>
    <row r="160" spans="1:2">
      <c r="A160" t="s">
        <v>2539</v>
      </c>
      <c r="B160" t="s">
        <v>2540</v>
      </c>
    </row>
    <row r="161" spans="1:2">
      <c r="A161" t="s">
        <v>2541</v>
      </c>
      <c r="B161" t="s">
        <v>2542</v>
      </c>
    </row>
    <row r="162" spans="1:2">
      <c r="A162" t="s">
        <v>2543</v>
      </c>
      <c r="B162" t="s">
        <v>2544</v>
      </c>
    </row>
    <row r="163" spans="1:2">
      <c r="A163" t="s">
        <v>2545</v>
      </c>
      <c r="B163" t="s">
        <v>2546</v>
      </c>
    </row>
    <row r="164" spans="1:2">
      <c r="A164" t="s">
        <v>2547</v>
      </c>
      <c r="B164" t="s">
        <v>2548</v>
      </c>
    </row>
    <row r="165" spans="1:2">
      <c r="A165" t="s">
        <v>2549</v>
      </c>
      <c r="B165" t="s">
        <v>2550</v>
      </c>
    </row>
    <row r="166" spans="1:2">
      <c r="A166" t="s">
        <v>2551</v>
      </c>
      <c r="B166" t="s">
        <v>2552</v>
      </c>
    </row>
    <row r="167" spans="1:2">
      <c r="A167" t="s">
        <v>2553</v>
      </c>
      <c r="B167" t="s">
        <v>2554</v>
      </c>
    </row>
    <row r="168" spans="1:2">
      <c r="A168" t="s">
        <v>2555</v>
      </c>
      <c r="B168" t="s">
        <v>2556</v>
      </c>
    </row>
    <row r="169" spans="1:2">
      <c r="A169" t="s">
        <v>2557</v>
      </c>
      <c r="B169" t="s">
        <v>2558</v>
      </c>
    </row>
    <row r="170" spans="1:2">
      <c r="A170" t="s">
        <v>2559</v>
      </c>
      <c r="B170" t="s">
        <v>2560</v>
      </c>
    </row>
    <row r="171" spans="1:2">
      <c r="A171" t="s">
        <v>2561</v>
      </c>
      <c r="B171" t="s">
        <v>2562</v>
      </c>
    </row>
    <row r="172" spans="1:2">
      <c r="A172" t="s">
        <v>2563</v>
      </c>
      <c r="B172" t="s">
        <v>2564</v>
      </c>
    </row>
    <row r="173" spans="1:2">
      <c r="A173" t="s">
        <v>2565</v>
      </c>
      <c r="B173" t="s">
        <v>2566</v>
      </c>
    </row>
    <row r="174" spans="1:2">
      <c r="A174" t="s">
        <v>2567</v>
      </c>
      <c r="B174" t="s">
        <v>2568</v>
      </c>
    </row>
    <row r="175" spans="1:2">
      <c r="A175" t="s">
        <v>2569</v>
      </c>
      <c r="B175" t="s">
        <v>2570</v>
      </c>
    </row>
    <row r="176" spans="1:2">
      <c r="A176" t="s">
        <v>2571</v>
      </c>
      <c r="B176" t="s">
        <v>2572</v>
      </c>
    </row>
    <row r="177" spans="1:2">
      <c r="A177" t="s">
        <v>2573</v>
      </c>
      <c r="B177" t="s">
        <v>2574</v>
      </c>
    </row>
    <row r="178" spans="1:2">
      <c r="A178" t="s">
        <v>2575</v>
      </c>
      <c r="B178" t="s">
        <v>2576</v>
      </c>
    </row>
    <row r="179" spans="1:2">
      <c r="A179" t="s">
        <v>2577</v>
      </c>
      <c r="B179" t="s">
        <v>2578</v>
      </c>
    </row>
    <row r="180" spans="1:2">
      <c r="A180" t="s">
        <v>2579</v>
      </c>
      <c r="B180" t="s">
        <v>2580</v>
      </c>
    </row>
    <row r="181" spans="1:2">
      <c r="A181" t="s">
        <v>2581</v>
      </c>
      <c r="B181" t="s">
        <v>2582</v>
      </c>
    </row>
    <row r="182" spans="1:2">
      <c r="A182" t="s">
        <v>2583</v>
      </c>
      <c r="B182" t="s">
        <v>2584</v>
      </c>
    </row>
    <row r="183" spans="1:2">
      <c r="A183" t="s">
        <v>2585</v>
      </c>
      <c r="B183" t="s">
        <v>2586</v>
      </c>
    </row>
    <row r="184" spans="1:2">
      <c r="A184" t="s">
        <v>2587</v>
      </c>
      <c r="B184" t="s">
        <v>2588</v>
      </c>
    </row>
    <row r="185" spans="1:2">
      <c r="A185" t="s">
        <v>2589</v>
      </c>
      <c r="B185" t="s">
        <v>2590</v>
      </c>
    </row>
    <row r="186" spans="1:2">
      <c r="A186" t="s">
        <v>2591</v>
      </c>
      <c r="B186" t="s">
        <v>2592</v>
      </c>
    </row>
    <row r="187" spans="1:2">
      <c r="A187" t="s">
        <v>2593</v>
      </c>
      <c r="B187" t="s">
        <v>2594</v>
      </c>
    </row>
    <row r="188" spans="1:2">
      <c r="A188" t="s">
        <v>2595</v>
      </c>
      <c r="B188" t="s">
        <v>2596</v>
      </c>
    </row>
    <row r="189" spans="1:2">
      <c r="A189" t="s">
        <v>2597</v>
      </c>
      <c r="B189" t="s">
        <v>2598</v>
      </c>
    </row>
    <row r="190" spans="1:2">
      <c r="A190" t="s">
        <v>2599</v>
      </c>
      <c r="B190" t="s">
        <v>2600</v>
      </c>
    </row>
    <row r="191" spans="1:2">
      <c r="A191" t="s">
        <v>2601</v>
      </c>
      <c r="B191" t="s">
        <v>2602</v>
      </c>
    </row>
    <row r="192" spans="1:2">
      <c r="A192" t="s">
        <v>2603</v>
      </c>
      <c r="B192" t="s">
        <v>2604</v>
      </c>
    </row>
    <row r="193" spans="1:2">
      <c r="A193" t="s">
        <v>2605</v>
      </c>
      <c r="B193" t="s">
        <v>2606</v>
      </c>
    </row>
    <row r="194" spans="1:2">
      <c r="A194" t="s">
        <v>2607</v>
      </c>
      <c r="B194" t="s">
        <v>2608</v>
      </c>
    </row>
    <row r="195" spans="1:2">
      <c r="A195" t="s">
        <v>2609</v>
      </c>
      <c r="B195" t="s">
        <v>2610</v>
      </c>
    </row>
    <row r="196" spans="1:2">
      <c r="A196" t="s">
        <v>2611</v>
      </c>
      <c r="B196" t="s">
        <v>2612</v>
      </c>
    </row>
    <row r="197" spans="1:2">
      <c r="A197" t="s">
        <v>2613</v>
      </c>
      <c r="B197" t="s">
        <v>2614</v>
      </c>
    </row>
    <row r="198" spans="1:2">
      <c r="A198" t="s">
        <v>2615</v>
      </c>
      <c r="B198" t="s">
        <v>2616</v>
      </c>
    </row>
    <row r="199" spans="1:2">
      <c r="A199" t="s">
        <v>2617</v>
      </c>
      <c r="B199" t="s">
        <v>2618</v>
      </c>
    </row>
    <row r="200" spans="1:2">
      <c r="A200" t="s">
        <v>2619</v>
      </c>
      <c r="B200" t="s">
        <v>2620</v>
      </c>
    </row>
    <row r="201" spans="1:2">
      <c r="A201" t="s">
        <v>2621</v>
      </c>
      <c r="B201" t="s">
        <v>2622</v>
      </c>
    </row>
    <row r="202" spans="1:2">
      <c r="A202" t="s">
        <v>2623</v>
      </c>
      <c r="B202" t="s">
        <v>2624</v>
      </c>
    </row>
    <row r="203" spans="1:2">
      <c r="A203" t="s">
        <v>2625</v>
      </c>
      <c r="B203" t="s">
        <v>2626</v>
      </c>
    </row>
    <row r="204" spans="1:2">
      <c r="A204" t="s">
        <v>2627</v>
      </c>
      <c r="B204" t="s">
        <v>2628</v>
      </c>
    </row>
    <row r="205" spans="1:2">
      <c r="A205" s="191" t="s">
        <v>384</v>
      </c>
      <c r="B205" t="s">
        <v>2629</v>
      </c>
    </row>
    <row r="206" spans="1:2">
      <c r="A206" t="s">
        <v>2630</v>
      </c>
      <c r="B206" t="s">
        <v>2631</v>
      </c>
    </row>
    <row r="207" spans="1:2">
      <c r="A207" t="s">
        <v>736</v>
      </c>
      <c r="B207" t="s">
        <v>2632</v>
      </c>
    </row>
    <row r="208" spans="1:2">
      <c r="A208" t="s">
        <v>2633</v>
      </c>
      <c r="B208" t="s">
        <v>2634</v>
      </c>
    </row>
    <row r="209" spans="1:2">
      <c r="A209" t="s">
        <v>2635</v>
      </c>
      <c r="B209" t="s">
        <v>2636</v>
      </c>
    </row>
    <row r="210" spans="1:2">
      <c r="A210" t="s">
        <v>2637</v>
      </c>
      <c r="B210" t="s">
        <v>2638</v>
      </c>
    </row>
    <row r="211" spans="1:2">
      <c r="A211" t="s">
        <v>2639</v>
      </c>
      <c r="B211" t="s">
        <v>2640</v>
      </c>
    </row>
    <row r="212" spans="1:2">
      <c r="A212" t="s">
        <v>2641</v>
      </c>
      <c r="B212" t="s">
        <v>2642</v>
      </c>
    </row>
    <row r="213" spans="1:2">
      <c r="A213" t="s">
        <v>2643</v>
      </c>
      <c r="B213" t="s">
        <v>2644</v>
      </c>
    </row>
    <row r="214" spans="1:2">
      <c r="A214" t="s">
        <v>2645</v>
      </c>
      <c r="B214" t="s">
        <v>2646</v>
      </c>
    </row>
    <row r="215" spans="1:2">
      <c r="A215" t="s">
        <v>2647</v>
      </c>
      <c r="B215" t="s">
        <v>2648</v>
      </c>
    </row>
    <row r="216" spans="1:2">
      <c r="A216" t="s">
        <v>2649</v>
      </c>
      <c r="B216" t="s">
        <v>2650</v>
      </c>
    </row>
    <row r="217" spans="1:2">
      <c r="A217" t="s">
        <v>2651</v>
      </c>
      <c r="B217" t="s">
        <v>2652</v>
      </c>
    </row>
    <row r="218" spans="1:2">
      <c r="A218" t="s">
        <v>2653</v>
      </c>
      <c r="B218" t="s">
        <v>2654</v>
      </c>
    </row>
    <row r="219" spans="1:2">
      <c r="A219" t="s">
        <v>2655</v>
      </c>
      <c r="B219" t="s">
        <v>2656</v>
      </c>
    </row>
    <row r="220" spans="1:2">
      <c r="A220" t="s">
        <v>2657</v>
      </c>
      <c r="B220" t="s">
        <v>2658</v>
      </c>
    </row>
    <row r="221" spans="1:2">
      <c r="A221" t="s">
        <v>2659</v>
      </c>
      <c r="B221" t="s">
        <v>2660</v>
      </c>
    </row>
    <row r="222" spans="1:2">
      <c r="A222" t="s">
        <v>400</v>
      </c>
      <c r="B222" t="s">
        <v>2661</v>
      </c>
    </row>
    <row r="223" spans="1:2">
      <c r="A223" t="s">
        <v>2662</v>
      </c>
      <c r="B223" t="s">
        <v>2663</v>
      </c>
    </row>
    <row r="224" spans="1:2">
      <c r="A224" t="s">
        <v>2664</v>
      </c>
      <c r="B224" t="s">
        <v>2665</v>
      </c>
    </row>
    <row r="225" spans="1:2">
      <c r="A225" t="s">
        <v>2666</v>
      </c>
      <c r="B225" t="s">
        <v>2667</v>
      </c>
    </row>
    <row r="226" spans="1:2">
      <c r="A226" t="s">
        <v>2668</v>
      </c>
      <c r="B226" t="s">
        <v>2669</v>
      </c>
    </row>
    <row r="227" spans="1:2">
      <c r="A227" t="s">
        <v>2670</v>
      </c>
      <c r="B227" t="s">
        <v>2671</v>
      </c>
    </row>
    <row r="228" spans="1:2">
      <c r="A228" s="192" t="s">
        <v>408</v>
      </c>
      <c r="B228" t="s">
        <v>2672</v>
      </c>
    </row>
    <row r="229" spans="1:2">
      <c r="A229" t="s">
        <v>2673</v>
      </c>
      <c r="B229" t="s">
        <v>2674</v>
      </c>
    </row>
    <row r="230" spans="1:2">
      <c r="A230" t="s">
        <v>2675</v>
      </c>
      <c r="B230" t="s">
        <v>2676</v>
      </c>
    </row>
    <row r="231" spans="1:2">
      <c r="A231" t="s">
        <v>2677</v>
      </c>
      <c r="B231" t="s">
        <v>2678</v>
      </c>
    </row>
    <row r="232" spans="1:2">
      <c r="A232" t="s">
        <v>2679</v>
      </c>
      <c r="B232" t="s">
        <v>2680</v>
      </c>
    </row>
    <row r="233" spans="1:2">
      <c r="A233" t="s">
        <v>2681</v>
      </c>
      <c r="B233" t="s">
        <v>2682</v>
      </c>
    </row>
    <row r="234" spans="1:2">
      <c r="A234" t="s">
        <v>2683</v>
      </c>
      <c r="B234" t="s">
        <v>2684</v>
      </c>
    </row>
    <row r="235" spans="1:2">
      <c r="A235" t="s">
        <v>2685</v>
      </c>
      <c r="B235" t="s">
        <v>2686</v>
      </c>
    </row>
    <row r="236" spans="1:2">
      <c r="A236" t="s">
        <v>2687</v>
      </c>
      <c r="B236" t="s">
        <v>2688</v>
      </c>
    </row>
    <row r="237" spans="1:2">
      <c r="A237" t="s">
        <v>2689</v>
      </c>
      <c r="B237" t="s">
        <v>2690</v>
      </c>
    </row>
    <row r="238" spans="1:2">
      <c r="A238" s="18" t="s">
        <v>179</v>
      </c>
      <c r="B238" t="s">
        <v>2691</v>
      </c>
    </row>
  </sheetData>
  <phoneticPr fontId="39" type="noConversion"/>
  <dataValidations count="1">
    <dataValidation type="list" allowBlank="1" showInputMessage="1" showErrorMessage="1" sqref="A1:B1" xr:uid="{28EFC902-A74B-47F8-8793-3D6495E6EA02}">
      <formula1>$Q$1:$Q$237</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0E7A-EB93-4066-BED6-45DD92ADBB64}">
  <sheetPr>
    <tabColor rgb="FFFF0000"/>
  </sheetPr>
  <dimension ref="A1:C53"/>
  <sheetViews>
    <sheetView workbookViewId="0">
      <selection activeCell="B4" sqref="B4"/>
    </sheetView>
  </sheetViews>
  <sheetFormatPr defaultColWidth="11.83203125" defaultRowHeight="17"/>
  <cols>
    <col min="2" max="2" width="28.1640625" customWidth="1"/>
    <col min="3" max="3" width="145.25" customWidth="1"/>
  </cols>
  <sheetData>
    <row r="1" spans="1:3" ht="17.5">
      <c r="A1" s="1" t="s">
        <v>2692</v>
      </c>
      <c r="B1" s="1" t="s">
        <v>2693</v>
      </c>
      <c r="C1" s="2" t="s">
        <v>2694</v>
      </c>
    </row>
    <row r="2" spans="1:3">
      <c r="A2" s="3" t="s">
        <v>2695</v>
      </c>
      <c r="B2" s="4" t="s">
        <v>2696</v>
      </c>
      <c r="C2" s="5" t="s">
        <v>2697</v>
      </c>
    </row>
    <row r="3" spans="1:3" ht="34">
      <c r="A3" s="3" t="s">
        <v>2698</v>
      </c>
      <c r="B3" s="4" t="s">
        <v>417</v>
      </c>
      <c r="C3" s="5" t="s">
        <v>2699</v>
      </c>
    </row>
    <row r="4" spans="1:3">
      <c r="A4" s="3" t="s">
        <v>2700</v>
      </c>
      <c r="B4" s="6" t="s">
        <v>418</v>
      </c>
      <c r="C4" s="5" t="s">
        <v>2701</v>
      </c>
    </row>
    <row r="5" spans="1:3">
      <c r="A5" s="3" t="s">
        <v>2702</v>
      </c>
      <c r="B5" s="4" t="s">
        <v>419</v>
      </c>
      <c r="C5" s="5" t="s">
        <v>2703</v>
      </c>
    </row>
    <row r="6" spans="1:3">
      <c r="A6" s="3" t="s">
        <v>2704</v>
      </c>
      <c r="B6" s="4" t="s">
        <v>420</v>
      </c>
      <c r="C6" s="5" t="s">
        <v>2705</v>
      </c>
    </row>
    <row r="7" spans="1:3" ht="30" customHeight="1">
      <c r="A7" s="3" t="s">
        <v>2706</v>
      </c>
      <c r="B7" s="6" t="s">
        <v>2</v>
      </c>
      <c r="C7" s="5" t="s">
        <v>2707</v>
      </c>
    </row>
    <row r="8" spans="1:3">
      <c r="A8" s="7" t="s">
        <v>2708</v>
      </c>
      <c r="B8" s="4" t="s">
        <v>421</v>
      </c>
      <c r="C8" s="5" t="s">
        <v>2709</v>
      </c>
    </row>
    <row r="9" spans="1:3" ht="34">
      <c r="A9" s="3" t="s">
        <v>2710</v>
      </c>
      <c r="B9" s="6" t="s">
        <v>422</v>
      </c>
      <c r="C9" s="5" t="s">
        <v>2711</v>
      </c>
    </row>
    <row r="10" spans="1:3">
      <c r="A10" s="3" t="s">
        <v>2712</v>
      </c>
      <c r="B10" s="6" t="s">
        <v>423</v>
      </c>
      <c r="C10" s="5" t="s">
        <v>2713</v>
      </c>
    </row>
    <row r="11" spans="1:3">
      <c r="A11" s="3" t="s">
        <v>2714</v>
      </c>
      <c r="B11" s="6" t="s">
        <v>424</v>
      </c>
      <c r="C11" s="5" t="s">
        <v>2715</v>
      </c>
    </row>
    <row r="12" spans="1:3">
      <c r="A12" s="3" t="s">
        <v>2716</v>
      </c>
      <c r="B12" s="6" t="s">
        <v>425</v>
      </c>
      <c r="C12" s="5" t="s">
        <v>2717</v>
      </c>
    </row>
    <row r="13" spans="1:3">
      <c r="A13" s="3" t="s">
        <v>2718</v>
      </c>
      <c r="B13" s="51" t="s">
        <v>426</v>
      </c>
      <c r="C13" s="5" t="s">
        <v>2719</v>
      </c>
    </row>
    <row r="14" spans="1:3">
      <c r="A14" s="3" t="s">
        <v>2720</v>
      </c>
      <c r="B14" s="51" t="s">
        <v>427</v>
      </c>
      <c r="C14" s="5" t="s">
        <v>2721</v>
      </c>
    </row>
    <row r="15" spans="1:3">
      <c r="A15" s="3" t="s">
        <v>2722</v>
      </c>
      <c r="B15" s="51" t="s">
        <v>428</v>
      </c>
      <c r="C15" s="5" t="s">
        <v>2723</v>
      </c>
    </row>
    <row r="16" spans="1:3">
      <c r="A16" s="3" t="s">
        <v>2724</v>
      </c>
      <c r="B16" s="4" t="s">
        <v>429</v>
      </c>
      <c r="C16" s="5" t="s">
        <v>2725</v>
      </c>
    </row>
    <row r="17" spans="1:3">
      <c r="A17" s="3" t="s">
        <v>2726</v>
      </c>
      <c r="B17" s="8" t="s">
        <v>430</v>
      </c>
      <c r="C17" s="5" t="s">
        <v>2727</v>
      </c>
    </row>
    <row r="18" spans="1:3">
      <c r="A18" s="3" t="s">
        <v>2728</v>
      </c>
      <c r="B18" s="4" t="s">
        <v>431</v>
      </c>
      <c r="C18" s="5" t="s">
        <v>2729</v>
      </c>
    </row>
    <row r="19" spans="1:3">
      <c r="A19" s="3" t="s">
        <v>2730</v>
      </c>
      <c r="B19" s="4" t="s">
        <v>432</v>
      </c>
      <c r="C19" s="5" t="s">
        <v>2731</v>
      </c>
    </row>
    <row r="20" spans="1:3">
      <c r="A20" s="3" t="s">
        <v>2732</v>
      </c>
      <c r="B20" s="4" t="s">
        <v>433</v>
      </c>
      <c r="C20" s="5" t="s">
        <v>2733</v>
      </c>
    </row>
    <row r="21" spans="1:3">
      <c r="A21" s="3" t="s">
        <v>2734</v>
      </c>
      <c r="B21" s="4" t="s">
        <v>434</v>
      </c>
      <c r="C21" s="5" t="s">
        <v>2735</v>
      </c>
    </row>
    <row r="22" spans="1:3" ht="34">
      <c r="A22" s="3" t="s">
        <v>2736</v>
      </c>
      <c r="B22" s="4" t="s">
        <v>2737</v>
      </c>
      <c r="C22" s="5" t="s">
        <v>2738</v>
      </c>
    </row>
    <row r="23" spans="1:3" ht="34">
      <c r="A23" s="3" t="s">
        <v>2739</v>
      </c>
      <c r="B23" s="4" t="s">
        <v>2740</v>
      </c>
      <c r="C23" s="5" t="s">
        <v>2741</v>
      </c>
    </row>
    <row r="24" spans="1:3" ht="34">
      <c r="A24" s="3" t="s">
        <v>2742</v>
      </c>
      <c r="B24" s="4" t="s">
        <v>2743</v>
      </c>
      <c r="C24" s="5" t="s">
        <v>2744</v>
      </c>
    </row>
    <row r="25" spans="1:3">
      <c r="A25" s="3" t="s">
        <v>2745</v>
      </c>
      <c r="B25" s="4" t="s">
        <v>438</v>
      </c>
      <c r="C25" s="5" t="s">
        <v>2746</v>
      </c>
    </row>
    <row r="26" spans="1:3">
      <c r="A26" s="3" t="s">
        <v>2747</v>
      </c>
      <c r="B26" s="6" t="s">
        <v>8</v>
      </c>
      <c r="C26" s="5" t="s">
        <v>2748</v>
      </c>
    </row>
    <row r="27" spans="1:3">
      <c r="A27" s="3" t="s">
        <v>2749</v>
      </c>
      <c r="B27" s="6" t="s">
        <v>9</v>
      </c>
      <c r="C27" s="5" t="s">
        <v>2750</v>
      </c>
    </row>
    <row r="28" spans="1:3">
      <c r="A28" s="3" t="s">
        <v>2751</v>
      </c>
      <c r="B28" s="4" t="s">
        <v>439</v>
      </c>
      <c r="C28" s="5" t="s">
        <v>2752</v>
      </c>
    </row>
    <row r="29" spans="1:3">
      <c r="A29" s="3" t="s">
        <v>2753</v>
      </c>
      <c r="B29" s="6" t="s">
        <v>440</v>
      </c>
      <c r="C29" s="5" t="s">
        <v>2754</v>
      </c>
    </row>
    <row r="30" spans="1:3" ht="34">
      <c r="A30" s="3" t="s">
        <v>2755</v>
      </c>
      <c r="B30" s="6" t="s">
        <v>441</v>
      </c>
      <c r="C30" s="5" t="s">
        <v>2756</v>
      </c>
    </row>
    <row r="31" spans="1:3">
      <c r="A31" s="3" t="s">
        <v>2757</v>
      </c>
      <c r="B31" s="6" t="s">
        <v>2758</v>
      </c>
      <c r="C31" s="5" t="s">
        <v>2759</v>
      </c>
    </row>
    <row r="32" spans="1:3">
      <c r="A32" s="3" t="s">
        <v>2760</v>
      </c>
      <c r="B32" s="6" t="s">
        <v>443</v>
      </c>
      <c r="C32" s="5" t="s">
        <v>2761</v>
      </c>
    </row>
    <row r="33" spans="1:3">
      <c r="A33" s="3" t="s">
        <v>2762</v>
      </c>
      <c r="B33" s="6" t="s">
        <v>444</v>
      </c>
      <c r="C33" s="5" t="s">
        <v>2763</v>
      </c>
    </row>
    <row r="34" spans="1:3">
      <c r="A34" s="3" t="s">
        <v>2764</v>
      </c>
      <c r="B34" s="4" t="s">
        <v>445</v>
      </c>
      <c r="C34" s="5" t="s">
        <v>2765</v>
      </c>
    </row>
    <row r="35" spans="1:3">
      <c r="A35" s="3" t="s">
        <v>2766</v>
      </c>
      <c r="B35" s="4" t="s">
        <v>446</v>
      </c>
      <c r="C35" s="5" t="s">
        <v>2767</v>
      </c>
    </row>
    <row r="36" spans="1:3">
      <c r="A36" s="3" t="s">
        <v>2768</v>
      </c>
      <c r="B36" s="4" t="s">
        <v>447</v>
      </c>
      <c r="C36" s="5" t="s">
        <v>2733</v>
      </c>
    </row>
    <row r="37" spans="1:3">
      <c r="A37" s="3" t="s">
        <v>2769</v>
      </c>
      <c r="B37" s="4" t="s">
        <v>448</v>
      </c>
      <c r="C37" s="5" t="s">
        <v>2770</v>
      </c>
    </row>
    <row r="38" spans="1:3">
      <c r="A38" s="3" t="s">
        <v>2771</v>
      </c>
      <c r="B38" s="6" t="s">
        <v>449</v>
      </c>
      <c r="C38" s="5" t="s">
        <v>2772</v>
      </c>
    </row>
    <row r="39" spans="1:3">
      <c r="A39" s="3" t="s">
        <v>2773</v>
      </c>
      <c r="B39" s="6" t="s">
        <v>2774</v>
      </c>
      <c r="C39" s="5" t="s">
        <v>2775</v>
      </c>
    </row>
    <row r="40" spans="1:3">
      <c r="A40" s="3" t="s">
        <v>2776</v>
      </c>
      <c r="B40" s="6" t="s">
        <v>2777</v>
      </c>
      <c r="C40" s="5" t="s">
        <v>2778</v>
      </c>
    </row>
    <row r="41" spans="1:3">
      <c r="A41" s="3" t="s">
        <v>2779</v>
      </c>
      <c r="B41" s="6" t="s">
        <v>2780</v>
      </c>
      <c r="C41" s="5" t="s">
        <v>2781</v>
      </c>
    </row>
    <row r="42" spans="1:3">
      <c r="A42" s="3" t="s">
        <v>2782</v>
      </c>
      <c r="B42" s="6" t="s">
        <v>2783</v>
      </c>
      <c r="C42" s="5" t="s">
        <v>2784</v>
      </c>
    </row>
    <row r="43" spans="1:3">
      <c r="A43" s="3" t="s">
        <v>2785</v>
      </c>
      <c r="B43" s="6" t="s">
        <v>2786</v>
      </c>
      <c r="C43" s="5" t="s">
        <v>2787</v>
      </c>
    </row>
    <row r="44" spans="1:3">
      <c r="A44" s="3" t="s">
        <v>2788</v>
      </c>
      <c r="B44" s="6" t="s">
        <v>2789</v>
      </c>
      <c r="C44" s="5" t="s">
        <v>2790</v>
      </c>
    </row>
    <row r="45" spans="1:3">
      <c r="A45" s="3" t="s">
        <v>2791</v>
      </c>
      <c r="B45" s="6" t="s">
        <v>2792</v>
      </c>
      <c r="C45" s="5" t="s">
        <v>2793</v>
      </c>
    </row>
    <row r="46" spans="1:3">
      <c r="A46" s="3" t="s">
        <v>2794</v>
      </c>
      <c r="B46" s="6" t="s">
        <v>2795</v>
      </c>
      <c r="C46" s="5" t="s">
        <v>2796</v>
      </c>
    </row>
    <row r="47" spans="1:3">
      <c r="A47" s="3" t="s">
        <v>2797</v>
      </c>
      <c r="B47" s="49" t="s">
        <v>451</v>
      </c>
      <c r="C47" s="5" t="s">
        <v>2798</v>
      </c>
    </row>
    <row r="48" spans="1:3">
      <c r="A48" s="3" t="s">
        <v>2799</v>
      </c>
      <c r="B48" s="50" t="s">
        <v>452</v>
      </c>
      <c r="C48" s="5" t="s">
        <v>2798</v>
      </c>
    </row>
    <row r="49" spans="1:3">
      <c r="A49" s="3" t="s">
        <v>2800</v>
      </c>
      <c r="B49" s="50" t="s">
        <v>453</v>
      </c>
      <c r="C49" s="5" t="s">
        <v>2798</v>
      </c>
    </row>
    <row r="50" spans="1:3">
      <c r="A50" s="3" t="s">
        <v>2801</v>
      </c>
      <c r="B50" s="51" t="s">
        <v>454</v>
      </c>
      <c r="C50" s="5" t="s">
        <v>2798</v>
      </c>
    </row>
    <row r="51" spans="1:3">
      <c r="A51" s="3" t="s">
        <v>2802</v>
      </c>
      <c r="B51" s="48" t="s">
        <v>455</v>
      </c>
      <c r="C51" s="5" t="s">
        <v>2803</v>
      </c>
    </row>
    <row r="53" spans="1:3">
      <c r="B53" t="s">
        <v>2804</v>
      </c>
      <c r="C53" t="s">
        <v>2805</v>
      </c>
    </row>
  </sheetData>
  <phoneticPr fontId="3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A936F-6C19-4170-88D3-E2C714BC9656}">
  <sheetPr>
    <tabColor rgb="FFFF6600"/>
  </sheetPr>
  <dimension ref="A1:U56"/>
  <sheetViews>
    <sheetView zoomScaleNormal="100" workbookViewId="0">
      <selection activeCell="E11" sqref="E11"/>
    </sheetView>
  </sheetViews>
  <sheetFormatPr defaultColWidth="8.83203125" defaultRowHeight="15" customHeight="1"/>
  <cols>
    <col min="1" max="1" width="43.75" customWidth="1"/>
    <col min="2" max="2" width="14.25" customWidth="1"/>
    <col min="3" max="3" width="14.58203125" customWidth="1"/>
    <col min="4" max="4" width="20.25" customWidth="1"/>
    <col min="5" max="6" width="30.58203125" customWidth="1"/>
    <col min="7" max="7" width="45.1640625" customWidth="1"/>
    <col min="8" max="8" width="77.1640625" customWidth="1"/>
    <col min="9" max="9" width="12.75" customWidth="1"/>
    <col min="10" max="10" width="13.58203125" customWidth="1"/>
    <col min="11" max="11" width="15.25" customWidth="1"/>
    <col min="16" max="16" width="11.25" customWidth="1"/>
  </cols>
  <sheetData>
    <row r="1" spans="1:21" ht="67.5" customHeight="1">
      <c r="A1" s="171" t="s">
        <v>2806</v>
      </c>
      <c r="B1" s="330" t="s">
        <v>2807</v>
      </c>
      <c r="C1" s="331" t="s">
        <v>2808</v>
      </c>
      <c r="D1" s="172" t="s">
        <v>2809</v>
      </c>
      <c r="E1" s="173" t="s">
        <v>2810</v>
      </c>
      <c r="F1" s="303" t="s">
        <v>2811</v>
      </c>
      <c r="G1" s="174" t="s">
        <v>2812</v>
      </c>
      <c r="H1" s="129" t="s">
        <v>2813</v>
      </c>
    </row>
    <row r="2" spans="1:21" ht="65.25" customHeight="1">
      <c r="A2" s="201" t="s">
        <v>28</v>
      </c>
      <c r="B2" s="196">
        <v>3</v>
      </c>
      <c r="C2" s="196">
        <v>3</v>
      </c>
      <c r="D2" s="196" t="s">
        <v>2814</v>
      </c>
      <c r="E2" s="439" t="s">
        <v>456</v>
      </c>
      <c r="F2" s="196"/>
      <c r="G2" s="202" t="s">
        <v>2815</v>
      </c>
      <c r="H2" s="240" t="s">
        <v>2816</v>
      </c>
      <c r="I2" s="455" t="s">
        <v>2817</v>
      </c>
      <c r="J2" s="455"/>
      <c r="K2" s="455"/>
      <c r="L2" s="455"/>
      <c r="M2" s="455"/>
      <c r="N2" s="455"/>
      <c r="O2" s="455"/>
      <c r="P2" s="455"/>
      <c r="Q2" s="455"/>
      <c r="R2" s="455"/>
      <c r="S2" s="455"/>
      <c r="T2" s="455"/>
      <c r="U2" s="455"/>
    </row>
    <row r="3" spans="1:21" ht="17">
      <c r="A3" s="201" t="s">
        <v>2818</v>
      </c>
      <c r="B3" s="196">
        <v>3</v>
      </c>
      <c r="C3" s="196">
        <v>3</v>
      </c>
      <c r="D3" s="196" t="s">
        <v>2819</v>
      </c>
      <c r="E3" s="420" t="s">
        <v>2820</v>
      </c>
      <c r="F3" s="196"/>
      <c r="G3" s="202" t="s">
        <v>2821</v>
      </c>
      <c r="H3" s="130" t="s">
        <v>2822</v>
      </c>
      <c r="I3" s="253" t="s">
        <v>456</v>
      </c>
      <c r="J3" s="254" t="s">
        <v>635</v>
      </c>
      <c r="K3" s="255" t="s">
        <v>459</v>
      </c>
      <c r="L3" s="256" t="s">
        <v>1020</v>
      </c>
      <c r="M3" s="257" t="s">
        <v>927</v>
      </c>
      <c r="N3" s="258" t="s">
        <v>1945</v>
      </c>
      <c r="O3" s="259" t="s">
        <v>2175</v>
      </c>
      <c r="P3" s="276" t="s">
        <v>2061</v>
      </c>
      <c r="Q3" s="337" t="s">
        <v>1939</v>
      </c>
      <c r="R3" s="434" t="s">
        <v>1741</v>
      </c>
      <c r="S3" s="440" t="s">
        <v>2823</v>
      </c>
      <c r="T3" s="337" t="s">
        <v>2824</v>
      </c>
    </row>
    <row r="4" spans="1:21" ht="17">
      <c r="A4" s="201" t="s">
        <v>2825</v>
      </c>
      <c r="B4" s="196">
        <v>1</v>
      </c>
      <c r="C4" s="196">
        <v>1</v>
      </c>
      <c r="D4" s="196" t="s">
        <v>2819</v>
      </c>
      <c r="E4" s="196" t="s">
        <v>2826</v>
      </c>
      <c r="F4" s="196"/>
      <c r="G4" s="202" t="s">
        <v>2827</v>
      </c>
      <c r="H4" s="130" t="s">
        <v>2828</v>
      </c>
      <c r="I4" s="175">
        <v>20</v>
      </c>
      <c r="J4" s="175">
        <v>23</v>
      </c>
      <c r="K4" s="175">
        <v>9</v>
      </c>
      <c r="L4" s="175">
        <v>18</v>
      </c>
      <c r="M4" s="175">
        <v>25</v>
      </c>
      <c r="N4" s="175">
        <v>8</v>
      </c>
      <c r="O4" s="228">
        <v>6</v>
      </c>
      <c r="P4" s="244">
        <v>1</v>
      </c>
      <c r="Q4" s="244"/>
      <c r="R4" s="244"/>
      <c r="S4" s="244"/>
      <c r="T4" s="244"/>
    </row>
    <row r="5" spans="1:21" ht="17">
      <c r="A5" s="201" t="s">
        <v>2829</v>
      </c>
      <c r="B5" s="196">
        <v>3</v>
      </c>
      <c r="C5" s="196">
        <v>3</v>
      </c>
      <c r="D5" s="196" t="s">
        <v>2814</v>
      </c>
      <c r="E5" s="439" t="s">
        <v>456</v>
      </c>
      <c r="F5" s="328"/>
      <c r="G5" s="202" t="s">
        <v>2814</v>
      </c>
      <c r="H5" t="s">
        <v>2830</v>
      </c>
      <c r="I5" s="251">
        <v>7</v>
      </c>
      <c r="J5" s="252">
        <v>5</v>
      </c>
      <c r="K5" s="252">
        <v>8</v>
      </c>
      <c r="L5" s="252">
        <v>5</v>
      </c>
      <c r="M5" s="252">
        <v>14</v>
      </c>
      <c r="N5" s="252">
        <v>9</v>
      </c>
      <c r="O5" s="252">
        <v>8</v>
      </c>
      <c r="P5" s="251">
        <v>1</v>
      </c>
      <c r="Q5" s="252">
        <v>3</v>
      </c>
      <c r="R5" s="252">
        <v>2</v>
      </c>
      <c r="S5" s="252">
        <v>2</v>
      </c>
      <c r="T5" s="252">
        <v>2</v>
      </c>
      <c r="U5" s="252"/>
    </row>
    <row r="6" spans="1:21" s="409" customFormat="1" ht="17">
      <c r="A6" s="411" t="s">
        <v>2831</v>
      </c>
      <c r="B6" s="418">
        <v>3</v>
      </c>
      <c r="C6" s="418">
        <v>3</v>
      </c>
      <c r="D6" s="328" t="s">
        <v>2832</v>
      </c>
      <c r="E6" s="421" t="s">
        <v>927</v>
      </c>
      <c r="F6" s="328"/>
      <c r="G6" s="408" t="s">
        <v>2814</v>
      </c>
      <c r="M6" s="417"/>
      <c r="N6" s="417"/>
      <c r="O6" s="417"/>
      <c r="P6" s="417"/>
    </row>
    <row r="7" spans="1:21" ht="17">
      <c r="A7" s="201" t="s">
        <v>2833</v>
      </c>
      <c r="B7" s="281">
        <v>2</v>
      </c>
      <c r="C7" s="281">
        <v>2</v>
      </c>
      <c r="D7" s="196" t="s">
        <v>2819</v>
      </c>
      <c r="E7" s="196" t="s">
        <v>2834</v>
      </c>
      <c r="F7" s="196"/>
      <c r="G7" s="202"/>
      <c r="H7" t="s">
        <v>2835</v>
      </c>
      <c r="M7" s="148"/>
      <c r="N7" s="148"/>
      <c r="O7" s="148"/>
      <c r="P7" s="148"/>
    </row>
    <row r="8" spans="1:21" ht="17">
      <c r="A8" s="201" t="s">
        <v>126</v>
      </c>
      <c r="B8" s="196">
        <v>3</v>
      </c>
      <c r="C8" s="196">
        <v>3</v>
      </c>
      <c r="D8" s="196"/>
      <c r="E8" s="196" t="s">
        <v>2175</v>
      </c>
      <c r="F8" s="328"/>
      <c r="G8" s="202"/>
      <c r="I8" s="149"/>
      <c r="J8" s="148"/>
      <c r="K8" s="148"/>
      <c r="L8" s="148"/>
      <c r="M8" s="148"/>
      <c r="N8" s="148"/>
      <c r="O8" s="148"/>
      <c r="P8" s="148"/>
    </row>
    <row r="9" spans="1:21" ht="17">
      <c r="A9" s="201" t="s">
        <v>128</v>
      </c>
      <c r="B9" s="196">
        <v>1</v>
      </c>
      <c r="C9" s="196">
        <v>1</v>
      </c>
      <c r="D9" s="196"/>
      <c r="E9" s="196" t="s">
        <v>2836</v>
      </c>
      <c r="F9" s="196"/>
      <c r="G9" s="202"/>
      <c r="I9" s="441"/>
      <c r="J9" s="148"/>
      <c r="K9" s="148"/>
      <c r="L9" s="148"/>
      <c r="M9" s="148"/>
      <c r="N9" s="148"/>
      <c r="O9" s="148"/>
      <c r="P9" s="148"/>
    </row>
    <row r="10" spans="1:21" s="409" customFormat="1" ht="17">
      <c r="A10" s="411" t="s">
        <v>2837</v>
      </c>
      <c r="B10" s="328">
        <v>3</v>
      </c>
      <c r="C10" s="328">
        <v>3</v>
      </c>
      <c r="D10" s="328" t="s">
        <v>2832</v>
      </c>
      <c r="E10" s="413" t="s">
        <v>2814</v>
      </c>
      <c r="F10" s="413"/>
      <c r="G10" s="408" t="s">
        <v>2814</v>
      </c>
      <c r="I10" s="417"/>
      <c r="J10" s="417"/>
      <c r="K10" s="417"/>
      <c r="L10" s="417"/>
      <c r="M10" s="417"/>
      <c r="N10" s="417"/>
      <c r="O10" s="417"/>
      <c r="P10" s="417"/>
    </row>
    <row r="11" spans="1:21" ht="17">
      <c r="A11" s="201" t="s">
        <v>2838</v>
      </c>
      <c r="B11" s="196">
        <v>2</v>
      </c>
      <c r="C11" s="196">
        <v>3</v>
      </c>
      <c r="D11" s="196"/>
      <c r="E11" s="196" t="s">
        <v>2839</v>
      </c>
      <c r="F11" s="196"/>
      <c r="G11" s="202"/>
      <c r="I11" s="148"/>
      <c r="J11" s="148"/>
      <c r="K11" s="148"/>
      <c r="L11" s="148"/>
      <c r="M11" s="148"/>
      <c r="N11" s="148"/>
      <c r="O11" s="148"/>
      <c r="P11" s="148"/>
    </row>
    <row r="12" spans="1:21" ht="17">
      <c r="A12" s="201" t="s">
        <v>136</v>
      </c>
      <c r="B12" s="196">
        <v>2</v>
      </c>
      <c r="C12" s="196">
        <v>3</v>
      </c>
      <c r="D12" s="196"/>
      <c r="E12" s="422" t="s">
        <v>2840</v>
      </c>
      <c r="F12" s="423"/>
      <c r="G12" s="202" t="s">
        <v>2841</v>
      </c>
      <c r="H12" s="250" t="s">
        <v>2842</v>
      </c>
    </row>
    <row r="13" spans="1:21" ht="17">
      <c r="A13" s="201" t="s">
        <v>138</v>
      </c>
      <c r="B13" s="196">
        <v>2</v>
      </c>
      <c r="C13" s="196">
        <v>2</v>
      </c>
      <c r="D13" s="196"/>
      <c r="E13" s="196" t="s">
        <v>2843</v>
      </c>
      <c r="F13" s="423"/>
      <c r="H13" s="250" t="s">
        <v>2844</v>
      </c>
      <c r="I13" s="456"/>
      <c r="J13" s="457"/>
      <c r="K13" s="457"/>
      <c r="L13" s="457"/>
      <c r="M13" s="457"/>
      <c r="N13" s="457"/>
      <c r="O13" s="457"/>
      <c r="P13" s="457"/>
      <c r="Q13" s="457"/>
      <c r="R13" s="457"/>
      <c r="S13" s="457"/>
      <c r="T13" s="457"/>
    </row>
    <row r="14" spans="1:21" ht="17">
      <c r="A14" s="201" t="s">
        <v>2845</v>
      </c>
      <c r="B14" s="196">
        <v>2</v>
      </c>
      <c r="C14" s="196">
        <v>2</v>
      </c>
      <c r="D14" s="196"/>
      <c r="E14" s="424" t="s">
        <v>2846</v>
      </c>
      <c r="F14" s="196"/>
      <c r="G14" s="202" t="s">
        <v>2847</v>
      </c>
      <c r="H14" t="s">
        <v>2848</v>
      </c>
    </row>
    <row r="15" spans="1:21" ht="17">
      <c r="A15" s="201" t="s">
        <v>2849</v>
      </c>
      <c r="B15" s="196">
        <v>3</v>
      </c>
      <c r="C15" s="196">
        <v>3</v>
      </c>
      <c r="D15" s="196"/>
      <c r="E15" s="420" t="s">
        <v>927</v>
      </c>
      <c r="F15" s="196"/>
      <c r="G15" s="202"/>
      <c r="H15" t="s">
        <v>2850</v>
      </c>
    </row>
    <row r="16" spans="1:21" ht="17">
      <c r="A16" s="201" t="s">
        <v>2851</v>
      </c>
      <c r="B16" s="196">
        <v>1</v>
      </c>
      <c r="C16" s="196">
        <v>2</v>
      </c>
      <c r="D16" s="196" t="s">
        <v>2819</v>
      </c>
      <c r="E16" s="196" t="s">
        <v>2834</v>
      </c>
      <c r="F16" s="196"/>
      <c r="G16" s="202"/>
    </row>
    <row r="17" spans="1:8" ht="17">
      <c r="A17" s="201" t="s">
        <v>2852</v>
      </c>
      <c r="B17" s="196">
        <v>3</v>
      </c>
      <c r="C17" s="196">
        <v>3</v>
      </c>
      <c r="D17" s="196" t="s">
        <v>2819</v>
      </c>
      <c r="E17" s="425" t="s">
        <v>927</v>
      </c>
      <c r="F17" s="426"/>
      <c r="G17" s="202" t="s">
        <v>2814</v>
      </c>
      <c r="H17" t="s">
        <v>2853</v>
      </c>
    </row>
    <row r="18" spans="1:8" ht="17">
      <c r="A18" s="201" t="s">
        <v>2854</v>
      </c>
      <c r="B18" s="196">
        <v>2</v>
      </c>
      <c r="C18" s="196">
        <v>3</v>
      </c>
      <c r="D18" s="196"/>
      <c r="E18" s="427" t="s">
        <v>2855</v>
      </c>
      <c r="F18" s="426"/>
      <c r="G18" s="202" t="s">
        <v>2856</v>
      </c>
      <c r="H18" t="s">
        <v>2857</v>
      </c>
    </row>
    <row r="19" spans="1:8" ht="17">
      <c r="A19" s="201" t="s">
        <v>2858</v>
      </c>
      <c r="B19" s="196">
        <v>3</v>
      </c>
      <c r="C19" s="196">
        <v>3</v>
      </c>
      <c r="D19" s="196"/>
      <c r="E19" s="428" t="s">
        <v>1945</v>
      </c>
      <c r="F19" s="429"/>
      <c r="G19" s="202"/>
      <c r="H19" t="s">
        <v>2859</v>
      </c>
    </row>
    <row r="20" spans="1:8" ht="17">
      <c r="A20" s="201" t="s">
        <v>2860</v>
      </c>
      <c r="B20" s="196">
        <v>3</v>
      </c>
      <c r="C20" s="196">
        <v>3</v>
      </c>
      <c r="D20" s="196"/>
      <c r="E20" s="420" t="s">
        <v>927</v>
      </c>
      <c r="F20" s="196"/>
      <c r="G20" s="202"/>
      <c r="H20" t="s">
        <v>2861</v>
      </c>
    </row>
    <row r="21" spans="1:8" ht="17">
      <c r="A21" s="201" t="s">
        <v>2862</v>
      </c>
      <c r="B21" s="196">
        <v>2</v>
      </c>
      <c r="C21" s="196">
        <v>2</v>
      </c>
      <c r="D21" s="196"/>
      <c r="E21" s="439" t="s">
        <v>2863</v>
      </c>
      <c r="F21" s="430"/>
      <c r="G21" s="202"/>
      <c r="H21" t="s">
        <v>2864</v>
      </c>
    </row>
    <row r="22" spans="1:8" s="409" customFormat="1" ht="30">
      <c r="A22" s="411" t="s">
        <v>2865</v>
      </c>
      <c r="B22" s="328"/>
      <c r="C22" s="328"/>
      <c r="D22" s="328" t="s">
        <v>2832</v>
      </c>
      <c r="E22" s="328" t="s">
        <v>2866</v>
      </c>
      <c r="F22" s="328"/>
      <c r="G22" s="408" t="s">
        <v>2867</v>
      </c>
    </row>
    <row r="23" spans="1:8" ht="17">
      <c r="A23" s="201" t="s">
        <v>2868</v>
      </c>
      <c r="B23" s="196">
        <v>2</v>
      </c>
      <c r="C23" s="196">
        <v>3</v>
      </c>
      <c r="D23" s="196" t="s">
        <v>2814</v>
      </c>
      <c r="E23" s="431" t="s">
        <v>2869</v>
      </c>
      <c r="F23" s="196"/>
      <c r="G23" s="202"/>
    </row>
    <row r="24" spans="1:8" ht="17">
      <c r="A24" s="201" t="s">
        <v>166</v>
      </c>
      <c r="B24" s="196">
        <v>1</v>
      </c>
      <c r="C24" s="196">
        <v>3</v>
      </c>
      <c r="D24" s="196"/>
      <c r="E24" s="196" t="s">
        <v>2870</v>
      </c>
      <c r="F24" s="196"/>
      <c r="G24" s="202"/>
    </row>
    <row r="25" spans="1:8" s="409" customFormat="1" ht="17">
      <c r="A25" s="410" t="s">
        <v>2871</v>
      </c>
      <c r="B25" s="304"/>
      <c r="C25" s="304"/>
      <c r="D25" s="304"/>
      <c r="E25" s="442" t="s">
        <v>2872</v>
      </c>
      <c r="F25" s="432"/>
    </row>
    <row r="26" spans="1:8" ht="17">
      <c r="A26" s="201" t="s">
        <v>2873</v>
      </c>
      <c r="B26" s="196">
        <v>3</v>
      </c>
      <c r="C26" s="196">
        <v>3</v>
      </c>
      <c r="D26" s="196" t="s">
        <v>2819</v>
      </c>
      <c r="E26" s="439" t="s">
        <v>456</v>
      </c>
      <c r="F26" s="196"/>
      <c r="G26" s="202"/>
    </row>
    <row r="27" spans="1:8" s="409" customFormat="1" ht="17">
      <c r="A27" s="411" t="s">
        <v>170</v>
      </c>
      <c r="B27" s="328"/>
      <c r="C27" s="328"/>
      <c r="D27" s="328" t="s">
        <v>2832</v>
      </c>
      <c r="E27" s="328" t="s">
        <v>2874</v>
      </c>
      <c r="F27" s="328"/>
      <c r="G27" s="408" t="s">
        <v>2875</v>
      </c>
    </row>
    <row r="28" spans="1:8" ht="17">
      <c r="A28" s="201" t="s">
        <v>172</v>
      </c>
      <c r="B28" s="196">
        <v>3</v>
      </c>
      <c r="C28" s="196">
        <v>3</v>
      </c>
      <c r="D28" s="196"/>
      <c r="E28" s="433" t="s">
        <v>1020</v>
      </c>
      <c r="F28" s="196"/>
      <c r="G28" s="202"/>
    </row>
    <row r="29" spans="1:8" ht="17">
      <c r="A29" s="278" t="s">
        <v>2876</v>
      </c>
      <c r="B29" s="279">
        <v>2</v>
      </c>
      <c r="C29" s="279">
        <v>3</v>
      </c>
      <c r="D29" s="279"/>
      <c r="E29" s="443" t="s">
        <v>2877</v>
      </c>
      <c r="F29" s="279"/>
      <c r="G29" s="280"/>
      <c r="H29" t="s">
        <v>2878</v>
      </c>
    </row>
    <row r="30" spans="1:8" ht="17">
      <c r="A30" s="278" t="s">
        <v>2879</v>
      </c>
      <c r="B30">
        <v>3</v>
      </c>
      <c r="C30">
        <v>3</v>
      </c>
      <c r="D30" s="196" t="s">
        <v>2819</v>
      </c>
      <c r="E30" s="443" t="s">
        <v>927</v>
      </c>
      <c r="F30" s="279"/>
      <c r="G30" s="280"/>
    </row>
    <row r="31" spans="1:8" ht="17">
      <c r="A31" s="201" t="s">
        <v>176</v>
      </c>
      <c r="B31" s="196">
        <v>1</v>
      </c>
      <c r="C31" s="196">
        <v>2</v>
      </c>
      <c r="D31" s="196"/>
      <c r="E31" s="196" t="s">
        <v>2880</v>
      </c>
      <c r="F31" s="196"/>
      <c r="G31" s="202"/>
    </row>
    <row r="32" spans="1:8" s="409" customFormat="1" ht="17">
      <c r="A32" s="411" t="s">
        <v>2881</v>
      </c>
      <c r="B32" s="328"/>
      <c r="C32" s="328"/>
      <c r="D32" s="328"/>
      <c r="E32" s="421" t="s">
        <v>2882</v>
      </c>
      <c r="F32" s="328"/>
      <c r="G32" s="408"/>
    </row>
    <row r="33" spans="1:7" ht="17">
      <c r="A33" s="201" t="s">
        <v>178</v>
      </c>
      <c r="B33" s="196">
        <v>2</v>
      </c>
      <c r="C33" s="196">
        <v>2</v>
      </c>
      <c r="D33" s="196"/>
      <c r="E33" s="196" t="s">
        <v>456</v>
      </c>
      <c r="F33" s="196"/>
      <c r="G33" s="202"/>
    </row>
    <row r="34" spans="1:7" ht="17">
      <c r="A34" s="201" t="s">
        <v>2883</v>
      </c>
      <c r="B34" s="196">
        <v>2</v>
      </c>
      <c r="C34" s="196">
        <v>2</v>
      </c>
      <c r="D34" s="196" t="s">
        <v>2819</v>
      </c>
      <c r="E34" s="420" t="s">
        <v>2884</v>
      </c>
      <c r="F34" s="196"/>
      <c r="G34" s="202" t="s">
        <v>2885</v>
      </c>
    </row>
    <row r="35" spans="1:7" ht="17">
      <c r="A35" s="201" t="s">
        <v>2886</v>
      </c>
      <c r="B35" s="196">
        <v>1</v>
      </c>
      <c r="C35" s="196">
        <v>2</v>
      </c>
      <c r="D35" s="196" t="s">
        <v>2819</v>
      </c>
      <c r="E35" s="196" t="s">
        <v>2887</v>
      </c>
      <c r="F35" s="196"/>
      <c r="G35" s="202"/>
    </row>
    <row r="36" spans="1:7" s="409" customFormat="1" ht="17">
      <c r="A36" s="411" t="s">
        <v>2888</v>
      </c>
      <c r="B36" s="328"/>
      <c r="C36" s="328"/>
      <c r="D36" s="412"/>
      <c r="E36" s="328" t="s">
        <v>2889</v>
      </c>
      <c r="F36" s="328"/>
      <c r="G36" s="408"/>
    </row>
    <row r="37" spans="1:7" ht="17">
      <c r="A37" s="201" t="s">
        <v>2890</v>
      </c>
      <c r="B37" s="196">
        <v>1</v>
      </c>
      <c r="C37" s="196">
        <v>3</v>
      </c>
      <c r="D37" s="196" t="s">
        <v>2819</v>
      </c>
      <c r="E37" s="196" t="s">
        <v>2891</v>
      </c>
      <c r="F37" s="196"/>
      <c r="G37" s="202" t="s">
        <v>2814</v>
      </c>
    </row>
    <row r="38" spans="1:7" ht="17">
      <c r="A38" s="201" t="s">
        <v>2892</v>
      </c>
      <c r="B38" s="196">
        <v>3</v>
      </c>
      <c r="C38" s="196">
        <v>3</v>
      </c>
      <c r="D38" s="279"/>
      <c r="E38" s="443" t="s">
        <v>927</v>
      </c>
      <c r="F38" s="443"/>
      <c r="G38" s="280"/>
    </row>
    <row r="39" spans="1:7" s="409" customFormat="1" ht="17">
      <c r="A39" s="411" t="s">
        <v>2893</v>
      </c>
      <c r="B39" s="328"/>
      <c r="C39" s="328"/>
      <c r="D39" s="328"/>
      <c r="E39" s="430" t="s">
        <v>2894</v>
      </c>
      <c r="F39" s="304"/>
      <c r="G39" s="408"/>
    </row>
    <row r="40" spans="1:7" ht="17">
      <c r="A40" s="201" t="s">
        <v>2895</v>
      </c>
      <c r="B40" s="196">
        <v>2</v>
      </c>
      <c r="C40" s="196">
        <v>3</v>
      </c>
      <c r="D40" s="196" t="s">
        <v>2819</v>
      </c>
      <c r="E40" s="196" t="s">
        <v>2896</v>
      </c>
      <c r="F40" s="196"/>
      <c r="G40" s="202"/>
    </row>
    <row r="41" spans="1:7" ht="17">
      <c r="A41" s="201" t="s">
        <v>2897</v>
      </c>
      <c r="B41" s="196">
        <v>1</v>
      </c>
      <c r="C41" s="196">
        <v>3</v>
      </c>
      <c r="D41" s="196"/>
      <c r="E41" s="196" t="s">
        <v>2898</v>
      </c>
      <c r="F41" s="196"/>
      <c r="G41" s="202"/>
    </row>
    <row r="42" spans="1:7" s="409" customFormat="1" ht="17">
      <c r="A42" s="411" t="s">
        <v>2899</v>
      </c>
      <c r="B42" s="328"/>
      <c r="C42" s="328"/>
      <c r="D42" s="328"/>
      <c r="E42" s="328" t="s">
        <v>2882</v>
      </c>
      <c r="F42" s="328"/>
      <c r="G42" s="408"/>
    </row>
    <row r="43" spans="1:7" s="409" customFormat="1" ht="17">
      <c r="A43" s="411" t="s">
        <v>2900</v>
      </c>
      <c r="B43" s="328"/>
      <c r="C43" s="328"/>
      <c r="D43" s="328" t="s">
        <v>2832</v>
      </c>
      <c r="E43" s="328" t="s">
        <v>2901</v>
      </c>
      <c r="F43" s="328"/>
      <c r="G43" s="408"/>
    </row>
    <row r="44" spans="1:7" ht="17">
      <c r="A44" s="201" t="s">
        <v>211</v>
      </c>
      <c r="B44" s="281">
        <v>3</v>
      </c>
      <c r="C44" s="281">
        <v>3</v>
      </c>
      <c r="E44" s="196" t="s">
        <v>927</v>
      </c>
      <c r="F44" s="196"/>
      <c r="G44" s="202"/>
    </row>
    <row r="45" spans="1:7" s="409" customFormat="1" ht="17">
      <c r="A45" s="411" t="s">
        <v>2902</v>
      </c>
      <c r="B45" s="328"/>
      <c r="C45" s="328"/>
      <c r="D45" s="328" t="s">
        <v>2832</v>
      </c>
      <c r="E45" s="413"/>
      <c r="F45" s="413"/>
      <c r="G45" s="408"/>
    </row>
    <row r="46" spans="1:7" ht="30.75" customHeight="1">
      <c r="A46" s="201" t="s">
        <v>2903</v>
      </c>
      <c r="B46" s="196">
        <v>2</v>
      </c>
      <c r="C46" s="196">
        <v>2</v>
      </c>
      <c r="D46" s="196" t="s">
        <v>2819</v>
      </c>
      <c r="E46" s="196" t="s">
        <v>2904</v>
      </c>
      <c r="F46" s="196"/>
      <c r="G46" s="202"/>
    </row>
    <row r="47" spans="1:7" ht="21" customHeight="1">
      <c r="A47" s="201" t="s">
        <v>2905</v>
      </c>
      <c r="B47" s="196">
        <v>3</v>
      </c>
      <c r="C47" s="196">
        <v>3</v>
      </c>
      <c r="D47" s="203"/>
      <c r="E47" s="414" t="s">
        <v>459</v>
      </c>
      <c r="F47" s="196"/>
      <c r="G47" s="202"/>
    </row>
    <row r="48" spans="1:7" ht="21.75" customHeight="1">
      <c r="A48" s="201" t="s">
        <v>2906</v>
      </c>
      <c r="B48" s="196">
        <v>1</v>
      </c>
      <c r="C48" s="196">
        <v>3</v>
      </c>
      <c r="D48" s="196"/>
      <c r="E48" s="196" t="s">
        <v>2907</v>
      </c>
      <c r="F48" s="196"/>
      <c r="G48" s="202"/>
    </row>
    <row r="49" spans="1:7" s="409" customFormat="1" ht="17">
      <c r="A49" s="411" t="s">
        <v>2908</v>
      </c>
      <c r="B49" s="328"/>
      <c r="C49" s="328"/>
      <c r="D49" s="328" t="s">
        <v>2832</v>
      </c>
      <c r="E49" s="415" t="s">
        <v>2909</v>
      </c>
      <c r="F49" s="415"/>
      <c r="G49" s="408" t="s">
        <v>2814</v>
      </c>
    </row>
    <row r="50" spans="1:7" ht="17">
      <c r="A50" s="260" t="s">
        <v>2910</v>
      </c>
      <c r="B50" s="204">
        <v>3</v>
      </c>
      <c r="C50" s="204">
        <v>3</v>
      </c>
      <c r="D50" s="204"/>
      <c r="E50" s="416" t="s">
        <v>2911</v>
      </c>
      <c r="F50" s="282"/>
      <c r="G50" s="205"/>
    </row>
    <row r="51" spans="1:7" ht="17">
      <c r="A51" s="281" t="s">
        <v>2912</v>
      </c>
      <c r="B51" s="281">
        <v>1</v>
      </c>
      <c r="C51" s="281">
        <v>1</v>
      </c>
      <c r="D51" s="196" t="s">
        <v>2819</v>
      </c>
      <c r="E51" s="281" t="s">
        <v>2913</v>
      </c>
      <c r="F51" s="282"/>
      <c r="G51" s="200" t="s">
        <v>2914</v>
      </c>
    </row>
    <row r="52" spans="1:7" ht="193.5" customHeight="1">
      <c r="A52" s="281" t="s">
        <v>2915</v>
      </c>
      <c r="B52" s="281">
        <v>2</v>
      </c>
      <c r="C52" s="281">
        <v>3</v>
      </c>
      <c r="D52" s="281" t="s">
        <v>2814</v>
      </c>
      <c r="E52" s="281" t="s">
        <v>2834</v>
      </c>
      <c r="F52" s="281"/>
      <c r="G52" s="200" t="s">
        <v>2814</v>
      </c>
    </row>
    <row r="53" spans="1:7" ht="33" customHeight="1">
      <c r="A53" s="281" t="s">
        <v>2916</v>
      </c>
      <c r="B53" s="281">
        <v>2</v>
      </c>
      <c r="C53" s="281">
        <v>3</v>
      </c>
      <c r="D53" s="196" t="s">
        <v>2819</v>
      </c>
      <c r="E53" s="281" t="s">
        <v>2917</v>
      </c>
      <c r="F53" s="281"/>
      <c r="G53" s="200"/>
    </row>
    <row r="54" spans="1:7" ht="15" customHeight="1">
      <c r="A54" s="281" t="s">
        <v>2918</v>
      </c>
      <c r="B54" s="281">
        <v>1</v>
      </c>
      <c r="C54" s="281">
        <v>1</v>
      </c>
      <c r="D54" s="281"/>
      <c r="E54" s="453" t="s">
        <v>2919</v>
      </c>
      <c r="F54" t="s">
        <v>2920</v>
      </c>
      <c r="G54" s="200"/>
    </row>
    <row r="55" spans="1:7" ht="15" customHeight="1">
      <c r="A55" s="281" t="s">
        <v>254</v>
      </c>
      <c r="B55" s="281">
        <v>3</v>
      </c>
      <c r="C55" s="281">
        <v>3</v>
      </c>
      <c r="D55" s="281"/>
      <c r="E55" s="419" t="s">
        <v>635</v>
      </c>
      <c r="F55" s="305"/>
      <c r="G55" s="200"/>
    </row>
    <row r="56" spans="1:7" ht="15" customHeight="1">
      <c r="A56" s="281"/>
      <c r="B56" s="281"/>
      <c r="C56" s="281"/>
      <c r="D56" s="281"/>
      <c r="E56" s="200"/>
      <c r="F56" s="200"/>
      <c r="G56" s="200"/>
    </row>
  </sheetData>
  <mergeCells count="2">
    <mergeCell ref="I2:U2"/>
    <mergeCell ref="I13:T13"/>
  </mergeCells>
  <phoneticPr fontId="39" type="noConversion"/>
  <pageMargins left="0.7" right="0.7" top="0.75" bottom="0.75" header="0.3" footer="0.3"/>
  <pageSetup orientation="landscape"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46CCB-95BA-4D56-A9B1-ADCF29C2DE3E}">
  <sheetPr>
    <tabColor rgb="FF00B050"/>
  </sheetPr>
  <dimension ref="A1:J59"/>
  <sheetViews>
    <sheetView topLeftCell="A19" zoomScaleNormal="100" workbookViewId="0">
      <selection activeCell="C19" sqref="C19"/>
    </sheetView>
  </sheetViews>
  <sheetFormatPr defaultColWidth="8.83203125" defaultRowHeight="17"/>
  <cols>
    <col min="1" max="1" width="10.75" customWidth="1"/>
    <col min="2" max="2" width="97.25" customWidth="1"/>
    <col min="3" max="3" width="21" customWidth="1"/>
    <col min="4" max="4" width="15.1640625" customWidth="1"/>
    <col min="6" max="6" width="12.58203125" customWidth="1"/>
    <col min="7" max="7" width="8.83203125" bestFit="1" customWidth="1"/>
  </cols>
  <sheetData>
    <row r="1" spans="1:10">
      <c r="A1" t="s">
        <v>418</v>
      </c>
      <c r="B1" t="s">
        <v>2921</v>
      </c>
      <c r="C1" t="s">
        <v>2922</v>
      </c>
      <c r="D1" t="s">
        <v>2923</v>
      </c>
      <c r="E1" t="s">
        <v>2924</v>
      </c>
      <c r="F1" t="s">
        <v>2925</v>
      </c>
      <c r="G1" t="s">
        <v>2926</v>
      </c>
      <c r="H1" t="s">
        <v>2927</v>
      </c>
      <c r="I1" t="s">
        <v>2928</v>
      </c>
      <c r="J1" t="s">
        <v>2929</v>
      </c>
    </row>
    <row r="2" spans="1:10">
      <c r="A2" t="s">
        <v>612</v>
      </c>
      <c r="B2" t="s">
        <v>2930</v>
      </c>
      <c r="C2" t="s">
        <v>2931</v>
      </c>
      <c r="D2" t="s">
        <v>2932</v>
      </c>
      <c r="G2" t="s">
        <v>2933</v>
      </c>
      <c r="H2">
        <v>1</v>
      </c>
    </row>
    <row r="3" spans="1:10">
      <c r="A3" t="s">
        <v>459</v>
      </c>
      <c r="B3" t="s">
        <v>2934</v>
      </c>
      <c r="C3" t="s">
        <v>2935</v>
      </c>
      <c r="D3" t="s">
        <v>2932</v>
      </c>
    </row>
    <row r="4" spans="1:10">
      <c r="A4" t="s">
        <v>612</v>
      </c>
      <c r="B4" t="s">
        <v>2936</v>
      </c>
      <c r="C4" t="s">
        <v>2931</v>
      </c>
      <c r="D4" t="s">
        <v>2932</v>
      </c>
      <c r="F4" t="s">
        <v>2937</v>
      </c>
      <c r="G4" t="s">
        <v>2938</v>
      </c>
    </row>
    <row r="5" spans="1:10">
      <c r="A5" t="s">
        <v>459</v>
      </c>
      <c r="B5" t="s">
        <v>2939</v>
      </c>
      <c r="C5" t="s">
        <v>2940</v>
      </c>
      <c r="D5" t="s">
        <v>2941</v>
      </c>
      <c r="G5" t="s">
        <v>2942</v>
      </c>
      <c r="I5" t="s">
        <v>2943</v>
      </c>
    </row>
    <row r="6" spans="1:10">
      <c r="A6" t="s">
        <v>612</v>
      </c>
      <c r="B6" t="s">
        <v>2944</v>
      </c>
      <c r="C6" t="s">
        <v>2945</v>
      </c>
      <c r="D6" t="s">
        <v>2946</v>
      </c>
    </row>
    <row r="7" spans="1:10">
      <c r="A7" t="s">
        <v>456</v>
      </c>
      <c r="B7" t="s">
        <v>2947</v>
      </c>
      <c r="C7" t="s">
        <v>2948</v>
      </c>
      <c r="D7" t="s">
        <v>2932</v>
      </c>
      <c r="G7" t="s">
        <v>2949</v>
      </c>
      <c r="I7" t="s">
        <v>2950</v>
      </c>
      <c r="J7" t="s">
        <v>2951</v>
      </c>
    </row>
    <row r="8" spans="1:10">
      <c r="A8" t="s">
        <v>456</v>
      </c>
      <c r="B8" t="s">
        <v>2952</v>
      </c>
      <c r="C8" t="s">
        <v>2953</v>
      </c>
      <c r="D8" t="s">
        <v>2932</v>
      </c>
      <c r="F8" t="s">
        <v>2954</v>
      </c>
      <c r="H8">
        <v>1</v>
      </c>
    </row>
    <row r="9" spans="1:10">
      <c r="A9" t="s">
        <v>456</v>
      </c>
      <c r="B9" t="s">
        <v>2955</v>
      </c>
    </row>
    <row r="10" spans="1:10">
      <c r="A10" t="s">
        <v>456</v>
      </c>
      <c r="B10" t="s">
        <v>2956</v>
      </c>
      <c r="D10" t="s">
        <v>2932</v>
      </c>
    </row>
    <row r="11" spans="1:10">
      <c r="A11" t="s">
        <v>456</v>
      </c>
      <c r="B11" t="s">
        <v>2957</v>
      </c>
      <c r="C11" t="s">
        <v>2958</v>
      </c>
      <c r="D11" t="s">
        <v>2946</v>
      </c>
    </row>
    <row r="12" spans="1:10" hidden="1">
      <c r="A12" t="s">
        <v>456</v>
      </c>
      <c r="B12" t="s">
        <v>2959</v>
      </c>
      <c r="C12" t="s">
        <v>2960</v>
      </c>
      <c r="D12" t="s">
        <v>2946</v>
      </c>
    </row>
    <row r="13" spans="1:10" hidden="1">
      <c r="A13" t="s">
        <v>537</v>
      </c>
      <c r="B13" t="s">
        <v>2961</v>
      </c>
      <c r="D13" t="s">
        <v>2946</v>
      </c>
    </row>
    <row r="14" spans="1:10">
      <c r="A14" s="126" t="s">
        <v>506</v>
      </c>
      <c r="B14" s="126" t="s">
        <v>2962</v>
      </c>
      <c r="C14" s="126"/>
      <c r="D14" s="126" t="s">
        <v>2932</v>
      </c>
      <c r="I14" t="s">
        <v>2963</v>
      </c>
    </row>
    <row r="15" spans="1:10" hidden="1">
      <c r="A15" t="s">
        <v>506</v>
      </c>
      <c r="B15" t="s">
        <v>2964</v>
      </c>
      <c r="D15" t="s">
        <v>2946</v>
      </c>
    </row>
    <row r="16" spans="1:10" hidden="1">
      <c r="A16" t="s">
        <v>506</v>
      </c>
      <c r="B16" t="s">
        <v>2965</v>
      </c>
      <c r="D16" t="s">
        <v>2946</v>
      </c>
    </row>
    <row r="17" spans="1:9">
      <c r="A17" t="s">
        <v>464</v>
      </c>
      <c r="B17" t="s">
        <v>2966</v>
      </c>
      <c r="C17" t="s">
        <v>927</v>
      </c>
      <c r="D17" t="s">
        <v>2932</v>
      </c>
    </row>
    <row r="18" spans="1:9">
      <c r="A18" t="s">
        <v>464</v>
      </c>
      <c r="B18" t="s">
        <v>2967</v>
      </c>
      <c r="C18" t="s">
        <v>2968</v>
      </c>
      <c r="D18" t="s">
        <v>2932</v>
      </c>
    </row>
    <row r="19" spans="1:9">
      <c r="A19" t="s">
        <v>464</v>
      </c>
      <c r="B19" t="s">
        <v>2969</v>
      </c>
      <c r="D19" t="s">
        <v>2946</v>
      </c>
      <c r="F19">
        <v>2023</v>
      </c>
      <c r="I19" t="s">
        <v>2970</v>
      </c>
    </row>
    <row r="20" spans="1:9">
      <c r="A20" t="s">
        <v>464</v>
      </c>
      <c r="B20" t="s">
        <v>2971</v>
      </c>
      <c r="D20" t="s">
        <v>2946</v>
      </c>
      <c r="I20" t="s">
        <v>2972</v>
      </c>
    </row>
    <row r="21" spans="1:9">
      <c r="A21" t="s">
        <v>506</v>
      </c>
      <c r="B21" t="s">
        <v>2973</v>
      </c>
      <c r="D21" t="s">
        <v>2932</v>
      </c>
      <c r="I21" t="s">
        <v>2974</v>
      </c>
    </row>
    <row r="22" spans="1:9">
      <c r="A22" t="s">
        <v>2975</v>
      </c>
      <c r="B22" t="s">
        <v>2976</v>
      </c>
      <c r="C22" t="s">
        <v>2977</v>
      </c>
      <c r="D22" t="s">
        <v>2946</v>
      </c>
      <c r="I22" t="s">
        <v>2978</v>
      </c>
    </row>
    <row r="23" spans="1:9">
      <c r="A23" t="s">
        <v>482</v>
      </c>
      <c r="B23" t="s">
        <v>2979</v>
      </c>
      <c r="C23" t="s">
        <v>2980</v>
      </c>
      <c r="D23" t="s">
        <v>2932</v>
      </c>
      <c r="F23" t="s">
        <v>2981</v>
      </c>
    </row>
    <row r="24" spans="1:9">
      <c r="A24" t="s">
        <v>635</v>
      </c>
      <c r="B24" t="s">
        <v>2982</v>
      </c>
      <c r="C24" t="s">
        <v>2960</v>
      </c>
      <c r="D24" t="s">
        <v>2932</v>
      </c>
    </row>
    <row r="25" spans="1:9">
      <c r="A25" t="s">
        <v>635</v>
      </c>
      <c r="B25" t="s">
        <v>2983</v>
      </c>
      <c r="C25" t="s">
        <v>783</v>
      </c>
      <c r="D25" t="s">
        <v>2932</v>
      </c>
      <c r="F25" t="s">
        <v>2954</v>
      </c>
    </row>
    <row r="26" spans="1:9">
      <c r="A26" t="s">
        <v>635</v>
      </c>
      <c r="B26" t="s">
        <v>2984</v>
      </c>
      <c r="C26" t="s">
        <v>2985</v>
      </c>
      <c r="D26" t="s">
        <v>38</v>
      </c>
      <c r="I26" t="s">
        <v>2986</v>
      </c>
    </row>
    <row r="27" spans="1:9">
      <c r="A27" t="s">
        <v>635</v>
      </c>
      <c r="B27" t="s">
        <v>2987</v>
      </c>
      <c r="C27" t="s">
        <v>2988</v>
      </c>
      <c r="D27" t="s">
        <v>2932</v>
      </c>
    </row>
    <row r="28" spans="1:9">
      <c r="A28" t="s">
        <v>2989</v>
      </c>
      <c r="B28" t="s">
        <v>2990</v>
      </c>
      <c r="C28" t="s">
        <v>2991</v>
      </c>
      <c r="D28" t="s">
        <v>2946</v>
      </c>
    </row>
    <row r="29" spans="1:9">
      <c r="A29" t="s">
        <v>635</v>
      </c>
      <c r="B29" t="s">
        <v>2992</v>
      </c>
      <c r="C29" t="s">
        <v>482</v>
      </c>
      <c r="D29" t="s">
        <v>2932</v>
      </c>
    </row>
    <row r="30" spans="1:9">
      <c r="A30" t="s">
        <v>635</v>
      </c>
      <c r="B30" t="s">
        <v>2993</v>
      </c>
      <c r="C30" t="s">
        <v>783</v>
      </c>
      <c r="D30" t="s">
        <v>2932</v>
      </c>
      <c r="I30" t="s">
        <v>2994</v>
      </c>
    </row>
    <row r="31" spans="1:9">
      <c r="A31" t="s">
        <v>2960</v>
      </c>
      <c r="B31" t="s">
        <v>2995</v>
      </c>
      <c r="D31" t="s">
        <v>2946</v>
      </c>
    </row>
    <row r="32" spans="1:9">
      <c r="A32" t="s">
        <v>635</v>
      </c>
      <c r="B32" t="s">
        <v>2996</v>
      </c>
      <c r="C32" t="s">
        <v>2960</v>
      </c>
      <c r="D32" t="s">
        <v>2946</v>
      </c>
    </row>
    <row r="33" spans="1:9">
      <c r="A33" t="s">
        <v>783</v>
      </c>
      <c r="B33" t="s">
        <v>2997</v>
      </c>
      <c r="D33" t="s">
        <v>2946</v>
      </c>
    </row>
    <row r="34" spans="1:9">
      <c r="A34" t="s">
        <v>537</v>
      </c>
      <c r="B34" t="s">
        <v>2997</v>
      </c>
      <c r="D34" t="s">
        <v>2946</v>
      </c>
    </row>
    <row r="35" spans="1:9">
      <c r="A35" t="s">
        <v>2998</v>
      </c>
      <c r="B35" t="s">
        <v>2997</v>
      </c>
      <c r="D35" t="s">
        <v>2946</v>
      </c>
    </row>
    <row r="36" spans="1:9">
      <c r="A36" t="s">
        <v>2998</v>
      </c>
      <c r="B36" t="s">
        <v>2999</v>
      </c>
      <c r="D36" t="s">
        <v>2946</v>
      </c>
    </row>
    <row r="37" spans="1:9">
      <c r="A37" t="s">
        <v>3000</v>
      </c>
      <c r="B37" t="s">
        <v>3001</v>
      </c>
      <c r="D37" t="s">
        <v>2932</v>
      </c>
      <c r="I37" t="s">
        <v>3002</v>
      </c>
    </row>
    <row r="38" spans="1:9">
      <c r="A38" t="s">
        <v>3003</v>
      </c>
      <c r="B38" t="s">
        <v>3004</v>
      </c>
      <c r="D38" t="s">
        <v>2946</v>
      </c>
    </row>
    <row r="39" spans="1:9">
      <c r="A39" s="126" t="s">
        <v>3003</v>
      </c>
      <c r="B39" s="126" t="s">
        <v>3005</v>
      </c>
      <c r="C39" s="126"/>
      <c r="D39" s="126"/>
      <c r="E39" s="126"/>
      <c r="F39" s="126"/>
      <c r="G39" s="126"/>
      <c r="H39" s="126"/>
      <c r="I39" s="126" t="s">
        <v>3006</v>
      </c>
    </row>
    <row r="40" spans="1:9">
      <c r="A40" t="s">
        <v>3003</v>
      </c>
      <c r="B40" t="s">
        <v>3007</v>
      </c>
      <c r="C40" t="s">
        <v>3008</v>
      </c>
      <c r="D40" t="s">
        <v>2932</v>
      </c>
      <c r="I40" t="s">
        <v>3009</v>
      </c>
    </row>
    <row r="41" spans="1:9">
      <c r="A41" t="s">
        <v>783</v>
      </c>
      <c r="B41" t="s">
        <v>3010</v>
      </c>
      <c r="C41" t="s">
        <v>3011</v>
      </c>
      <c r="D41" t="s">
        <v>2946</v>
      </c>
    </row>
    <row r="42" spans="1:9">
      <c r="A42" t="s">
        <v>783</v>
      </c>
      <c r="B42" t="s">
        <v>3012</v>
      </c>
      <c r="C42" t="s">
        <v>3013</v>
      </c>
      <c r="D42" t="s">
        <v>2932</v>
      </c>
    </row>
    <row r="43" spans="1:9">
      <c r="A43" t="s">
        <v>1020</v>
      </c>
      <c r="B43" t="s">
        <v>3014</v>
      </c>
      <c r="C43" t="s">
        <v>3015</v>
      </c>
      <c r="D43" t="s">
        <v>15</v>
      </c>
    </row>
    <row r="44" spans="1:9">
      <c r="A44" t="s">
        <v>2175</v>
      </c>
      <c r="B44" t="s">
        <v>3016</v>
      </c>
      <c r="C44" t="s">
        <v>3017</v>
      </c>
      <c r="D44" t="s">
        <v>2932</v>
      </c>
    </row>
    <row r="45" spans="1:9">
      <c r="A45" t="s">
        <v>2175</v>
      </c>
      <c r="B45" t="s">
        <v>3018</v>
      </c>
      <c r="C45" t="s">
        <v>635</v>
      </c>
      <c r="D45" t="s">
        <v>38</v>
      </c>
    </row>
    <row r="46" spans="1:9">
      <c r="A46" t="s">
        <v>3019</v>
      </c>
      <c r="B46" t="s">
        <v>3020</v>
      </c>
      <c r="C46" t="s">
        <v>3021</v>
      </c>
      <c r="D46" t="s">
        <v>2932</v>
      </c>
    </row>
    <row r="47" spans="1:9">
      <c r="A47" t="s">
        <v>2175</v>
      </c>
      <c r="B47" t="s">
        <v>3022</v>
      </c>
      <c r="C47" t="s">
        <v>2960</v>
      </c>
      <c r="D47" t="s">
        <v>2932</v>
      </c>
    </row>
    <row r="48" spans="1:9">
      <c r="A48" t="s">
        <v>3019</v>
      </c>
      <c r="B48" t="s">
        <v>3023</v>
      </c>
      <c r="C48" t="s">
        <v>3024</v>
      </c>
      <c r="D48" t="s">
        <v>38</v>
      </c>
    </row>
    <row r="49" spans="1:5">
      <c r="A49" t="s">
        <v>3019</v>
      </c>
      <c r="B49" t="s">
        <v>3025</v>
      </c>
      <c r="C49" t="s">
        <v>3026</v>
      </c>
      <c r="D49" t="s">
        <v>38</v>
      </c>
    </row>
    <row r="50" spans="1:5">
      <c r="A50" t="s">
        <v>3027</v>
      </c>
      <c r="B50" t="s">
        <v>3028</v>
      </c>
      <c r="C50" t="s">
        <v>3029</v>
      </c>
      <c r="D50" t="s">
        <v>38</v>
      </c>
    </row>
    <row r="51" spans="1:5" ht="51">
      <c r="A51" s="233" t="s">
        <v>995</v>
      </c>
      <c r="B51" s="232" t="s">
        <v>3030</v>
      </c>
      <c r="C51" t="s">
        <v>3031</v>
      </c>
      <c r="D51" t="s">
        <v>15</v>
      </c>
    </row>
    <row r="52" spans="1:5">
      <c r="A52" t="s">
        <v>995</v>
      </c>
      <c r="B52" t="s">
        <v>3032</v>
      </c>
      <c r="C52" t="s">
        <v>3033</v>
      </c>
      <c r="D52" t="s">
        <v>38</v>
      </c>
    </row>
    <row r="53" spans="1:5">
      <c r="A53" t="s">
        <v>2061</v>
      </c>
      <c r="B53" t="s">
        <v>3034</v>
      </c>
      <c r="D53" t="s">
        <v>15</v>
      </c>
    </row>
    <row r="54" spans="1:5">
      <c r="A54" t="s">
        <v>927</v>
      </c>
      <c r="B54" t="s">
        <v>3035</v>
      </c>
      <c r="C54" t="s">
        <v>3036</v>
      </c>
      <c r="D54" t="s">
        <v>38</v>
      </c>
    </row>
    <row r="55" spans="1:5">
      <c r="A55" t="s">
        <v>2989</v>
      </c>
      <c r="B55" t="s">
        <v>3037</v>
      </c>
      <c r="C55" t="s">
        <v>3038</v>
      </c>
      <c r="D55" t="s">
        <v>38</v>
      </c>
    </row>
    <row r="56" spans="1:5">
      <c r="A56" t="s">
        <v>3039</v>
      </c>
      <c r="B56" s="200" t="s">
        <v>3040</v>
      </c>
      <c r="C56" t="s">
        <v>3041</v>
      </c>
      <c r="D56" t="s">
        <v>38</v>
      </c>
      <c r="E56" t="s">
        <v>3042</v>
      </c>
    </row>
    <row r="57" spans="1:5">
      <c r="B57" t="s">
        <v>3043</v>
      </c>
      <c r="C57" t="s">
        <v>1020</v>
      </c>
      <c r="D57" t="s">
        <v>15</v>
      </c>
    </row>
    <row r="58" spans="1:5">
      <c r="A58" t="s">
        <v>1741</v>
      </c>
      <c r="B58" t="s">
        <v>3044</v>
      </c>
      <c r="C58" t="s">
        <v>1945</v>
      </c>
      <c r="D58" t="s">
        <v>38</v>
      </c>
      <c r="E58" t="s">
        <v>3042</v>
      </c>
    </row>
    <row r="59" spans="1:5">
      <c r="A59" t="s">
        <v>1020</v>
      </c>
      <c r="B59" t="s">
        <v>3045</v>
      </c>
    </row>
  </sheetData>
  <phoneticPr fontId="3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85EBB-C7AC-41AF-8591-74D80D3C390C}">
  <sheetPr>
    <tabColor theme="9" tint="0.59999389629810485"/>
  </sheetPr>
  <dimension ref="A1:G12"/>
  <sheetViews>
    <sheetView topLeftCell="A4" workbookViewId="0">
      <selection activeCell="A8" sqref="A8"/>
    </sheetView>
  </sheetViews>
  <sheetFormatPr defaultRowHeight="15" customHeight="1"/>
  <cols>
    <col min="1" max="1" width="19.25" bestFit="1" customWidth="1"/>
    <col min="2" max="2" width="17.25" bestFit="1" customWidth="1"/>
    <col min="3" max="3" width="5.75" bestFit="1" customWidth="1"/>
    <col min="4" max="4" width="17.25" customWidth="1"/>
    <col min="5" max="5" width="30.25" bestFit="1" customWidth="1"/>
    <col min="6" max="6" width="36.58203125" bestFit="1" customWidth="1"/>
    <col min="7" max="7" width="55.83203125" customWidth="1"/>
    <col min="8" max="8" width="17" bestFit="1" customWidth="1"/>
  </cols>
  <sheetData>
    <row r="1" spans="1:7" ht="17">
      <c r="A1" s="332" t="s">
        <v>3046</v>
      </c>
      <c r="B1" s="332" t="s">
        <v>3047</v>
      </c>
      <c r="C1" s="332" t="s">
        <v>3048</v>
      </c>
      <c r="D1" s="332" t="s">
        <v>3049</v>
      </c>
      <c r="E1" s="332" t="s">
        <v>3050</v>
      </c>
      <c r="F1" s="332" t="s">
        <v>3051</v>
      </c>
      <c r="G1" s="332" t="s">
        <v>3052</v>
      </c>
    </row>
    <row r="2" spans="1:7" ht="17">
      <c r="A2" t="s">
        <v>182</v>
      </c>
      <c r="B2" t="s">
        <v>3053</v>
      </c>
      <c r="C2" t="s">
        <v>30</v>
      </c>
      <c r="D2" t="s">
        <v>3054</v>
      </c>
      <c r="E2" t="s">
        <v>1689</v>
      </c>
      <c r="F2" t="s">
        <v>19</v>
      </c>
      <c r="G2" s="232" t="s">
        <v>3055</v>
      </c>
    </row>
    <row r="3" spans="1:7" ht="17">
      <c r="A3" t="s">
        <v>3056</v>
      </c>
      <c r="B3" t="s">
        <v>3057</v>
      </c>
      <c r="C3" t="s">
        <v>30</v>
      </c>
      <c r="D3" t="s">
        <v>3054</v>
      </c>
      <c r="E3" t="s">
        <v>1689</v>
      </c>
      <c r="F3" t="s">
        <v>19</v>
      </c>
      <c r="G3" t="s">
        <v>3058</v>
      </c>
    </row>
    <row r="4" spans="1:7" ht="68">
      <c r="A4" t="s">
        <v>3059</v>
      </c>
      <c r="B4" t="s">
        <v>3057</v>
      </c>
      <c r="C4" t="s">
        <v>19</v>
      </c>
      <c r="D4" t="s">
        <v>3060</v>
      </c>
      <c r="E4" t="s">
        <v>3061</v>
      </c>
      <c r="F4" t="s">
        <v>30</v>
      </c>
      <c r="G4" s="232" t="s">
        <v>3062</v>
      </c>
    </row>
    <row r="5" spans="1:7" ht="51">
      <c r="A5" t="s">
        <v>2897</v>
      </c>
      <c r="B5" t="s">
        <v>3057</v>
      </c>
      <c r="C5" t="s">
        <v>19</v>
      </c>
      <c r="D5" t="s">
        <v>3063</v>
      </c>
      <c r="E5" t="s">
        <v>2066</v>
      </c>
      <c r="F5" s="232" t="s">
        <v>3064</v>
      </c>
      <c r="G5" t="s">
        <v>3065</v>
      </c>
    </row>
    <row r="6" spans="1:7" ht="17">
      <c r="A6" t="s">
        <v>128</v>
      </c>
      <c r="B6" t="s">
        <v>3057</v>
      </c>
      <c r="C6" t="s">
        <v>30</v>
      </c>
      <c r="D6" t="s">
        <v>3054</v>
      </c>
      <c r="E6" t="s">
        <v>3066</v>
      </c>
      <c r="F6" t="s">
        <v>19</v>
      </c>
      <c r="G6" t="s">
        <v>3067</v>
      </c>
    </row>
    <row r="7" spans="1:7" ht="17">
      <c r="A7" t="s">
        <v>3068</v>
      </c>
      <c r="B7" t="s">
        <v>3069</v>
      </c>
      <c r="C7" t="s">
        <v>3070</v>
      </c>
      <c r="D7" t="s">
        <v>3054</v>
      </c>
      <c r="E7" t="s">
        <v>3071</v>
      </c>
      <c r="F7" t="s">
        <v>30</v>
      </c>
      <c r="G7" t="s">
        <v>3072</v>
      </c>
    </row>
    <row r="8" spans="1:7" ht="17" hidden="1">
      <c r="A8" t="s">
        <v>3073</v>
      </c>
      <c r="B8" t="s">
        <v>3053</v>
      </c>
      <c r="C8" t="s">
        <v>30</v>
      </c>
      <c r="D8" s="333" t="s">
        <v>3054</v>
      </c>
      <c r="E8" t="s">
        <v>3074</v>
      </c>
      <c r="F8" t="s">
        <v>19</v>
      </c>
      <c r="G8" t="s">
        <v>3075</v>
      </c>
    </row>
    <row r="9" spans="1:7" ht="17" hidden="1">
      <c r="A9" t="s">
        <v>3076</v>
      </c>
      <c r="B9" t="s">
        <v>3077</v>
      </c>
      <c r="C9" t="s">
        <v>30</v>
      </c>
      <c r="D9" s="333" t="s">
        <v>3054</v>
      </c>
      <c r="E9" t="s">
        <v>3074</v>
      </c>
      <c r="F9" t="s">
        <v>19</v>
      </c>
      <c r="G9" t="s">
        <v>3078</v>
      </c>
    </row>
    <row r="10" spans="1:7" ht="17" hidden="1">
      <c r="A10" t="s">
        <v>3079</v>
      </c>
      <c r="B10" t="s">
        <v>3057</v>
      </c>
      <c r="C10" t="s">
        <v>30</v>
      </c>
      <c r="D10" t="s">
        <v>3054</v>
      </c>
      <c r="E10" t="s">
        <v>3074</v>
      </c>
      <c r="F10" t="s">
        <v>19</v>
      </c>
      <c r="G10" t="s">
        <v>3080</v>
      </c>
    </row>
    <row r="11" spans="1:7" ht="34">
      <c r="A11" t="s">
        <v>3081</v>
      </c>
      <c r="B11" t="s">
        <v>3057</v>
      </c>
      <c r="C11" t="s">
        <v>30</v>
      </c>
      <c r="D11" t="s">
        <v>3082</v>
      </c>
      <c r="E11" t="s">
        <v>3027</v>
      </c>
      <c r="F11" t="s">
        <v>19</v>
      </c>
      <c r="G11" s="232" t="s">
        <v>3083</v>
      </c>
    </row>
    <row r="12" spans="1:7" ht="73.5">
      <c r="A12" t="s">
        <v>3084</v>
      </c>
      <c r="B12" t="s">
        <v>3057</v>
      </c>
      <c r="C12" t="s">
        <v>3070</v>
      </c>
      <c r="D12" t="s">
        <v>3063</v>
      </c>
      <c r="E12" t="s">
        <v>3085</v>
      </c>
      <c r="F12" t="s">
        <v>19</v>
      </c>
      <c r="G12" s="334" t="s">
        <v>3086</v>
      </c>
    </row>
  </sheetData>
  <phoneticPr fontId="39"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975FBDD4047747973BA80731FDA9B8" ma:contentTypeVersion="19" ma:contentTypeDescription="Create a new document." ma:contentTypeScope="" ma:versionID="6e10b7193ab1881411c4b29aacdd38f9">
  <xsd:schema xmlns:xsd="http://www.w3.org/2001/XMLSchema" xmlns:xs="http://www.w3.org/2001/XMLSchema" xmlns:p="http://schemas.microsoft.com/office/2006/metadata/properties" xmlns:ns2="a09e9d82-a4a6-4b9b-911d-2666e311eede" xmlns:ns3="b2f4e7dc-877a-4ed9-a52f-e1cf0df97ff5" targetNamespace="http://schemas.microsoft.com/office/2006/metadata/properties" ma:root="true" ma:fieldsID="69b0705cf479ba1e6a436010564e6c75" ns2:_="" ns3:_="">
    <xsd:import namespace="a09e9d82-a4a6-4b9b-911d-2666e311eede"/>
    <xsd:import namespace="b2f4e7dc-877a-4ed9-a52f-e1cf0df97f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_Flow_SignoffStatu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9e9d82-a4a6-4b9b-911d-2666e311ee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2" nillable="true" ma:displayName="Sign-off status" ma:internalName="_x0024_Resources_x003a_core_x002c_Signoff_Status_x003b_">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f4e7dc-877a-4ed9-a52f-e1cf0df97ff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48c9d6b-8a7d-41e7-8889-f6e204576da1}" ma:internalName="TaxCatchAll" ma:showField="CatchAllData" ma:web="b2f4e7dc-877a-4ed9-a52f-e1cf0df97f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a09e9d82-a4a6-4b9b-911d-2666e311eede" xsi:nil="true"/>
    <SharedWithUsers xmlns="b2f4e7dc-877a-4ed9-a52f-e1cf0df97ff5">
      <UserInfo>
        <DisplayName>LAURENSON-SCHAFER, Henry</DisplayName>
        <AccountId>104</AccountId>
        <AccountType/>
      </UserInfo>
      <UserInfo>
        <DisplayName>GREENE-CRAMER, Blanche Johanna</DisplayName>
        <AccountId>82</AccountId>
        <AccountType/>
      </UserInfo>
      <UserInfo>
        <DisplayName>PERON, Emilie</DisplayName>
        <AccountId>56</AccountId>
        <AccountType/>
      </UserInfo>
      <UserInfo>
        <DisplayName>SAAD, Neil</DisplayName>
        <AccountId>538</AccountId>
        <AccountType/>
      </UserInfo>
      <UserInfo>
        <DisplayName>HAMBLION, Esther</DisplayName>
        <AccountId>57</AccountId>
        <AccountType/>
      </UserInfo>
      <UserInfo>
        <DisplayName>PLOTOGEA, Amalia</DisplayName>
        <AccountId>461</AccountId>
        <AccountType/>
      </UserInfo>
      <UserInfo>
        <DisplayName>DVA Daily list Members</DisplayName>
        <AccountId>7</AccountId>
        <AccountType/>
      </UserInfo>
    </SharedWithUsers>
    <TaxCatchAll xmlns="b2f4e7dc-877a-4ed9-a52f-e1cf0df97ff5" xsi:nil="true"/>
    <lcf76f155ced4ddcb4097134ff3c332f xmlns="a09e9d82-a4a6-4b9b-911d-2666e311eed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002B168E-425D-4515-B130-41142C8D92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9e9d82-a4a6-4b9b-911d-2666e311eede"/>
    <ds:schemaRef ds:uri="b2f4e7dc-877a-4ed9-a52f-e1cf0df97f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B2A56B-3C2E-4E9E-B02D-BB9E458611EB}">
  <ds:schemaRefs>
    <ds:schemaRef ds:uri="http://purl.org/dc/elements/1.1/"/>
    <ds:schemaRef ds:uri="http://schemas.microsoft.com/office/infopath/2007/PartnerControls"/>
    <ds:schemaRef ds:uri="http://purl.org/dc/dcmitype/"/>
    <ds:schemaRef ds:uri="a09e9d82-a4a6-4b9b-911d-2666e311eede"/>
    <ds:schemaRef ds:uri="http://schemas.openxmlformats.org/package/2006/metadata/core-properties"/>
    <ds:schemaRef ds:uri="http://schemas.microsoft.com/office/2006/documentManagement/types"/>
    <ds:schemaRef ds:uri="http://purl.org/dc/terms/"/>
    <ds:schemaRef ds:uri="http://schemas.microsoft.com/office/2006/metadata/properties"/>
    <ds:schemaRef ds:uri="b2f4e7dc-877a-4ed9-a52f-e1cf0df97ff5"/>
    <ds:schemaRef ds:uri="http://www.w3.org/XML/1998/namespace"/>
  </ds:schemaRefs>
</ds:datastoreItem>
</file>

<file path=customXml/itemProps3.xml><?xml version="1.0" encoding="utf-8"?>
<ds:datastoreItem xmlns:ds="http://schemas.openxmlformats.org/officeDocument/2006/customXml" ds:itemID="{CECEA0B6-EAC0-4DE9-AF31-FCD3846D49D3}">
  <ds:schemaRefs>
    <ds:schemaRef ds:uri="http://schemas.microsoft.com/sharepoint/v3/contenttype/forms"/>
  </ds:schemaRefs>
</ds:datastoreItem>
</file>

<file path=customXml/itemProps4.xml><?xml version="1.0" encoding="utf-8"?>
<ds:datastoreItem xmlns:ds="http://schemas.openxmlformats.org/officeDocument/2006/customXml" ds:itemID="{00F75D94-591A-458B-B32C-04932F9A84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Dropdownlist</vt:lpstr>
      <vt:lpstr>product tracker</vt:lpstr>
      <vt:lpstr>Countrycode</vt:lpstr>
      <vt:lpstr>Data dictionary</vt:lpstr>
      <vt:lpstr>PHI disease FPs</vt:lpstr>
      <vt:lpstr>project tracker</vt:lpstr>
      <vt:lpstr>Regular hazard specific mtgs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PERON, Emilie</dc:creator>
  <cp:keywords/>
  <dc:description/>
  <cp:lastModifiedBy>KWON, Donghyok</cp:lastModifiedBy>
  <cp:revision/>
  <dcterms:created xsi:type="dcterms:W3CDTF">2021-06-21T10:40:59Z</dcterms:created>
  <dcterms:modified xsi:type="dcterms:W3CDTF">2025-10-16T10:58:17Z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0x010100F4975FBDD4047747973BA80731FDA9B8</vt:lpwstr>
  </property>
  <property fmtid="{D5CDD505-2E9C-101B-9397-08002B2CF9AE}" pid="3" name="MediaServiceImageTags">
    <vt:lpwstr/>
  </property>
</Properties>
</file>